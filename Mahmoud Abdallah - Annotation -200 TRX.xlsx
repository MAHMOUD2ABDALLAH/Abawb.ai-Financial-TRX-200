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moud\Downloads\Annotation\"/>
    </mc:Choice>
  </mc:AlternateContent>
  <xr:revisionPtr revIDLastSave="0" documentId="13_ncr:1_{F278D07B-9EF6-4EA0-9F4B-885F89AFFCCD}" xr6:coauthVersionLast="47" xr6:coauthVersionMax="47" xr10:uidLastSave="{00000000-0000-0000-0000-000000000000}"/>
  <bookViews>
    <workbookView xWindow="-110" yWindow="-110" windowWidth="22780" windowHeight="14540" activeTab="2" xr2:uid="{00000000-000D-0000-FFFF-FFFF00000000}"/>
  </bookViews>
  <sheets>
    <sheet name="task" sheetId="3" r:id="rId1"/>
    <sheet name="Centralized Labels" sheetId="4" r:id="rId2"/>
    <sheet name="Description Splitting" sheetId="5" r:id="rId3"/>
  </sheets>
  <definedNames>
    <definedName name="_xlnm._FilterDatabase" localSheetId="2" hidden="1">'Description Splitting'!$A$1:$K$201</definedName>
    <definedName name="_xlnm._FilterDatabase" localSheetId="0" hidden="1">task!$V$1:$AI$1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3" l="1"/>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 i="3"/>
  <c r="AH3" i="3" a="1"/>
  <c r="AH3" i="3" s="1"/>
  <c r="AH4" i="3" a="1"/>
  <c r="AH4" i="3" s="1"/>
  <c r="AH5" i="3" a="1"/>
  <c r="AH5" i="3" s="1"/>
  <c r="AH6" i="3" a="1"/>
  <c r="AH6" i="3"/>
  <c r="AH7" i="3" a="1"/>
  <c r="AH7" i="3" s="1"/>
  <c r="AH8" i="3" a="1"/>
  <c r="AH8" i="3" s="1"/>
  <c r="AH9" i="3" a="1"/>
  <c r="AH9" i="3" s="1"/>
  <c r="AH10" i="3" a="1"/>
  <c r="AH10" i="3"/>
  <c r="AH11" i="3" a="1"/>
  <c r="AH11" i="3" s="1"/>
  <c r="AH12" i="3" a="1"/>
  <c r="AH12" i="3" s="1"/>
  <c r="AH13" i="3" a="1"/>
  <c r="AH13" i="3" s="1"/>
  <c r="AH14" i="3" a="1"/>
  <c r="AH14" i="3"/>
  <c r="AH15" i="3" a="1"/>
  <c r="AH15" i="3" s="1"/>
  <c r="AH16" i="3" a="1"/>
  <c r="AH16" i="3" s="1"/>
  <c r="AH17" i="3" a="1"/>
  <c r="AH17" i="3" s="1"/>
  <c r="AH18" i="3" a="1"/>
  <c r="AH18" i="3"/>
  <c r="AH19" i="3" a="1"/>
  <c r="AH19" i="3" s="1"/>
  <c r="AH20" i="3" a="1"/>
  <c r="AH20" i="3" s="1"/>
  <c r="AH21" i="3" a="1"/>
  <c r="AH21" i="3" s="1"/>
  <c r="AH22" i="3" a="1"/>
  <c r="AH22" i="3"/>
  <c r="AH23" i="3" a="1"/>
  <c r="AH23" i="3" s="1"/>
  <c r="AH24" i="3" a="1"/>
  <c r="AH24" i="3" s="1"/>
  <c r="AH25" i="3" a="1"/>
  <c r="AH25" i="3" s="1"/>
  <c r="AH26" i="3" a="1"/>
  <c r="AH26" i="3"/>
  <c r="AH27" i="3" a="1"/>
  <c r="AH27" i="3" s="1"/>
  <c r="AH28" i="3" a="1"/>
  <c r="AH28" i="3" s="1"/>
  <c r="AH29" i="3" a="1"/>
  <c r="AH29" i="3" s="1"/>
  <c r="AH30" i="3" a="1"/>
  <c r="AH30" i="3"/>
  <c r="AH31" i="3" a="1"/>
  <c r="AH31" i="3" s="1"/>
  <c r="AH32" i="3" a="1"/>
  <c r="AH32" i="3" s="1"/>
  <c r="AH33" i="3" a="1"/>
  <c r="AH33" i="3" s="1"/>
  <c r="AH34" i="3" a="1"/>
  <c r="AH34" i="3"/>
  <c r="AH35" i="3" a="1"/>
  <c r="AH35" i="3" s="1"/>
  <c r="AH36" i="3" a="1"/>
  <c r="AH36" i="3" s="1"/>
  <c r="AH37" i="3" a="1"/>
  <c r="AH37" i="3" s="1"/>
  <c r="AH38" i="3" a="1"/>
  <c r="AH38" i="3"/>
  <c r="AH39" i="3" a="1"/>
  <c r="AH39" i="3" s="1"/>
  <c r="AH40" i="3" a="1"/>
  <c r="AH40" i="3" s="1"/>
  <c r="AH41" i="3" a="1"/>
  <c r="AH41" i="3" s="1"/>
  <c r="AH42" i="3" a="1"/>
  <c r="AH42" i="3"/>
  <c r="AH43" i="3" a="1"/>
  <c r="AH43" i="3" s="1"/>
  <c r="AH44" i="3" a="1"/>
  <c r="AH44" i="3" s="1"/>
  <c r="AH45" i="3" a="1"/>
  <c r="AH45" i="3" s="1"/>
  <c r="AH46" i="3" a="1"/>
  <c r="AH46" i="3"/>
  <c r="AH47" i="3" a="1"/>
  <c r="AH47" i="3" s="1"/>
  <c r="AH48" i="3" a="1"/>
  <c r="AH48" i="3" s="1"/>
  <c r="AH49" i="3" a="1"/>
  <c r="AH49" i="3" s="1"/>
  <c r="AH50" i="3" a="1"/>
  <c r="AH50" i="3"/>
  <c r="AH51" i="3" a="1"/>
  <c r="AH51" i="3" s="1"/>
  <c r="AH52" i="3" a="1"/>
  <c r="AH52" i="3" s="1"/>
  <c r="AH53" i="3" a="1"/>
  <c r="AH53" i="3" s="1"/>
  <c r="AH54" i="3" a="1"/>
  <c r="AH54" i="3"/>
  <c r="AH55" i="3" a="1"/>
  <c r="AH55" i="3" s="1"/>
  <c r="AH56" i="3" a="1"/>
  <c r="AH56" i="3" s="1"/>
  <c r="AH57" i="3" a="1"/>
  <c r="AH57" i="3" s="1"/>
  <c r="AH58" i="3" a="1"/>
  <c r="AH58" i="3"/>
  <c r="AH59" i="3" a="1"/>
  <c r="AH59" i="3" s="1"/>
  <c r="AH60" i="3" a="1"/>
  <c r="AH60" i="3" s="1"/>
  <c r="AH61" i="3" a="1"/>
  <c r="AH61" i="3" s="1"/>
  <c r="AH62" i="3" a="1"/>
  <c r="AH62" i="3"/>
  <c r="AH63" i="3" a="1"/>
  <c r="AH63" i="3" s="1"/>
  <c r="AH64" i="3" a="1"/>
  <c r="AH64" i="3" s="1"/>
  <c r="AH65" i="3" a="1"/>
  <c r="AH65" i="3" s="1"/>
  <c r="AH66" i="3" a="1"/>
  <c r="AH66" i="3"/>
  <c r="AH67" i="3" a="1"/>
  <c r="AH67" i="3" s="1"/>
  <c r="AH68" i="3" a="1"/>
  <c r="AH68" i="3" s="1"/>
  <c r="AH69" i="3" a="1"/>
  <c r="AH69" i="3" s="1"/>
  <c r="AH70" i="3" a="1"/>
  <c r="AH70" i="3"/>
  <c r="AH71" i="3" a="1"/>
  <c r="AH71" i="3" s="1"/>
  <c r="AH72" i="3" a="1"/>
  <c r="AH72" i="3" s="1"/>
  <c r="AH73" i="3" a="1"/>
  <c r="AH73" i="3" s="1"/>
  <c r="AH74" i="3" a="1"/>
  <c r="AH74" i="3"/>
  <c r="AH75" i="3" a="1"/>
  <c r="AH75" i="3" s="1"/>
  <c r="AH76" i="3" a="1"/>
  <c r="AH76" i="3" s="1"/>
  <c r="AH77" i="3" a="1"/>
  <c r="AH77" i="3" s="1"/>
  <c r="AH78" i="3" a="1"/>
  <c r="AH78" i="3"/>
  <c r="AH79" i="3" a="1"/>
  <c r="AH79" i="3" s="1"/>
  <c r="AH80" i="3" a="1"/>
  <c r="AH80" i="3" s="1"/>
  <c r="AH81" i="3" a="1"/>
  <c r="AH81" i="3" s="1"/>
  <c r="AH82" i="3" a="1"/>
  <c r="AH82" i="3"/>
  <c r="AH83" i="3" a="1"/>
  <c r="AH83" i="3" s="1"/>
  <c r="AH84" i="3" a="1"/>
  <c r="AH84" i="3" s="1"/>
  <c r="AH85" i="3" a="1"/>
  <c r="AH85" i="3" s="1"/>
  <c r="AH86" i="3" a="1"/>
  <c r="AH86" i="3"/>
  <c r="AH87" i="3" a="1"/>
  <c r="AH87" i="3" s="1"/>
  <c r="AH88" i="3" a="1"/>
  <c r="AH88" i="3" s="1"/>
  <c r="AH89" i="3" a="1"/>
  <c r="AH89" i="3" s="1"/>
  <c r="AH90" i="3" a="1"/>
  <c r="AH90" i="3"/>
  <c r="AH91" i="3" a="1"/>
  <c r="AH91" i="3" s="1"/>
  <c r="AH92" i="3" a="1"/>
  <c r="AH92" i="3" s="1"/>
  <c r="AH93" i="3" a="1"/>
  <c r="AH93" i="3" s="1"/>
  <c r="AH94" i="3" a="1"/>
  <c r="AH94" i="3"/>
  <c r="AH95" i="3" a="1"/>
  <c r="AH95" i="3" s="1"/>
  <c r="AH96" i="3" a="1"/>
  <c r="AH96" i="3" s="1"/>
  <c r="AH97" i="3" a="1"/>
  <c r="AH97" i="3" s="1"/>
  <c r="AH98" i="3" a="1"/>
  <c r="AH98" i="3"/>
  <c r="AH99" i="3" a="1"/>
  <c r="AH99" i="3" s="1"/>
  <c r="AH100" i="3" a="1"/>
  <c r="AH100" i="3" s="1"/>
  <c r="AH101" i="3" a="1"/>
  <c r="AH101" i="3" s="1"/>
  <c r="AH102" i="3" a="1"/>
  <c r="AH102" i="3"/>
  <c r="AH103" i="3" a="1"/>
  <c r="AH103" i="3" s="1"/>
  <c r="AH104" i="3" a="1"/>
  <c r="AH104" i="3" s="1"/>
  <c r="AH105" i="3" a="1"/>
  <c r="AH105" i="3" s="1"/>
  <c r="AH106" i="3" a="1"/>
  <c r="AH106" i="3"/>
  <c r="AH107" i="3" a="1"/>
  <c r="AH107" i="3" s="1"/>
  <c r="AH108" i="3" a="1"/>
  <c r="AH108" i="3" s="1"/>
  <c r="AH109" i="3" a="1"/>
  <c r="AH109" i="3" s="1"/>
  <c r="AH110" i="3" a="1"/>
  <c r="AH110" i="3"/>
  <c r="AH111" i="3" a="1"/>
  <c r="AH111" i="3" s="1"/>
  <c r="AH112" i="3" a="1"/>
  <c r="AH112" i="3" s="1"/>
  <c r="AH113" i="3" a="1"/>
  <c r="AH113" i="3" s="1"/>
  <c r="AH114" i="3" a="1"/>
  <c r="AH114" i="3"/>
  <c r="AH115" i="3" a="1"/>
  <c r="AH115" i="3" s="1"/>
  <c r="AH116" i="3" a="1"/>
  <c r="AH116" i="3" s="1"/>
  <c r="AH117" i="3" a="1"/>
  <c r="AH117" i="3" s="1"/>
  <c r="AH118" i="3" a="1"/>
  <c r="AH118" i="3"/>
  <c r="AH119" i="3" a="1"/>
  <c r="AH119" i="3" s="1"/>
  <c r="AH120" i="3" a="1"/>
  <c r="AH120" i="3" s="1"/>
  <c r="AH121" i="3" a="1"/>
  <c r="AH121" i="3" s="1"/>
  <c r="AH122" i="3" a="1"/>
  <c r="AH122" i="3"/>
  <c r="AH123" i="3" a="1"/>
  <c r="AH123" i="3" s="1"/>
  <c r="AH124" i="3" a="1"/>
  <c r="AH124" i="3" s="1"/>
  <c r="AH125" i="3" a="1"/>
  <c r="AH125" i="3" s="1"/>
  <c r="AH126" i="3" a="1"/>
  <c r="AH126" i="3"/>
  <c r="AH127" i="3" a="1"/>
  <c r="AH127" i="3" s="1"/>
  <c r="AH128" i="3" a="1"/>
  <c r="AH128" i="3" s="1"/>
  <c r="AH129" i="3" a="1"/>
  <c r="AH129" i="3" s="1"/>
  <c r="AH130" i="3" a="1"/>
  <c r="AH130" i="3"/>
  <c r="AH131" i="3" a="1"/>
  <c r="AH131" i="3" s="1"/>
  <c r="AH132" i="3" a="1"/>
  <c r="AH132" i="3" s="1"/>
  <c r="AH133" i="3" a="1"/>
  <c r="AH133" i="3" s="1"/>
  <c r="AH134" i="3" a="1"/>
  <c r="AH134" i="3"/>
  <c r="AH135" i="3" a="1"/>
  <c r="AH135" i="3" s="1"/>
  <c r="AH136" i="3" a="1"/>
  <c r="AH136" i="3" s="1"/>
  <c r="AH137" i="3" a="1"/>
  <c r="AH137" i="3" s="1"/>
  <c r="AH138" i="3" a="1"/>
  <c r="AH138" i="3"/>
  <c r="AH139" i="3" a="1"/>
  <c r="AH139" i="3" s="1"/>
  <c r="AH140" i="3" a="1"/>
  <c r="AH140" i="3" s="1"/>
  <c r="AH141" i="3" a="1"/>
  <c r="AH141" i="3" s="1"/>
  <c r="AH142" i="3" a="1"/>
  <c r="AH142" i="3"/>
  <c r="AH143" i="3" a="1"/>
  <c r="AH143" i="3" s="1"/>
  <c r="AH144" i="3" a="1"/>
  <c r="AH144" i="3" s="1"/>
  <c r="AH145" i="3" a="1"/>
  <c r="AH145" i="3" s="1"/>
  <c r="AH146" i="3" a="1"/>
  <c r="AH146" i="3"/>
  <c r="AH147" i="3" a="1"/>
  <c r="AH147" i="3" s="1"/>
  <c r="AH148" i="3" a="1"/>
  <c r="AH148" i="3" s="1"/>
  <c r="AH149" i="3" a="1"/>
  <c r="AH149" i="3" s="1"/>
  <c r="AH150" i="3" a="1"/>
  <c r="AH150" i="3"/>
  <c r="AH151" i="3" a="1"/>
  <c r="AH151" i="3" s="1"/>
  <c r="AH152" i="3" a="1"/>
  <c r="AH152" i="3" s="1"/>
  <c r="AH153" i="3" a="1"/>
  <c r="AH153" i="3" s="1"/>
  <c r="AH154" i="3" a="1"/>
  <c r="AH154" i="3"/>
  <c r="AH155" i="3" a="1"/>
  <c r="AH155" i="3" s="1"/>
  <c r="AH156" i="3" a="1"/>
  <c r="AH156" i="3" s="1"/>
  <c r="AH157" i="3" a="1"/>
  <c r="AH157" i="3" s="1"/>
  <c r="AH158" i="3" a="1"/>
  <c r="AH158" i="3"/>
  <c r="AH159" i="3" a="1"/>
  <c r="AH159" i="3" s="1"/>
  <c r="AH160" i="3" a="1"/>
  <c r="AH160" i="3" s="1"/>
  <c r="AH161" i="3" a="1"/>
  <c r="AH161" i="3" s="1"/>
  <c r="AH162" i="3" a="1"/>
  <c r="AH162" i="3"/>
  <c r="AH163" i="3" a="1"/>
  <c r="AH163" i="3" s="1"/>
  <c r="AH164" i="3" a="1"/>
  <c r="AH164" i="3" s="1"/>
  <c r="AH165" i="3" a="1"/>
  <c r="AH165" i="3" s="1"/>
  <c r="AH166" i="3" a="1"/>
  <c r="AH166" i="3"/>
  <c r="AH167" i="3" a="1"/>
  <c r="AH167" i="3" s="1"/>
  <c r="AH168" i="3" a="1"/>
  <c r="AH168" i="3" s="1"/>
  <c r="AH169" i="3" a="1"/>
  <c r="AH169" i="3" s="1"/>
  <c r="AH170" i="3" a="1"/>
  <c r="AH170" i="3"/>
  <c r="AH171" i="3" a="1"/>
  <c r="AH171" i="3" s="1"/>
  <c r="AH172" i="3" a="1"/>
  <c r="AH172" i="3" s="1"/>
  <c r="AH173" i="3" a="1"/>
  <c r="AH173" i="3" s="1"/>
  <c r="AH174" i="3" a="1"/>
  <c r="AH174" i="3"/>
  <c r="AH175" i="3" a="1"/>
  <c r="AH175" i="3" s="1"/>
  <c r="AH176" i="3" a="1"/>
  <c r="AH176" i="3" s="1"/>
  <c r="AH177" i="3" a="1"/>
  <c r="AH177" i="3" s="1"/>
  <c r="AH178" i="3" a="1"/>
  <c r="AH178" i="3"/>
  <c r="AH179" i="3" a="1"/>
  <c r="AH179" i="3" s="1"/>
  <c r="AH180" i="3" a="1"/>
  <c r="AH180" i="3" s="1"/>
  <c r="AH181" i="3" a="1"/>
  <c r="AH181" i="3" s="1"/>
  <c r="AH182" i="3" a="1"/>
  <c r="AH182" i="3"/>
  <c r="AH183" i="3" a="1"/>
  <c r="AH183" i="3" s="1"/>
  <c r="AH184" i="3" a="1"/>
  <c r="AH184" i="3" s="1"/>
  <c r="AH185" i="3" a="1"/>
  <c r="AH185" i="3" s="1"/>
  <c r="AH186" i="3" a="1"/>
  <c r="AH186" i="3"/>
  <c r="AH187" i="3" a="1"/>
  <c r="AH187" i="3" s="1"/>
  <c r="AH188" i="3" a="1"/>
  <c r="AH188" i="3" s="1"/>
  <c r="AH189" i="3" a="1"/>
  <c r="AH189" i="3" s="1"/>
  <c r="AH190" i="3" a="1"/>
  <c r="AH190" i="3"/>
  <c r="AH191" i="3" a="1"/>
  <c r="AH191" i="3" s="1"/>
  <c r="AH192" i="3" a="1"/>
  <c r="AH192" i="3" s="1"/>
  <c r="AH193" i="3" a="1"/>
  <c r="AH193" i="3" s="1"/>
  <c r="AH194" i="3" a="1"/>
  <c r="AH194" i="3"/>
  <c r="AH195" i="3" a="1"/>
  <c r="AH195" i="3" s="1"/>
  <c r="AH196" i="3" a="1"/>
  <c r="AH196" i="3" s="1"/>
  <c r="AH197" i="3" a="1"/>
  <c r="AH197" i="3" s="1"/>
  <c r="AH198" i="3" a="1"/>
  <c r="AH198" i="3"/>
  <c r="AH199" i="3" a="1"/>
  <c r="AH199" i="3" s="1"/>
  <c r="AH200" i="3" a="1"/>
  <c r="AH200" i="3" s="1"/>
  <c r="AH201" i="3" a="1"/>
  <c r="AH201" i="3" s="1"/>
  <c r="AH2" i="3" a="1"/>
  <c r="AH2" i="3"/>
  <c r="AG3" i="3" a="1"/>
  <c r="AG3" i="3" s="1"/>
  <c r="AG4" i="3" a="1"/>
  <c r="AG4" i="3" s="1"/>
  <c r="AG5" i="3" a="1"/>
  <c r="AG5" i="3" s="1"/>
  <c r="AG6" i="3" a="1"/>
  <c r="AG6" i="3"/>
  <c r="AG7" i="3" a="1"/>
  <c r="AG7" i="3" s="1"/>
  <c r="AG8" i="3" a="1"/>
  <c r="AG8" i="3" s="1"/>
  <c r="AG9" i="3" a="1"/>
  <c r="AG9" i="3" s="1"/>
  <c r="AG10" i="3" a="1"/>
  <c r="AG10" i="3"/>
  <c r="AG11" i="3" a="1"/>
  <c r="AG11" i="3" s="1"/>
  <c r="AG12" i="3" a="1"/>
  <c r="AG12" i="3" s="1"/>
  <c r="AG13" i="3" a="1"/>
  <c r="AG13" i="3" s="1"/>
  <c r="AG14" i="3" a="1"/>
  <c r="AG14" i="3"/>
  <c r="AG15" i="3" a="1"/>
  <c r="AG15" i="3" s="1"/>
  <c r="AG16" i="3" a="1"/>
  <c r="AG16" i="3" s="1"/>
  <c r="AG17" i="3" a="1"/>
  <c r="AG17" i="3" s="1"/>
  <c r="AG18" i="3" a="1"/>
  <c r="AG18" i="3"/>
  <c r="AG19" i="3" a="1"/>
  <c r="AG19" i="3" s="1"/>
  <c r="AG20" i="3" a="1"/>
  <c r="AG20" i="3" s="1"/>
  <c r="AG21" i="3" a="1"/>
  <c r="AG21" i="3" s="1"/>
  <c r="AG22" i="3" a="1"/>
  <c r="AG22" i="3"/>
  <c r="AG23" i="3" a="1"/>
  <c r="AG23" i="3" s="1"/>
  <c r="AG24" i="3" a="1"/>
  <c r="AG24" i="3" s="1"/>
  <c r="AG25" i="3" a="1"/>
  <c r="AG25" i="3" s="1"/>
  <c r="AG26" i="3" a="1"/>
  <c r="AG26" i="3"/>
  <c r="AG27" i="3" a="1"/>
  <c r="AG27" i="3" s="1"/>
  <c r="AG28" i="3" a="1"/>
  <c r="AG28" i="3" s="1"/>
  <c r="AG29" i="3" a="1"/>
  <c r="AG29" i="3" s="1"/>
  <c r="AG30" i="3" a="1"/>
  <c r="AG30" i="3"/>
  <c r="AG31" i="3" a="1"/>
  <c r="AG31" i="3" s="1"/>
  <c r="AG32" i="3" a="1"/>
  <c r="AG32" i="3" s="1"/>
  <c r="AG33" i="3" a="1"/>
  <c r="AG33" i="3" s="1"/>
  <c r="AG34" i="3" a="1"/>
  <c r="AG34" i="3"/>
  <c r="AG35" i="3" a="1"/>
  <c r="AG35" i="3" s="1"/>
  <c r="AG36" i="3" a="1"/>
  <c r="AG36" i="3" s="1"/>
  <c r="AG37" i="3" a="1"/>
  <c r="AG37" i="3" s="1"/>
  <c r="AG38" i="3" a="1"/>
  <c r="AG38" i="3"/>
  <c r="AG39" i="3" a="1"/>
  <c r="AG39" i="3" s="1"/>
  <c r="AG40" i="3" a="1"/>
  <c r="AG40" i="3" s="1"/>
  <c r="AG41" i="3" a="1"/>
  <c r="AG41" i="3" s="1"/>
  <c r="AG42" i="3" a="1"/>
  <c r="AG42" i="3"/>
  <c r="AG43" i="3" a="1"/>
  <c r="AG43" i="3" s="1"/>
  <c r="AG44" i="3" a="1"/>
  <c r="AG44" i="3" s="1"/>
  <c r="AG45" i="3" a="1"/>
  <c r="AG45" i="3" s="1"/>
  <c r="AG46" i="3" a="1"/>
  <c r="AG46" i="3"/>
  <c r="AG47" i="3" a="1"/>
  <c r="AG47" i="3" s="1"/>
  <c r="AG48" i="3" a="1"/>
  <c r="AG48" i="3" s="1"/>
  <c r="AG49" i="3" a="1"/>
  <c r="AG49" i="3" s="1"/>
  <c r="AG50" i="3" a="1"/>
  <c r="AG50" i="3"/>
  <c r="AG51" i="3" a="1"/>
  <c r="AG51" i="3" s="1"/>
  <c r="AG52" i="3" a="1"/>
  <c r="AG52" i="3" s="1"/>
  <c r="AG53" i="3" a="1"/>
  <c r="AG53" i="3" s="1"/>
  <c r="AG54" i="3" a="1"/>
  <c r="AG54" i="3"/>
  <c r="AG55" i="3" a="1"/>
  <c r="AG55" i="3" s="1"/>
  <c r="AG56" i="3" a="1"/>
  <c r="AG56" i="3" s="1"/>
  <c r="AG57" i="3" a="1"/>
  <c r="AG57" i="3" s="1"/>
  <c r="AG58" i="3" a="1"/>
  <c r="AG58" i="3"/>
  <c r="AG59" i="3" a="1"/>
  <c r="AG59" i="3" s="1"/>
  <c r="AG60" i="3" a="1"/>
  <c r="AG60" i="3" s="1"/>
  <c r="AG61" i="3" a="1"/>
  <c r="AG61" i="3" s="1"/>
  <c r="AG62" i="3" a="1"/>
  <c r="AG62" i="3"/>
  <c r="AG63" i="3" a="1"/>
  <c r="AG63" i="3" s="1"/>
  <c r="AG64" i="3" a="1"/>
  <c r="AG64" i="3" s="1"/>
  <c r="AG65" i="3" a="1"/>
  <c r="AG65" i="3" s="1"/>
  <c r="AG66" i="3" a="1"/>
  <c r="AG66" i="3"/>
  <c r="AG67" i="3" a="1"/>
  <c r="AG67" i="3" s="1"/>
  <c r="AG68" i="3" a="1"/>
  <c r="AG68" i="3" s="1"/>
  <c r="AG69" i="3" a="1"/>
  <c r="AG69" i="3" s="1"/>
  <c r="AG70" i="3" a="1"/>
  <c r="AG70" i="3"/>
  <c r="AG71" i="3" a="1"/>
  <c r="AG71" i="3" s="1"/>
  <c r="AG72" i="3" a="1"/>
  <c r="AG72" i="3" s="1"/>
  <c r="AG73" i="3" a="1"/>
  <c r="AG73" i="3" s="1"/>
  <c r="AG74" i="3" a="1"/>
  <c r="AG74" i="3"/>
  <c r="AG75" i="3" a="1"/>
  <c r="AG75" i="3" s="1"/>
  <c r="AG76" i="3" a="1"/>
  <c r="AG76" i="3" s="1"/>
  <c r="AG77" i="3" a="1"/>
  <c r="AG77" i="3" s="1"/>
  <c r="AG78" i="3" a="1"/>
  <c r="AG78" i="3"/>
  <c r="AG79" i="3" a="1"/>
  <c r="AG79" i="3" s="1"/>
  <c r="AG80" i="3" a="1"/>
  <c r="AG80" i="3" s="1"/>
  <c r="AG81" i="3" a="1"/>
  <c r="AG81" i="3" s="1"/>
  <c r="AG82" i="3" a="1"/>
  <c r="AG82" i="3"/>
  <c r="AG83" i="3" a="1"/>
  <c r="AG83" i="3" s="1"/>
  <c r="AG84" i="3" a="1"/>
  <c r="AG84" i="3" s="1"/>
  <c r="AG85" i="3" a="1"/>
  <c r="AG85" i="3" s="1"/>
  <c r="AG86" i="3" a="1"/>
  <c r="AG86" i="3"/>
  <c r="AG87" i="3" a="1"/>
  <c r="AG87" i="3" s="1"/>
  <c r="AG88" i="3" a="1"/>
  <c r="AG88" i="3" s="1"/>
  <c r="AG89" i="3" a="1"/>
  <c r="AG89" i="3" s="1"/>
  <c r="AG90" i="3" a="1"/>
  <c r="AG90" i="3"/>
  <c r="AG91" i="3" a="1"/>
  <c r="AG91" i="3" s="1"/>
  <c r="AG92" i="3" a="1"/>
  <c r="AG92" i="3" s="1"/>
  <c r="AG93" i="3" a="1"/>
  <c r="AG93" i="3" s="1"/>
  <c r="AG94" i="3" a="1"/>
  <c r="AG94" i="3"/>
  <c r="AG95" i="3" a="1"/>
  <c r="AG95" i="3" s="1"/>
  <c r="AG96" i="3" a="1"/>
  <c r="AG96" i="3" s="1"/>
  <c r="AG97" i="3" a="1"/>
  <c r="AG97" i="3" s="1"/>
  <c r="AG98" i="3" a="1"/>
  <c r="AG98" i="3"/>
  <c r="AG99" i="3" a="1"/>
  <c r="AG99" i="3" s="1"/>
  <c r="AG100" i="3" a="1"/>
  <c r="AG100" i="3" s="1"/>
  <c r="AG101" i="3" a="1"/>
  <c r="AG101" i="3" s="1"/>
  <c r="AG102" i="3" a="1"/>
  <c r="AG102" i="3"/>
  <c r="AG103" i="3" a="1"/>
  <c r="AG103" i="3" s="1"/>
  <c r="AG104" i="3" a="1"/>
  <c r="AG104" i="3" s="1"/>
  <c r="AG105" i="3" a="1"/>
  <c r="AG105" i="3" s="1"/>
  <c r="AG106" i="3" a="1"/>
  <c r="AG106" i="3"/>
  <c r="AG107" i="3" a="1"/>
  <c r="AG107" i="3" s="1"/>
  <c r="AG108" i="3" a="1"/>
  <c r="AG108" i="3" s="1"/>
  <c r="AG109" i="3" a="1"/>
  <c r="AG109" i="3" s="1"/>
  <c r="AG110" i="3" a="1"/>
  <c r="AG110" i="3"/>
  <c r="AG111" i="3" a="1"/>
  <c r="AG111" i="3" s="1"/>
  <c r="AG112" i="3" a="1"/>
  <c r="AG112" i="3" s="1"/>
  <c r="AG113" i="3" a="1"/>
  <c r="AG113" i="3" s="1"/>
  <c r="AG114" i="3" a="1"/>
  <c r="AG114" i="3"/>
  <c r="AG115" i="3" a="1"/>
  <c r="AG115" i="3" s="1"/>
  <c r="AG116" i="3" a="1"/>
  <c r="AG116" i="3" s="1"/>
  <c r="AG117" i="3" a="1"/>
  <c r="AG117" i="3" s="1"/>
  <c r="AG118" i="3" a="1"/>
  <c r="AG118" i="3"/>
  <c r="AG119" i="3" a="1"/>
  <c r="AG119" i="3" s="1"/>
  <c r="AG120" i="3" a="1"/>
  <c r="AG120" i="3" s="1"/>
  <c r="AG121" i="3" a="1"/>
  <c r="AG121" i="3" s="1"/>
  <c r="AG122" i="3" a="1"/>
  <c r="AG122" i="3"/>
  <c r="AG123" i="3" a="1"/>
  <c r="AG123" i="3" s="1"/>
  <c r="AG124" i="3" a="1"/>
  <c r="AG124" i="3" s="1"/>
  <c r="AG125" i="3" a="1"/>
  <c r="AG125" i="3" s="1"/>
  <c r="AG126" i="3" a="1"/>
  <c r="AG126" i="3"/>
  <c r="AG127" i="3" a="1"/>
  <c r="AG127" i="3" s="1"/>
  <c r="AG128" i="3" a="1"/>
  <c r="AG128" i="3" s="1"/>
  <c r="AG129" i="3" a="1"/>
  <c r="AG129" i="3" s="1"/>
  <c r="AG130" i="3" a="1"/>
  <c r="AG130" i="3"/>
  <c r="AG131" i="3" a="1"/>
  <c r="AG131" i="3" s="1"/>
  <c r="AG132" i="3" a="1"/>
  <c r="AG132" i="3" s="1"/>
  <c r="AG133" i="3" a="1"/>
  <c r="AG133" i="3" s="1"/>
  <c r="AG134" i="3" a="1"/>
  <c r="AG134" i="3"/>
  <c r="AG135" i="3" a="1"/>
  <c r="AG135" i="3" s="1"/>
  <c r="AG136" i="3" a="1"/>
  <c r="AG136" i="3" s="1"/>
  <c r="AG137" i="3" a="1"/>
  <c r="AG137" i="3" s="1"/>
  <c r="AG138" i="3" a="1"/>
  <c r="AG138" i="3"/>
  <c r="AG139" i="3" a="1"/>
  <c r="AG139" i="3" s="1"/>
  <c r="AG140" i="3" a="1"/>
  <c r="AG140" i="3" s="1"/>
  <c r="AG141" i="3" a="1"/>
  <c r="AG141" i="3" s="1"/>
  <c r="AG142" i="3" a="1"/>
  <c r="AG142" i="3"/>
  <c r="AG143" i="3" a="1"/>
  <c r="AG143" i="3" s="1"/>
  <c r="AG144" i="3" a="1"/>
  <c r="AG144" i="3" s="1"/>
  <c r="AG145" i="3" a="1"/>
  <c r="AG145" i="3" s="1"/>
  <c r="AG146" i="3" a="1"/>
  <c r="AG146" i="3"/>
  <c r="AG147" i="3" a="1"/>
  <c r="AG147" i="3" s="1"/>
  <c r="AG148" i="3" a="1"/>
  <c r="AG148" i="3" s="1"/>
  <c r="AG149" i="3" a="1"/>
  <c r="AG149" i="3" s="1"/>
  <c r="AG150" i="3" a="1"/>
  <c r="AG150" i="3"/>
  <c r="AG151" i="3" a="1"/>
  <c r="AG151" i="3" s="1"/>
  <c r="AG152" i="3" a="1"/>
  <c r="AG152" i="3" s="1"/>
  <c r="AG153" i="3" a="1"/>
  <c r="AG153" i="3" s="1"/>
  <c r="AG154" i="3" a="1"/>
  <c r="AG154" i="3"/>
  <c r="AG155" i="3" a="1"/>
  <c r="AG155" i="3" s="1"/>
  <c r="AG156" i="3" a="1"/>
  <c r="AG156" i="3" s="1"/>
  <c r="AG157" i="3" a="1"/>
  <c r="AG157" i="3" s="1"/>
  <c r="AG158" i="3" a="1"/>
  <c r="AG158" i="3"/>
  <c r="AG159" i="3" a="1"/>
  <c r="AG159" i="3" s="1"/>
  <c r="AG160" i="3" a="1"/>
  <c r="AG160" i="3" s="1"/>
  <c r="AG161" i="3" a="1"/>
  <c r="AG161" i="3" s="1"/>
  <c r="AG162" i="3" a="1"/>
  <c r="AG162" i="3"/>
  <c r="AG163" i="3" a="1"/>
  <c r="AG163" i="3" s="1"/>
  <c r="AG164" i="3" a="1"/>
  <c r="AG164" i="3" s="1"/>
  <c r="AG165" i="3" a="1"/>
  <c r="AG165" i="3" s="1"/>
  <c r="AG166" i="3" a="1"/>
  <c r="AG166" i="3"/>
  <c r="AG167" i="3" a="1"/>
  <c r="AG167" i="3" s="1"/>
  <c r="AG168" i="3" a="1"/>
  <c r="AG168" i="3" s="1"/>
  <c r="AG169" i="3" a="1"/>
  <c r="AG169" i="3" s="1"/>
  <c r="AG170" i="3" a="1"/>
  <c r="AG170" i="3"/>
  <c r="AG171" i="3" a="1"/>
  <c r="AG171" i="3" s="1"/>
  <c r="AG172" i="3" a="1"/>
  <c r="AG172" i="3" s="1"/>
  <c r="AG173" i="3" a="1"/>
  <c r="AG173" i="3" s="1"/>
  <c r="AG174" i="3" a="1"/>
  <c r="AG174" i="3"/>
  <c r="AG175" i="3" a="1"/>
  <c r="AG175" i="3" s="1"/>
  <c r="AG176" i="3" a="1"/>
  <c r="AG176" i="3" s="1"/>
  <c r="AG177" i="3" a="1"/>
  <c r="AG177" i="3" s="1"/>
  <c r="AG178" i="3" a="1"/>
  <c r="AG178" i="3"/>
  <c r="AG179" i="3" a="1"/>
  <c r="AG179" i="3" s="1"/>
  <c r="AG180" i="3" a="1"/>
  <c r="AG180" i="3" s="1"/>
  <c r="AG181" i="3" a="1"/>
  <c r="AG181" i="3" s="1"/>
  <c r="AG182" i="3" a="1"/>
  <c r="AG182" i="3"/>
  <c r="AG183" i="3" a="1"/>
  <c r="AG183" i="3" s="1"/>
  <c r="AG184" i="3" a="1"/>
  <c r="AG184" i="3" s="1"/>
  <c r="AG185" i="3" a="1"/>
  <c r="AG185" i="3" s="1"/>
  <c r="AG186" i="3" a="1"/>
  <c r="AG186" i="3"/>
  <c r="AG187" i="3" a="1"/>
  <c r="AG187" i="3" s="1"/>
  <c r="AG188" i="3" a="1"/>
  <c r="AG188" i="3" s="1"/>
  <c r="AG189" i="3" a="1"/>
  <c r="AG189" i="3" s="1"/>
  <c r="AG190" i="3" a="1"/>
  <c r="AG190" i="3"/>
  <c r="AG191" i="3" a="1"/>
  <c r="AG191" i="3" s="1"/>
  <c r="AG192" i="3" a="1"/>
  <c r="AG192" i="3" s="1"/>
  <c r="AG193" i="3" a="1"/>
  <c r="AG193" i="3" s="1"/>
  <c r="AG194" i="3" a="1"/>
  <c r="AG194" i="3"/>
  <c r="AG195" i="3" a="1"/>
  <c r="AG195" i="3" s="1"/>
  <c r="AG196" i="3" a="1"/>
  <c r="AG196" i="3" s="1"/>
  <c r="AG197" i="3" a="1"/>
  <c r="AG197" i="3" s="1"/>
  <c r="AG198" i="3" a="1"/>
  <c r="AG198" i="3"/>
  <c r="AG199" i="3" a="1"/>
  <c r="AG199" i="3" s="1"/>
  <c r="AG200" i="3" a="1"/>
  <c r="AG200" i="3" s="1"/>
  <c r="AG201" i="3" a="1"/>
  <c r="AG201" i="3" s="1"/>
  <c r="AG2" i="3" a="1"/>
  <c r="AG2" i="3" s="1"/>
  <c r="AF3" i="3" a="1"/>
  <c r="AF3" i="3" s="1"/>
  <c r="AF4" i="3" a="1"/>
  <c r="AF4" i="3" s="1"/>
  <c r="AF5" i="3" a="1"/>
  <c r="AF5" i="3" s="1"/>
  <c r="AF6" i="3" a="1"/>
  <c r="AF6" i="3"/>
  <c r="AF7" i="3" a="1"/>
  <c r="AF7" i="3" s="1"/>
  <c r="AF8" i="3" a="1"/>
  <c r="AF8" i="3" s="1"/>
  <c r="AF9" i="3" a="1"/>
  <c r="AF9" i="3" s="1"/>
  <c r="AF10" i="3" a="1"/>
  <c r="AF10" i="3"/>
  <c r="AF11" i="3" a="1"/>
  <c r="AF11" i="3" s="1"/>
  <c r="AF12" i="3" a="1"/>
  <c r="AF12" i="3" s="1"/>
  <c r="AF13" i="3" a="1"/>
  <c r="AF13" i="3" s="1"/>
  <c r="AF14" i="3" a="1"/>
  <c r="AF14" i="3"/>
  <c r="AF15" i="3" a="1"/>
  <c r="AF15" i="3" s="1"/>
  <c r="AF16" i="3" a="1"/>
  <c r="AF16" i="3" s="1"/>
  <c r="AF17" i="3" a="1"/>
  <c r="AF17" i="3" s="1"/>
  <c r="AF18" i="3" a="1"/>
  <c r="AF18" i="3"/>
  <c r="AF19" i="3" a="1"/>
  <c r="AF19" i="3" s="1"/>
  <c r="AF20" i="3" a="1"/>
  <c r="AF20" i="3" s="1"/>
  <c r="AF21" i="3" a="1"/>
  <c r="AF21" i="3" s="1"/>
  <c r="AF22" i="3" a="1"/>
  <c r="AF22" i="3"/>
  <c r="AF23" i="3" a="1"/>
  <c r="AF23" i="3" s="1"/>
  <c r="AF24" i="3" a="1"/>
  <c r="AF24" i="3" s="1"/>
  <c r="AF25" i="3" a="1"/>
  <c r="AF25" i="3" s="1"/>
  <c r="AF26" i="3" a="1"/>
  <c r="AF26" i="3"/>
  <c r="AF27" i="3" a="1"/>
  <c r="AF27" i="3" s="1"/>
  <c r="AF28" i="3" a="1"/>
  <c r="AF28" i="3" s="1"/>
  <c r="AF29" i="3" a="1"/>
  <c r="AF29" i="3" s="1"/>
  <c r="AF30" i="3" a="1"/>
  <c r="AF30" i="3"/>
  <c r="AF31" i="3" a="1"/>
  <c r="AF31" i="3" s="1"/>
  <c r="AF32" i="3" a="1"/>
  <c r="AF32" i="3" s="1"/>
  <c r="AF33" i="3" a="1"/>
  <c r="AF33" i="3" s="1"/>
  <c r="AF34" i="3" a="1"/>
  <c r="AF34" i="3"/>
  <c r="AF35" i="3" a="1"/>
  <c r="AF35" i="3" s="1"/>
  <c r="AF36" i="3" a="1"/>
  <c r="AF36" i="3" s="1"/>
  <c r="AF37" i="3" a="1"/>
  <c r="AF37" i="3" s="1"/>
  <c r="AF38" i="3" a="1"/>
  <c r="AF38" i="3"/>
  <c r="AF39" i="3" a="1"/>
  <c r="AF39" i="3" s="1"/>
  <c r="AF40" i="3" a="1"/>
  <c r="AF40" i="3" s="1"/>
  <c r="AF41" i="3" a="1"/>
  <c r="AF41" i="3" s="1"/>
  <c r="AF42" i="3" a="1"/>
  <c r="AF42" i="3"/>
  <c r="AF43" i="3" a="1"/>
  <c r="AF43" i="3" s="1"/>
  <c r="AF44" i="3" a="1"/>
  <c r="AF44" i="3" s="1"/>
  <c r="AF45" i="3" a="1"/>
  <c r="AF45" i="3" s="1"/>
  <c r="AF46" i="3" a="1"/>
  <c r="AF46" i="3"/>
  <c r="AF47" i="3" a="1"/>
  <c r="AF47" i="3" s="1"/>
  <c r="AF48" i="3" a="1"/>
  <c r="AF48" i="3" s="1"/>
  <c r="AF49" i="3" a="1"/>
  <c r="AF49" i="3" s="1"/>
  <c r="AF50" i="3" a="1"/>
  <c r="AF50" i="3"/>
  <c r="AF51" i="3" a="1"/>
  <c r="AF51" i="3" s="1"/>
  <c r="AF52" i="3" a="1"/>
  <c r="AF52" i="3" s="1"/>
  <c r="AF53" i="3" a="1"/>
  <c r="AF53" i="3" s="1"/>
  <c r="AF54" i="3" a="1"/>
  <c r="AF54" i="3"/>
  <c r="AF55" i="3" a="1"/>
  <c r="AF55" i="3" s="1"/>
  <c r="AF56" i="3" a="1"/>
  <c r="AF56" i="3" s="1"/>
  <c r="AF57" i="3" a="1"/>
  <c r="AF57" i="3" s="1"/>
  <c r="AF58" i="3" a="1"/>
  <c r="AF58" i="3"/>
  <c r="AF59" i="3" a="1"/>
  <c r="AF59" i="3" s="1"/>
  <c r="AF60" i="3" a="1"/>
  <c r="AF60" i="3" s="1"/>
  <c r="AF61" i="3" a="1"/>
  <c r="AF61" i="3" s="1"/>
  <c r="AF62" i="3" a="1"/>
  <c r="AF62" i="3"/>
  <c r="AF63" i="3" a="1"/>
  <c r="AF63" i="3" s="1"/>
  <c r="AF64" i="3" a="1"/>
  <c r="AF64" i="3" s="1"/>
  <c r="AF65" i="3" a="1"/>
  <c r="AF65" i="3" s="1"/>
  <c r="AF66" i="3" a="1"/>
  <c r="AF66" i="3"/>
  <c r="AF67" i="3" a="1"/>
  <c r="AF67" i="3" s="1"/>
  <c r="AF68" i="3" a="1"/>
  <c r="AF68" i="3" s="1"/>
  <c r="AF69" i="3" a="1"/>
  <c r="AF69" i="3" s="1"/>
  <c r="AF70" i="3" a="1"/>
  <c r="AF70" i="3"/>
  <c r="AF71" i="3" a="1"/>
  <c r="AF71" i="3" s="1"/>
  <c r="AF72" i="3" a="1"/>
  <c r="AF72" i="3" s="1"/>
  <c r="AF73" i="3" a="1"/>
  <c r="AF73" i="3" s="1"/>
  <c r="AF74" i="3" a="1"/>
  <c r="AF74" i="3"/>
  <c r="AF75" i="3" a="1"/>
  <c r="AF75" i="3" s="1"/>
  <c r="AF76" i="3" a="1"/>
  <c r="AF76" i="3" s="1"/>
  <c r="AF77" i="3" a="1"/>
  <c r="AF77" i="3" s="1"/>
  <c r="AF78" i="3" a="1"/>
  <c r="AF78" i="3"/>
  <c r="AF79" i="3" a="1"/>
  <c r="AF79" i="3" s="1"/>
  <c r="AF80" i="3" a="1"/>
  <c r="AF80" i="3" s="1"/>
  <c r="AF81" i="3" a="1"/>
  <c r="AF81" i="3" s="1"/>
  <c r="AF82" i="3" a="1"/>
  <c r="AF82" i="3"/>
  <c r="AF83" i="3" a="1"/>
  <c r="AF83" i="3" s="1"/>
  <c r="AF84" i="3" a="1"/>
  <c r="AF84" i="3" s="1"/>
  <c r="AF85" i="3" a="1"/>
  <c r="AF85" i="3" s="1"/>
  <c r="AF86" i="3" a="1"/>
  <c r="AF86" i="3"/>
  <c r="AF87" i="3" a="1"/>
  <c r="AF87" i="3" s="1"/>
  <c r="AF88" i="3" a="1"/>
  <c r="AF88" i="3" s="1"/>
  <c r="AF89" i="3" a="1"/>
  <c r="AF89" i="3" s="1"/>
  <c r="AF90" i="3" a="1"/>
  <c r="AF90" i="3"/>
  <c r="AF91" i="3" a="1"/>
  <c r="AF91" i="3" s="1"/>
  <c r="AF92" i="3" a="1"/>
  <c r="AF92" i="3" s="1"/>
  <c r="AF93" i="3" a="1"/>
  <c r="AF93" i="3" s="1"/>
  <c r="AF94" i="3" a="1"/>
  <c r="AF94" i="3"/>
  <c r="AF95" i="3" a="1"/>
  <c r="AF95" i="3" s="1"/>
  <c r="AF96" i="3" a="1"/>
  <c r="AF96" i="3" s="1"/>
  <c r="AF97" i="3" a="1"/>
  <c r="AF97" i="3" s="1"/>
  <c r="AF98" i="3" a="1"/>
  <c r="AF98" i="3"/>
  <c r="AF99" i="3" a="1"/>
  <c r="AF99" i="3" s="1"/>
  <c r="AF100" i="3" a="1"/>
  <c r="AF100" i="3" s="1"/>
  <c r="AF101" i="3" a="1"/>
  <c r="AF101" i="3" s="1"/>
  <c r="AF102" i="3" a="1"/>
  <c r="AF102" i="3"/>
  <c r="AF103" i="3" a="1"/>
  <c r="AF103" i="3" s="1"/>
  <c r="AF104" i="3" a="1"/>
  <c r="AF104" i="3" s="1"/>
  <c r="AF105" i="3" a="1"/>
  <c r="AF105" i="3" s="1"/>
  <c r="AF106" i="3" a="1"/>
  <c r="AF106" i="3"/>
  <c r="AF107" i="3" a="1"/>
  <c r="AF107" i="3" s="1"/>
  <c r="AF108" i="3" a="1"/>
  <c r="AF108" i="3" s="1"/>
  <c r="AF109" i="3" a="1"/>
  <c r="AF109" i="3" s="1"/>
  <c r="AF110" i="3" a="1"/>
  <c r="AF110" i="3"/>
  <c r="AF111" i="3" a="1"/>
  <c r="AF111" i="3" s="1"/>
  <c r="AF112" i="3" a="1"/>
  <c r="AF112" i="3" s="1"/>
  <c r="AF113" i="3" a="1"/>
  <c r="AF113" i="3" s="1"/>
  <c r="AF114" i="3" a="1"/>
  <c r="AF114" i="3"/>
  <c r="AF115" i="3" a="1"/>
  <c r="AF115" i="3" s="1"/>
  <c r="AF116" i="3" a="1"/>
  <c r="AF116" i="3" s="1"/>
  <c r="AF117" i="3" a="1"/>
  <c r="AF117" i="3" s="1"/>
  <c r="AF118" i="3" a="1"/>
  <c r="AF118" i="3"/>
  <c r="AF119" i="3" a="1"/>
  <c r="AF119" i="3" s="1"/>
  <c r="AF120" i="3" a="1"/>
  <c r="AF120" i="3" s="1"/>
  <c r="AF121" i="3" a="1"/>
  <c r="AF121" i="3" s="1"/>
  <c r="AF122" i="3" a="1"/>
  <c r="AF122" i="3"/>
  <c r="AF123" i="3" a="1"/>
  <c r="AF123" i="3" s="1"/>
  <c r="AF124" i="3" a="1"/>
  <c r="AF124" i="3" s="1"/>
  <c r="AF125" i="3" a="1"/>
  <c r="AF125" i="3" s="1"/>
  <c r="AF126" i="3" a="1"/>
  <c r="AF126" i="3"/>
  <c r="AF127" i="3" a="1"/>
  <c r="AF127" i="3" s="1"/>
  <c r="AF128" i="3" a="1"/>
  <c r="AF128" i="3" s="1"/>
  <c r="AF129" i="3" a="1"/>
  <c r="AF129" i="3" s="1"/>
  <c r="AF130" i="3" a="1"/>
  <c r="AF130" i="3"/>
  <c r="AF131" i="3" a="1"/>
  <c r="AF131" i="3" s="1"/>
  <c r="AF132" i="3" a="1"/>
  <c r="AF132" i="3" s="1"/>
  <c r="AF133" i="3" a="1"/>
  <c r="AF133" i="3" s="1"/>
  <c r="AF134" i="3" a="1"/>
  <c r="AF134" i="3"/>
  <c r="AF135" i="3" a="1"/>
  <c r="AF135" i="3" s="1"/>
  <c r="AF136" i="3" a="1"/>
  <c r="AF136" i="3" s="1"/>
  <c r="AF137" i="3" a="1"/>
  <c r="AF137" i="3" s="1"/>
  <c r="AF138" i="3" a="1"/>
  <c r="AF138" i="3"/>
  <c r="AF139" i="3" a="1"/>
  <c r="AF139" i="3" s="1"/>
  <c r="AF140" i="3" a="1"/>
  <c r="AF140" i="3" s="1"/>
  <c r="AF141" i="3" a="1"/>
  <c r="AF141" i="3" s="1"/>
  <c r="AF142" i="3" a="1"/>
  <c r="AF142" i="3"/>
  <c r="AF143" i="3" a="1"/>
  <c r="AF143" i="3" s="1"/>
  <c r="AF144" i="3" a="1"/>
  <c r="AF144" i="3" s="1"/>
  <c r="AF145" i="3" a="1"/>
  <c r="AF145" i="3" s="1"/>
  <c r="AF146" i="3" a="1"/>
  <c r="AF146" i="3"/>
  <c r="AF147" i="3" a="1"/>
  <c r="AF147" i="3" s="1"/>
  <c r="AF148" i="3" a="1"/>
  <c r="AF148" i="3" s="1"/>
  <c r="AF149" i="3" a="1"/>
  <c r="AF149" i="3" s="1"/>
  <c r="AF150" i="3" a="1"/>
  <c r="AF150" i="3"/>
  <c r="AF151" i="3" a="1"/>
  <c r="AF151" i="3" s="1"/>
  <c r="AF152" i="3" a="1"/>
  <c r="AF152" i="3" s="1"/>
  <c r="AF153" i="3" a="1"/>
  <c r="AF153" i="3" s="1"/>
  <c r="AF154" i="3" a="1"/>
  <c r="AF154" i="3"/>
  <c r="AF155" i="3" a="1"/>
  <c r="AF155" i="3" s="1"/>
  <c r="AF156" i="3" a="1"/>
  <c r="AF156" i="3" s="1"/>
  <c r="AF157" i="3" a="1"/>
  <c r="AF157" i="3" s="1"/>
  <c r="AF158" i="3" a="1"/>
  <c r="AF158" i="3"/>
  <c r="AF159" i="3" a="1"/>
  <c r="AF159" i="3" s="1"/>
  <c r="AF160" i="3" a="1"/>
  <c r="AF160" i="3" s="1"/>
  <c r="AF161" i="3" a="1"/>
  <c r="AF161" i="3" s="1"/>
  <c r="AF162" i="3" a="1"/>
  <c r="AF162" i="3"/>
  <c r="AF163" i="3" a="1"/>
  <c r="AF163" i="3" s="1"/>
  <c r="AF164" i="3" a="1"/>
  <c r="AF164" i="3" s="1"/>
  <c r="AF165" i="3" a="1"/>
  <c r="AF165" i="3" s="1"/>
  <c r="AF166" i="3" a="1"/>
  <c r="AF166" i="3"/>
  <c r="AF167" i="3" a="1"/>
  <c r="AF167" i="3" s="1"/>
  <c r="AF168" i="3" a="1"/>
  <c r="AF168" i="3" s="1"/>
  <c r="AF169" i="3" a="1"/>
  <c r="AF169" i="3" s="1"/>
  <c r="AF170" i="3" a="1"/>
  <c r="AF170" i="3"/>
  <c r="AF171" i="3" a="1"/>
  <c r="AF171" i="3" s="1"/>
  <c r="AF172" i="3" a="1"/>
  <c r="AF172" i="3" s="1"/>
  <c r="AF173" i="3" a="1"/>
  <c r="AF173" i="3" s="1"/>
  <c r="AF174" i="3" a="1"/>
  <c r="AF174" i="3"/>
  <c r="AF175" i="3" a="1"/>
  <c r="AF175" i="3" s="1"/>
  <c r="AF176" i="3" a="1"/>
  <c r="AF176" i="3" s="1"/>
  <c r="AF177" i="3" a="1"/>
  <c r="AF177" i="3" s="1"/>
  <c r="AF178" i="3" a="1"/>
  <c r="AF178" i="3"/>
  <c r="AF179" i="3" a="1"/>
  <c r="AF179" i="3" s="1"/>
  <c r="AF180" i="3" a="1"/>
  <c r="AF180" i="3" s="1"/>
  <c r="AF181" i="3" a="1"/>
  <c r="AF181" i="3" s="1"/>
  <c r="AF182" i="3" a="1"/>
  <c r="AF182" i="3"/>
  <c r="AF183" i="3" a="1"/>
  <c r="AF183" i="3" s="1"/>
  <c r="AF184" i="3" a="1"/>
  <c r="AF184" i="3" s="1"/>
  <c r="AF185" i="3" a="1"/>
  <c r="AF185" i="3" s="1"/>
  <c r="AF186" i="3" a="1"/>
  <c r="AF186" i="3"/>
  <c r="AF187" i="3" a="1"/>
  <c r="AF187" i="3" s="1"/>
  <c r="AF188" i="3" a="1"/>
  <c r="AF188" i="3" s="1"/>
  <c r="AF189" i="3" a="1"/>
  <c r="AF189" i="3" s="1"/>
  <c r="AF190" i="3" a="1"/>
  <c r="AF190" i="3"/>
  <c r="AF191" i="3" a="1"/>
  <c r="AF191" i="3" s="1"/>
  <c r="AF192" i="3" a="1"/>
  <c r="AF192" i="3" s="1"/>
  <c r="AF193" i="3" a="1"/>
  <c r="AF193" i="3" s="1"/>
  <c r="AF194" i="3" a="1"/>
  <c r="AF194" i="3"/>
  <c r="AF195" i="3" a="1"/>
  <c r="AF195" i="3" s="1"/>
  <c r="AF196" i="3" a="1"/>
  <c r="AF196" i="3" s="1"/>
  <c r="AF197" i="3" a="1"/>
  <c r="AF197" i="3" s="1"/>
  <c r="AF198" i="3" a="1"/>
  <c r="AF198" i="3" s="1"/>
  <c r="AF199" i="3" a="1"/>
  <c r="AF199" i="3" s="1"/>
  <c r="AF200" i="3" a="1"/>
  <c r="AF200" i="3" s="1"/>
  <c r="AF201" i="3" a="1"/>
  <c r="AF201" i="3" s="1"/>
  <c r="AF2" i="3" a="1"/>
  <c r="AF2" i="3" s="1"/>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 i="3"/>
  <c r="AD3" i="3" a="1"/>
  <c r="AD3" i="3" s="1"/>
  <c r="AD4" i="3" a="1"/>
  <c r="AD4" i="3" s="1"/>
  <c r="AD5" i="3" a="1"/>
  <c r="AD5" i="3" s="1"/>
  <c r="AD6" i="3" a="1"/>
  <c r="AD6" i="3"/>
  <c r="AD7" i="3" a="1"/>
  <c r="AD7" i="3" s="1"/>
  <c r="AD8" i="3" a="1"/>
  <c r="AD8" i="3" s="1"/>
  <c r="AD9" i="3" a="1"/>
  <c r="AD9" i="3" s="1"/>
  <c r="AD10" i="3" a="1"/>
  <c r="AD10" i="3"/>
  <c r="AD11" i="3" a="1"/>
  <c r="AD11" i="3" s="1"/>
  <c r="AD12" i="3" a="1"/>
  <c r="AD12" i="3" s="1"/>
  <c r="AD13" i="3" a="1"/>
  <c r="AD13" i="3" s="1"/>
  <c r="AD14" i="3" a="1"/>
  <c r="AD14" i="3"/>
  <c r="AD15" i="3" a="1"/>
  <c r="AD15" i="3" s="1"/>
  <c r="AD16" i="3" a="1"/>
  <c r="AD16" i="3" s="1"/>
  <c r="AD17" i="3" a="1"/>
  <c r="AD17" i="3" s="1"/>
  <c r="AD18" i="3" a="1"/>
  <c r="AD18" i="3"/>
  <c r="AD19" i="3" a="1"/>
  <c r="AD19" i="3" s="1"/>
  <c r="AD20" i="3" a="1"/>
  <c r="AD20" i="3" s="1"/>
  <c r="AD21" i="3" a="1"/>
  <c r="AD21" i="3" s="1"/>
  <c r="AD22" i="3" a="1"/>
  <c r="AD22" i="3"/>
  <c r="AD23" i="3" a="1"/>
  <c r="AD23" i="3" s="1"/>
  <c r="AD24" i="3" a="1"/>
  <c r="AD24" i="3" s="1"/>
  <c r="AD25" i="3" a="1"/>
  <c r="AD25" i="3" s="1"/>
  <c r="AD26" i="3" a="1"/>
  <c r="AD26" i="3"/>
  <c r="AD27" i="3" a="1"/>
  <c r="AD27" i="3" s="1"/>
  <c r="AD28" i="3" a="1"/>
  <c r="AD28" i="3" s="1"/>
  <c r="AD29" i="3" a="1"/>
  <c r="AD29" i="3" s="1"/>
  <c r="AD30" i="3" a="1"/>
  <c r="AD30" i="3"/>
  <c r="AD31" i="3" a="1"/>
  <c r="AD31" i="3" s="1"/>
  <c r="AD32" i="3" a="1"/>
  <c r="AD32" i="3" s="1"/>
  <c r="AD33" i="3" a="1"/>
  <c r="AD33" i="3" s="1"/>
  <c r="AD34" i="3" a="1"/>
  <c r="AD34" i="3"/>
  <c r="AD35" i="3" a="1"/>
  <c r="AD35" i="3" s="1"/>
  <c r="AD36" i="3" a="1"/>
  <c r="AD36" i="3" s="1"/>
  <c r="AD37" i="3" a="1"/>
  <c r="AD37" i="3" s="1"/>
  <c r="AD38" i="3" a="1"/>
  <c r="AD38" i="3"/>
  <c r="AD39" i="3" a="1"/>
  <c r="AD39" i="3" s="1"/>
  <c r="AD40" i="3" a="1"/>
  <c r="AD40" i="3" s="1"/>
  <c r="AD41" i="3" a="1"/>
  <c r="AD41" i="3" s="1"/>
  <c r="AD42" i="3" a="1"/>
  <c r="AD42" i="3"/>
  <c r="AD43" i="3" a="1"/>
  <c r="AD43" i="3" s="1"/>
  <c r="AD44" i="3" a="1"/>
  <c r="AD44" i="3" s="1"/>
  <c r="AD45" i="3" a="1"/>
  <c r="AD45" i="3" s="1"/>
  <c r="AD46" i="3" a="1"/>
  <c r="AD46" i="3"/>
  <c r="AD47" i="3" a="1"/>
  <c r="AD47" i="3" s="1"/>
  <c r="AD48" i="3" a="1"/>
  <c r="AD48" i="3" s="1"/>
  <c r="AD49" i="3" a="1"/>
  <c r="AD49" i="3" s="1"/>
  <c r="AD50" i="3" a="1"/>
  <c r="AD50" i="3"/>
  <c r="AD51" i="3" a="1"/>
  <c r="AD51" i="3" s="1"/>
  <c r="AD52" i="3" a="1"/>
  <c r="AD52" i="3" s="1"/>
  <c r="AD53" i="3" a="1"/>
  <c r="AD53" i="3" s="1"/>
  <c r="AD54" i="3" a="1"/>
  <c r="AD54" i="3"/>
  <c r="AD55" i="3" a="1"/>
  <c r="AD55" i="3" s="1"/>
  <c r="AD56" i="3" a="1"/>
  <c r="AD56" i="3" s="1"/>
  <c r="AD57" i="3" a="1"/>
  <c r="AD57" i="3" s="1"/>
  <c r="AD58" i="3" a="1"/>
  <c r="AD58" i="3"/>
  <c r="AD59" i="3" a="1"/>
  <c r="AD59" i="3" s="1"/>
  <c r="AD60" i="3" a="1"/>
  <c r="AD60" i="3" s="1"/>
  <c r="AD61" i="3" a="1"/>
  <c r="AD61" i="3" s="1"/>
  <c r="AD62" i="3" a="1"/>
  <c r="AD62" i="3"/>
  <c r="AD63" i="3" a="1"/>
  <c r="AD63" i="3" s="1"/>
  <c r="AD64" i="3" a="1"/>
  <c r="AD64" i="3" s="1"/>
  <c r="AD65" i="3" a="1"/>
  <c r="AD65" i="3" s="1"/>
  <c r="AD66" i="3" a="1"/>
  <c r="AD66" i="3"/>
  <c r="AD67" i="3" a="1"/>
  <c r="AD67" i="3" s="1"/>
  <c r="AD68" i="3" a="1"/>
  <c r="AD68" i="3" s="1"/>
  <c r="AD69" i="3" a="1"/>
  <c r="AD69" i="3" s="1"/>
  <c r="AD70" i="3" a="1"/>
  <c r="AD70" i="3"/>
  <c r="AD71" i="3" a="1"/>
  <c r="AD71" i="3" s="1"/>
  <c r="AD72" i="3" a="1"/>
  <c r="AD72" i="3" s="1"/>
  <c r="AD73" i="3" a="1"/>
  <c r="AD73" i="3" s="1"/>
  <c r="AD74" i="3" a="1"/>
  <c r="AD74" i="3"/>
  <c r="AD75" i="3" a="1"/>
  <c r="AD75" i="3" s="1"/>
  <c r="AD76" i="3" a="1"/>
  <c r="AD76" i="3" s="1"/>
  <c r="AD77" i="3" a="1"/>
  <c r="AD77" i="3" s="1"/>
  <c r="AD78" i="3" a="1"/>
  <c r="AD78" i="3"/>
  <c r="AD79" i="3" a="1"/>
  <c r="AD79" i="3" s="1"/>
  <c r="AD80" i="3" a="1"/>
  <c r="AD80" i="3" s="1"/>
  <c r="AD81" i="3" a="1"/>
  <c r="AD81" i="3" s="1"/>
  <c r="AD82" i="3" a="1"/>
  <c r="AD82" i="3"/>
  <c r="AD83" i="3" a="1"/>
  <c r="AD83" i="3" s="1"/>
  <c r="AD84" i="3" a="1"/>
  <c r="AD84" i="3" s="1"/>
  <c r="AD85" i="3" a="1"/>
  <c r="AD85" i="3" s="1"/>
  <c r="AD86" i="3" a="1"/>
  <c r="AD86" i="3"/>
  <c r="AD87" i="3" a="1"/>
  <c r="AD87" i="3" s="1"/>
  <c r="AD88" i="3" a="1"/>
  <c r="AD88" i="3" s="1"/>
  <c r="AD89" i="3" a="1"/>
  <c r="AD89" i="3" s="1"/>
  <c r="AD90" i="3" a="1"/>
  <c r="AD90" i="3"/>
  <c r="AD91" i="3" a="1"/>
  <c r="AD91" i="3" s="1"/>
  <c r="AD92" i="3" a="1"/>
  <c r="AD92" i="3" s="1"/>
  <c r="AD93" i="3" a="1"/>
  <c r="AD93" i="3" s="1"/>
  <c r="AD94" i="3" a="1"/>
  <c r="AD94" i="3"/>
  <c r="AD95" i="3" a="1"/>
  <c r="AD95" i="3" s="1"/>
  <c r="AD96" i="3" a="1"/>
  <c r="AD96" i="3" s="1"/>
  <c r="AD97" i="3" a="1"/>
  <c r="AD97" i="3" s="1"/>
  <c r="AD98" i="3" a="1"/>
  <c r="AD98" i="3"/>
  <c r="AD99" i="3" a="1"/>
  <c r="AD99" i="3" s="1"/>
  <c r="AD100" i="3" a="1"/>
  <c r="AD100" i="3" s="1"/>
  <c r="AD101" i="3" a="1"/>
  <c r="AD101" i="3" s="1"/>
  <c r="AD102" i="3" a="1"/>
  <c r="AD102" i="3"/>
  <c r="AD103" i="3" a="1"/>
  <c r="AD103" i="3" s="1"/>
  <c r="AD104" i="3" a="1"/>
  <c r="AD104" i="3" s="1"/>
  <c r="AD105" i="3" a="1"/>
  <c r="AD105" i="3" s="1"/>
  <c r="AD106" i="3" a="1"/>
  <c r="AD106" i="3"/>
  <c r="AD107" i="3" a="1"/>
  <c r="AD107" i="3" s="1"/>
  <c r="AD108" i="3" a="1"/>
  <c r="AD108" i="3" s="1"/>
  <c r="AD109" i="3" a="1"/>
  <c r="AD109" i="3" s="1"/>
  <c r="AD110" i="3" a="1"/>
  <c r="AD110" i="3"/>
  <c r="AD111" i="3" a="1"/>
  <c r="AD111" i="3" s="1"/>
  <c r="AD112" i="3" a="1"/>
  <c r="AD112" i="3" s="1"/>
  <c r="AD113" i="3" a="1"/>
  <c r="AD113" i="3" s="1"/>
  <c r="AD114" i="3" a="1"/>
  <c r="AD114" i="3"/>
  <c r="AD115" i="3" a="1"/>
  <c r="AD115" i="3" s="1"/>
  <c r="AD116" i="3" a="1"/>
  <c r="AD116" i="3" s="1"/>
  <c r="AD117" i="3" a="1"/>
  <c r="AD117" i="3" s="1"/>
  <c r="AD118" i="3" a="1"/>
  <c r="AD118" i="3"/>
  <c r="AD119" i="3" a="1"/>
  <c r="AD119" i="3" s="1"/>
  <c r="AD120" i="3" a="1"/>
  <c r="AD120" i="3" s="1"/>
  <c r="AD121" i="3" a="1"/>
  <c r="AD121" i="3" s="1"/>
  <c r="AD122" i="3" a="1"/>
  <c r="AD122" i="3"/>
  <c r="AD123" i="3" a="1"/>
  <c r="AD123" i="3" s="1"/>
  <c r="AD124" i="3" a="1"/>
  <c r="AD124" i="3" s="1"/>
  <c r="AD125" i="3" a="1"/>
  <c r="AD125" i="3" s="1"/>
  <c r="AD126" i="3" a="1"/>
  <c r="AD126" i="3"/>
  <c r="AD127" i="3" a="1"/>
  <c r="AD127" i="3" s="1"/>
  <c r="AD128" i="3" a="1"/>
  <c r="AD128" i="3" s="1"/>
  <c r="AD129" i="3" a="1"/>
  <c r="AD129" i="3" s="1"/>
  <c r="AD130" i="3" a="1"/>
  <c r="AD130" i="3"/>
  <c r="AD131" i="3" a="1"/>
  <c r="AD131" i="3" s="1"/>
  <c r="AD132" i="3" a="1"/>
  <c r="AD132" i="3" s="1"/>
  <c r="AD133" i="3" a="1"/>
  <c r="AD133" i="3" s="1"/>
  <c r="AD134" i="3" a="1"/>
  <c r="AD134" i="3"/>
  <c r="AD135" i="3" a="1"/>
  <c r="AD135" i="3" s="1"/>
  <c r="AD136" i="3" a="1"/>
  <c r="AD136" i="3" s="1"/>
  <c r="AD137" i="3" a="1"/>
  <c r="AD137" i="3" s="1"/>
  <c r="AD138" i="3" a="1"/>
  <c r="AD138" i="3"/>
  <c r="AD139" i="3" a="1"/>
  <c r="AD139" i="3" s="1"/>
  <c r="AD140" i="3" a="1"/>
  <c r="AD140" i="3" s="1"/>
  <c r="AD141" i="3" a="1"/>
  <c r="AD141" i="3" s="1"/>
  <c r="AD142" i="3" a="1"/>
  <c r="AD142" i="3"/>
  <c r="AD143" i="3" a="1"/>
  <c r="AD143" i="3" s="1"/>
  <c r="AD144" i="3" a="1"/>
  <c r="AD144" i="3" s="1"/>
  <c r="AD145" i="3" a="1"/>
  <c r="AD145" i="3" s="1"/>
  <c r="AD146" i="3" a="1"/>
  <c r="AD146" i="3"/>
  <c r="AD147" i="3" a="1"/>
  <c r="AD147" i="3" s="1"/>
  <c r="AD148" i="3" a="1"/>
  <c r="AD148" i="3" s="1"/>
  <c r="AD149" i="3" a="1"/>
  <c r="AD149" i="3" s="1"/>
  <c r="AD150" i="3" a="1"/>
  <c r="AD150" i="3"/>
  <c r="AD151" i="3" a="1"/>
  <c r="AD151" i="3" s="1"/>
  <c r="AD152" i="3" a="1"/>
  <c r="AD152" i="3" s="1"/>
  <c r="AD153" i="3" a="1"/>
  <c r="AD153" i="3" s="1"/>
  <c r="AD154" i="3" a="1"/>
  <c r="AD154" i="3"/>
  <c r="AD155" i="3" a="1"/>
  <c r="AD155" i="3" s="1"/>
  <c r="AD156" i="3" a="1"/>
  <c r="AD156" i="3" s="1"/>
  <c r="AD157" i="3" a="1"/>
  <c r="AD157" i="3" s="1"/>
  <c r="AD158" i="3" a="1"/>
  <c r="AD158" i="3"/>
  <c r="AD159" i="3" a="1"/>
  <c r="AD159" i="3" s="1"/>
  <c r="AD160" i="3" a="1"/>
  <c r="AD160" i="3" s="1"/>
  <c r="AD161" i="3" a="1"/>
  <c r="AD161" i="3" s="1"/>
  <c r="AD162" i="3" a="1"/>
  <c r="AD162" i="3"/>
  <c r="AD163" i="3" a="1"/>
  <c r="AD163" i="3" s="1"/>
  <c r="AD164" i="3" a="1"/>
  <c r="AD164" i="3" s="1"/>
  <c r="AD165" i="3" a="1"/>
  <c r="AD165" i="3" s="1"/>
  <c r="AD166" i="3" a="1"/>
  <c r="AD166" i="3"/>
  <c r="AD167" i="3" a="1"/>
  <c r="AD167" i="3" s="1"/>
  <c r="AD168" i="3" a="1"/>
  <c r="AD168" i="3" s="1"/>
  <c r="AD169" i="3" a="1"/>
  <c r="AD169" i="3" s="1"/>
  <c r="AD170" i="3" a="1"/>
  <c r="AD170" i="3"/>
  <c r="AD171" i="3" a="1"/>
  <c r="AD171" i="3" s="1"/>
  <c r="AD172" i="3" a="1"/>
  <c r="AD172" i="3" s="1"/>
  <c r="AD173" i="3" a="1"/>
  <c r="AD173" i="3" s="1"/>
  <c r="AD174" i="3" a="1"/>
  <c r="AD174" i="3"/>
  <c r="AD175" i="3" a="1"/>
  <c r="AD175" i="3" s="1"/>
  <c r="AD176" i="3" a="1"/>
  <c r="AD176" i="3" s="1"/>
  <c r="AD177" i="3" a="1"/>
  <c r="AD177" i="3" s="1"/>
  <c r="AD178" i="3" a="1"/>
  <c r="AD178" i="3"/>
  <c r="AD179" i="3" a="1"/>
  <c r="AD179" i="3" s="1"/>
  <c r="AD180" i="3" a="1"/>
  <c r="AD180" i="3" s="1"/>
  <c r="AD181" i="3" a="1"/>
  <c r="AD181" i="3" s="1"/>
  <c r="AD182" i="3" a="1"/>
  <c r="AD182" i="3"/>
  <c r="AD183" i="3" a="1"/>
  <c r="AD183" i="3" s="1"/>
  <c r="AD184" i="3" a="1"/>
  <c r="AD184" i="3" s="1"/>
  <c r="AD185" i="3" a="1"/>
  <c r="AD185" i="3" s="1"/>
  <c r="AD186" i="3" a="1"/>
  <c r="AD186" i="3"/>
  <c r="AD187" i="3" a="1"/>
  <c r="AD187" i="3" s="1"/>
  <c r="AD188" i="3" a="1"/>
  <c r="AD188" i="3" s="1"/>
  <c r="AD189" i="3" a="1"/>
  <c r="AD189" i="3" s="1"/>
  <c r="AD190" i="3" a="1"/>
  <c r="AD190" i="3"/>
  <c r="AD191" i="3" a="1"/>
  <c r="AD191" i="3" s="1"/>
  <c r="AD192" i="3" a="1"/>
  <c r="AD192" i="3" s="1"/>
  <c r="AD193" i="3" a="1"/>
  <c r="AD193" i="3" s="1"/>
  <c r="AD194" i="3" a="1"/>
  <c r="AD194" i="3"/>
  <c r="AD195" i="3" a="1"/>
  <c r="AD195" i="3" s="1"/>
  <c r="AD196" i="3" a="1"/>
  <c r="AD196" i="3" s="1"/>
  <c r="AD197" i="3" a="1"/>
  <c r="AD197" i="3" s="1"/>
  <c r="AD198" i="3" a="1"/>
  <c r="AD198" i="3"/>
  <c r="AD199" i="3" a="1"/>
  <c r="AD199" i="3" s="1"/>
  <c r="AD200" i="3" a="1"/>
  <c r="AD200" i="3" s="1"/>
  <c r="AD201" i="3" a="1"/>
  <c r="AD201" i="3" s="1"/>
  <c r="AD2" i="3" a="1"/>
  <c r="AD2" i="3"/>
  <c r="AC3" i="3" a="1"/>
  <c r="AC3" i="3"/>
  <c r="AC4" i="3" a="1"/>
  <c r="AC4" i="3" s="1"/>
  <c r="AC5" i="3" a="1"/>
  <c r="AC5" i="3" s="1"/>
  <c r="AC6" i="3" a="1"/>
  <c r="AC6" i="3" s="1"/>
  <c r="AC7" i="3" a="1"/>
  <c r="AC7" i="3"/>
  <c r="AC8" i="3" a="1"/>
  <c r="AC8" i="3" s="1"/>
  <c r="AC9" i="3" a="1"/>
  <c r="AC9" i="3" s="1"/>
  <c r="AC10" i="3" a="1"/>
  <c r="AC10" i="3" s="1"/>
  <c r="AC11" i="3" a="1"/>
  <c r="AC11" i="3"/>
  <c r="AC12" i="3" a="1"/>
  <c r="AC12" i="3" s="1"/>
  <c r="AC13" i="3" a="1"/>
  <c r="AC13" i="3" s="1"/>
  <c r="AC14" i="3" a="1"/>
  <c r="AC14" i="3" s="1"/>
  <c r="AC15" i="3" a="1"/>
  <c r="AC15" i="3"/>
  <c r="AC16" i="3" a="1"/>
  <c r="AC16" i="3" s="1"/>
  <c r="AC17" i="3" a="1"/>
  <c r="AC17" i="3" s="1"/>
  <c r="AC18" i="3" a="1"/>
  <c r="AC18" i="3" s="1"/>
  <c r="AC19" i="3" a="1"/>
  <c r="AC19" i="3"/>
  <c r="AC20" i="3" a="1"/>
  <c r="AC20" i="3" s="1"/>
  <c r="AC21" i="3" a="1"/>
  <c r="AC21" i="3" s="1"/>
  <c r="AC22" i="3" a="1"/>
  <c r="AC22" i="3" s="1"/>
  <c r="AC23" i="3" a="1"/>
  <c r="AC23" i="3"/>
  <c r="AC24" i="3" a="1"/>
  <c r="AC24" i="3" s="1"/>
  <c r="AC25" i="3" a="1"/>
  <c r="AC25" i="3" s="1"/>
  <c r="AC26" i="3" a="1"/>
  <c r="AC26" i="3" s="1"/>
  <c r="AC27" i="3" a="1"/>
  <c r="AC27" i="3"/>
  <c r="AC28" i="3" a="1"/>
  <c r="AC28" i="3" s="1"/>
  <c r="AC29" i="3" a="1"/>
  <c r="AC29" i="3" s="1"/>
  <c r="AC30" i="3" a="1"/>
  <c r="AC30" i="3" s="1"/>
  <c r="AC31" i="3" a="1"/>
  <c r="AC31" i="3"/>
  <c r="AC32" i="3" a="1"/>
  <c r="AC32" i="3" s="1"/>
  <c r="AC33" i="3" a="1"/>
  <c r="AC33" i="3" s="1"/>
  <c r="AC34" i="3" a="1"/>
  <c r="AC34" i="3" s="1"/>
  <c r="AC35" i="3" a="1"/>
  <c r="AC35" i="3"/>
  <c r="AC36" i="3" a="1"/>
  <c r="AC36" i="3" s="1"/>
  <c r="AC37" i="3" a="1"/>
  <c r="AC37" i="3" s="1"/>
  <c r="AC38" i="3" a="1"/>
  <c r="AC38" i="3" s="1"/>
  <c r="AC39" i="3" a="1"/>
  <c r="AC39" i="3"/>
  <c r="AC40" i="3" a="1"/>
  <c r="AC40" i="3" s="1"/>
  <c r="AC41" i="3" a="1"/>
  <c r="AC41" i="3" s="1"/>
  <c r="AC42" i="3" a="1"/>
  <c r="AC42" i="3" s="1"/>
  <c r="AC43" i="3" a="1"/>
  <c r="AC43" i="3"/>
  <c r="AC44" i="3" a="1"/>
  <c r="AC44" i="3" s="1"/>
  <c r="AC45" i="3" a="1"/>
  <c r="AC45" i="3" s="1"/>
  <c r="AC46" i="3" a="1"/>
  <c r="AC46" i="3" s="1"/>
  <c r="AC47" i="3" a="1"/>
  <c r="AC47" i="3"/>
  <c r="AC48" i="3" a="1"/>
  <c r="AC48" i="3" s="1"/>
  <c r="AC49" i="3" a="1"/>
  <c r="AC49" i="3" s="1"/>
  <c r="AC50" i="3" a="1"/>
  <c r="AC50" i="3" s="1"/>
  <c r="AC51" i="3" a="1"/>
  <c r="AC51" i="3"/>
  <c r="AC52" i="3" a="1"/>
  <c r="AC52" i="3" s="1"/>
  <c r="AC53" i="3" a="1"/>
  <c r="AC53" i="3" s="1"/>
  <c r="AC54" i="3" a="1"/>
  <c r="AC54" i="3" s="1"/>
  <c r="AC55" i="3" a="1"/>
  <c r="AC55" i="3"/>
  <c r="AC56" i="3" a="1"/>
  <c r="AC56" i="3" s="1"/>
  <c r="AC57" i="3" a="1"/>
  <c r="AC57" i="3" s="1"/>
  <c r="AC58" i="3" a="1"/>
  <c r="AC58" i="3" s="1"/>
  <c r="AC59" i="3" a="1"/>
  <c r="AC59" i="3"/>
  <c r="AC60" i="3" a="1"/>
  <c r="AC60" i="3" s="1"/>
  <c r="AC61" i="3" a="1"/>
  <c r="AC61" i="3" s="1"/>
  <c r="AC62" i="3" a="1"/>
  <c r="AC62" i="3" s="1"/>
  <c r="AC63" i="3" a="1"/>
  <c r="AC63" i="3"/>
  <c r="AC64" i="3" a="1"/>
  <c r="AC64" i="3" s="1"/>
  <c r="AC65" i="3" a="1"/>
  <c r="AC65" i="3" s="1"/>
  <c r="AC66" i="3" a="1"/>
  <c r="AC66" i="3" s="1"/>
  <c r="AC67" i="3" a="1"/>
  <c r="AC67" i="3"/>
  <c r="AC68" i="3" a="1"/>
  <c r="AC68" i="3" s="1"/>
  <c r="AC69" i="3" a="1"/>
  <c r="AC69" i="3" s="1"/>
  <c r="AC70" i="3" a="1"/>
  <c r="AC70" i="3" s="1"/>
  <c r="AC71" i="3" a="1"/>
  <c r="AC71" i="3"/>
  <c r="AC72" i="3" a="1"/>
  <c r="AC72" i="3" s="1"/>
  <c r="AC73" i="3" a="1"/>
  <c r="AC73" i="3" s="1"/>
  <c r="AC74" i="3" a="1"/>
  <c r="AC74" i="3" s="1"/>
  <c r="AC75" i="3" a="1"/>
  <c r="AC75" i="3"/>
  <c r="AC76" i="3" a="1"/>
  <c r="AC76" i="3" s="1"/>
  <c r="AC77" i="3" a="1"/>
  <c r="AC77" i="3" s="1"/>
  <c r="AC78" i="3" a="1"/>
  <c r="AC78" i="3" s="1"/>
  <c r="AC79" i="3" a="1"/>
  <c r="AC79" i="3"/>
  <c r="AC80" i="3" a="1"/>
  <c r="AC80" i="3" s="1"/>
  <c r="AC81" i="3" a="1"/>
  <c r="AC81" i="3" s="1"/>
  <c r="AC82" i="3" a="1"/>
  <c r="AC82" i="3" s="1"/>
  <c r="AC83" i="3" a="1"/>
  <c r="AC83" i="3"/>
  <c r="AC84" i="3" a="1"/>
  <c r="AC84" i="3" s="1"/>
  <c r="AC85" i="3" a="1"/>
  <c r="AC85" i="3" s="1"/>
  <c r="AC86" i="3" a="1"/>
  <c r="AC86" i="3" s="1"/>
  <c r="AC87" i="3" a="1"/>
  <c r="AC87" i="3"/>
  <c r="AC88" i="3" a="1"/>
  <c r="AC88" i="3" s="1"/>
  <c r="AC89" i="3" a="1"/>
  <c r="AC89" i="3" s="1"/>
  <c r="AC90" i="3" a="1"/>
  <c r="AC90" i="3" s="1"/>
  <c r="AC91" i="3" a="1"/>
  <c r="AC91" i="3"/>
  <c r="AC92" i="3" a="1"/>
  <c r="AC92" i="3" s="1"/>
  <c r="AC93" i="3" a="1"/>
  <c r="AC93" i="3" s="1"/>
  <c r="AC94" i="3" a="1"/>
  <c r="AC94" i="3" s="1"/>
  <c r="AC95" i="3" a="1"/>
  <c r="AC95" i="3"/>
  <c r="AC96" i="3" a="1"/>
  <c r="AC96" i="3" s="1"/>
  <c r="AC97" i="3" a="1"/>
  <c r="AC97" i="3" s="1"/>
  <c r="AC98" i="3" a="1"/>
  <c r="AC98" i="3" s="1"/>
  <c r="AC99" i="3" a="1"/>
  <c r="AC99" i="3"/>
  <c r="AC100" i="3" a="1"/>
  <c r="AC100" i="3" s="1"/>
  <c r="AC101" i="3" a="1"/>
  <c r="AC101" i="3" s="1"/>
  <c r="AC102" i="3" a="1"/>
  <c r="AC102" i="3" s="1"/>
  <c r="AC103" i="3" a="1"/>
  <c r="AC103" i="3"/>
  <c r="AC104" i="3" a="1"/>
  <c r="AC104" i="3" s="1"/>
  <c r="AC105" i="3" a="1"/>
  <c r="AC105" i="3" s="1"/>
  <c r="AC106" i="3" a="1"/>
  <c r="AC106" i="3" s="1"/>
  <c r="AC107" i="3" a="1"/>
  <c r="AC107" i="3"/>
  <c r="AC108" i="3" a="1"/>
  <c r="AC108" i="3" s="1"/>
  <c r="AC109" i="3" a="1"/>
  <c r="AC109" i="3" s="1"/>
  <c r="AC110" i="3" a="1"/>
  <c r="AC110" i="3" s="1"/>
  <c r="AC111" i="3" a="1"/>
  <c r="AC111" i="3"/>
  <c r="AC112" i="3" a="1"/>
  <c r="AC112" i="3" s="1"/>
  <c r="AC113" i="3" a="1"/>
  <c r="AC113" i="3" s="1"/>
  <c r="AC114" i="3" a="1"/>
  <c r="AC114" i="3" s="1"/>
  <c r="AC115" i="3" a="1"/>
  <c r="AC115" i="3"/>
  <c r="AC116" i="3" a="1"/>
  <c r="AC116" i="3" s="1"/>
  <c r="AC117" i="3" a="1"/>
  <c r="AC117" i="3" s="1"/>
  <c r="AC118" i="3" a="1"/>
  <c r="AC118" i="3" s="1"/>
  <c r="AC119" i="3" a="1"/>
  <c r="AC119" i="3"/>
  <c r="AC120" i="3" a="1"/>
  <c r="AC120" i="3" s="1"/>
  <c r="AC121" i="3" a="1"/>
  <c r="AC121" i="3" s="1"/>
  <c r="AC122" i="3" a="1"/>
  <c r="AC122" i="3" s="1"/>
  <c r="AC123" i="3" a="1"/>
  <c r="AC123" i="3"/>
  <c r="AC124" i="3" a="1"/>
  <c r="AC124" i="3" s="1"/>
  <c r="AC125" i="3" a="1"/>
  <c r="AC125" i="3" s="1"/>
  <c r="AC126" i="3" a="1"/>
  <c r="AC126" i="3" s="1"/>
  <c r="AC127" i="3" a="1"/>
  <c r="AC127" i="3"/>
  <c r="AC128" i="3" a="1"/>
  <c r="AC128" i="3" s="1"/>
  <c r="AC129" i="3" a="1"/>
  <c r="AC129" i="3" s="1"/>
  <c r="AC130" i="3" a="1"/>
  <c r="AC130" i="3" s="1"/>
  <c r="AC131" i="3" a="1"/>
  <c r="AC131" i="3"/>
  <c r="AC132" i="3" a="1"/>
  <c r="AC132" i="3" s="1"/>
  <c r="AC133" i="3" a="1"/>
  <c r="AC133" i="3" s="1"/>
  <c r="AC134" i="3" a="1"/>
  <c r="AC134" i="3" s="1"/>
  <c r="AC135" i="3" a="1"/>
  <c r="AC135" i="3"/>
  <c r="AC136" i="3" a="1"/>
  <c r="AC136" i="3" s="1"/>
  <c r="AC137" i="3" a="1"/>
  <c r="AC137" i="3" s="1"/>
  <c r="AC138" i="3" a="1"/>
  <c r="AC138" i="3" s="1"/>
  <c r="AC139" i="3" a="1"/>
  <c r="AC139" i="3"/>
  <c r="AC140" i="3" a="1"/>
  <c r="AC140" i="3" s="1"/>
  <c r="AC141" i="3" a="1"/>
  <c r="AC141" i="3" s="1"/>
  <c r="AC142" i="3" a="1"/>
  <c r="AC142" i="3" s="1"/>
  <c r="AC143" i="3" a="1"/>
  <c r="AC143" i="3"/>
  <c r="AC144" i="3" a="1"/>
  <c r="AC144" i="3" s="1"/>
  <c r="AC145" i="3" a="1"/>
  <c r="AC145" i="3" s="1"/>
  <c r="AC146" i="3" a="1"/>
  <c r="AC146" i="3" s="1"/>
  <c r="AC147" i="3" a="1"/>
  <c r="AC147" i="3"/>
  <c r="AC148" i="3" a="1"/>
  <c r="AC148" i="3" s="1"/>
  <c r="AC149" i="3" a="1"/>
  <c r="AC149" i="3" s="1"/>
  <c r="AC150" i="3" a="1"/>
  <c r="AC150" i="3" s="1"/>
  <c r="AC151" i="3" a="1"/>
  <c r="AC151" i="3"/>
  <c r="AC152" i="3" a="1"/>
  <c r="AC152" i="3" s="1"/>
  <c r="AC153" i="3" a="1"/>
  <c r="AC153" i="3" s="1"/>
  <c r="AC154" i="3" a="1"/>
  <c r="AC154" i="3" s="1"/>
  <c r="AC155" i="3" a="1"/>
  <c r="AC155" i="3"/>
  <c r="AC156" i="3" a="1"/>
  <c r="AC156" i="3" s="1"/>
  <c r="AC157" i="3" a="1"/>
  <c r="AC157" i="3" s="1"/>
  <c r="AC158" i="3" a="1"/>
  <c r="AC158" i="3" s="1"/>
  <c r="AC159" i="3" a="1"/>
  <c r="AC159" i="3"/>
  <c r="AC160" i="3" a="1"/>
  <c r="AC160" i="3" s="1"/>
  <c r="AC161" i="3" a="1"/>
  <c r="AC161" i="3" s="1"/>
  <c r="AC162" i="3" a="1"/>
  <c r="AC162" i="3" s="1"/>
  <c r="AC163" i="3" a="1"/>
  <c r="AC163" i="3"/>
  <c r="AC164" i="3" a="1"/>
  <c r="AC164" i="3" s="1"/>
  <c r="AC165" i="3" a="1"/>
  <c r="AC165" i="3" s="1"/>
  <c r="AC166" i="3" a="1"/>
  <c r="AC166" i="3" s="1"/>
  <c r="AC167" i="3" a="1"/>
  <c r="AC167" i="3"/>
  <c r="AC168" i="3" a="1"/>
  <c r="AC168" i="3" s="1"/>
  <c r="AC169" i="3" a="1"/>
  <c r="AC169" i="3" s="1"/>
  <c r="AC170" i="3" a="1"/>
  <c r="AC170" i="3" s="1"/>
  <c r="AC171" i="3" a="1"/>
  <c r="AC171" i="3"/>
  <c r="AC172" i="3" a="1"/>
  <c r="AC172" i="3" s="1"/>
  <c r="AC173" i="3" a="1"/>
  <c r="AC173" i="3" s="1"/>
  <c r="AC174" i="3" a="1"/>
  <c r="AC174" i="3" s="1"/>
  <c r="AC175" i="3" a="1"/>
  <c r="AC175" i="3"/>
  <c r="AC176" i="3" a="1"/>
  <c r="AC176" i="3" s="1"/>
  <c r="AC177" i="3" a="1"/>
  <c r="AC177" i="3" s="1"/>
  <c r="AC178" i="3" a="1"/>
  <c r="AC178" i="3" s="1"/>
  <c r="AC179" i="3" a="1"/>
  <c r="AC179" i="3"/>
  <c r="AC180" i="3" a="1"/>
  <c r="AC180" i="3" s="1"/>
  <c r="AC181" i="3" a="1"/>
  <c r="AC181" i="3" s="1"/>
  <c r="AC182" i="3" a="1"/>
  <c r="AC182" i="3" s="1"/>
  <c r="AC183" i="3" a="1"/>
  <c r="AC183" i="3"/>
  <c r="AC184" i="3" a="1"/>
  <c r="AC184" i="3" s="1"/>
  <c r="AC185" i="3" a="1"/>
  <c r="AC185" i="3" s="1"/>
  <c r="AC186" i="3" a="1"/>
  <c r="AC186" i="3" s="1"/>
  <c r="AC187" i="3" a="1"/>
  <c r="AC187" i="3"/>
  <c r="AC188" i="3" a="1"/>
  <c r="AC188" i="3" s="1"/>
  <c r="AC189" i="3" a="1"/>
  <c r="AC189" i="3" s="1"/>
  <c r="AC190" i="3" a="1"/>
  <c r="AC190" i="3" s="1"/>
  <c r="AC191" i="3" a="1"/>
  <c r="AC191" i="3"/>
  <c r="AC192" i="3" a="1"/>
  <c r="AC192" i="3" s="1"/>
  <c r="AC193" i="3" a="1"/>
  <c r="AC193" i="3" s="1"/>
  <c r="AC194" i="3" a="1"/>
  <c r="AC194" i="3" s="1"/>
  <c r="AC195" i="3" a="1"/>
  <c r="AC195" i="3" s="1"/>
  <c r="AC196" i="3" a="1"/>
  <c r="AC196" i="3" s="1"/>
  <c r="AC197" i="3" a="1"/>
  <c r="AC197" i="3" s="1"/>
  <c r="AC198" i="3" a="1"/>
  <c r="AC198" i="3" s="1"/>
  <c r="AC199" i="3" a="1"/>
  <c r="AC199" i="3" s="1"/>
  <c r="AC200" i="3" a="1"/>
  <c r="AC200" i="3" s="1"/>
  <c r="AC201" i="3" a="1"/>
  <c r="AC201" i="3" s="1"/>
  <c r="AC2" i="3" a="1"/>
  <c r="AC2" i="3" s="1"/>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 i="3"/>
  <c r="AA3" i="3" a="1"/>
  <c r="AA3" i="3" s="1"/>
  <c r="AA4" i="3" a="1"/>
  <c r="AA4" i="3" s="1"/>
  <c r="AA5" i="3" a="1"/>
  <c r="AA5" i="3" s="1"/>
  <c r="AA6" i="3" a="1"/>
  <c r="AA6" i="3"/>
  <c r="AA7" i="3" a="1"/>
  <c r="AA7" i="3" s="1"/>
  <c r="AA8" i="3" a="1"/>
  <c r="AA8" i="3" s="1"/>
  <c r="AA9" i="3" a="1"/>
  <c r="AA9" i="3" s="1"/>
  <c r="AA10" i="3" a="1"/>
  <c r="AA10" i="3"/>
  <c r="AA11" i="3" a="1"/>
  <c r="AA11" i="3" s="1"/>
  <c r="AA12" i="3" a="1"/>
  <c r="AA12" i="3" s="1"/>
  <c r="AA13" i="3" a="1"/>
  <c r="AA13" i="3" s="1"/>
  <c r="AA14" i="3" a="1"/>
  <c r="AA14" i="3"/>
  <c r="AA15" i="3" a="1"/>
  <c r="AA15" i="3" s="1"/>
  <c r="AA16" i="3" a="1"/>
  <c r="AA16" i="3" s="1"/>
  <c r="AA17" i="3" a="1"/>
  <c r="AA17" i="3" s="1"/>
  <c r="AA18" i="3" a="1"/>
  <c r="AA18" i="3"/>
  <c r="AA19" i="3" a="1"/>
  <c r="AA19" i="3" s="1"/>
  <c r="AA20" i="3" a="1"/>
  <c r="AA20" i="3" s="1"/>
  <c r="AA21" i="3" a="1"/>
  <c r="AA21" i="3" s="1"/>
  <c r="AA22" i="3" a="1"/>
  <c r="AA22" i="3"/>
  <c r="AA23" i="3" a="1"/>
  <c r="AA23" i="3" s="1"/>
  <c r="AA24" i="3" a="1"/>
  <c r="AA24" i="3" s="1"/>
  <c r="AA25" i="3" a="1"/>
  <c r="AA25" i="3" s="1"/>
  <c r="AA26" i="3" a="1"/>
  <c r="AA26" i="3"/>
  <c r="AA27" i="3" a="1"/>
  <c r="AA27" i="3" s="1"/>
  <c r="AA28" i="3" a="1"/>
  <c r="AA28" i="3" s="1"/>
  <c r="AA29" i="3" a="1"/>
  <c r="AA29" i="3" s="1"/>
  <c r="AA30" i="3" a="1"/>
  <c r="AA30" i="3"/>
  <c r="AA31" i="3" a="1"/>
  <c r="AA31" i="3" s="1"/>
  <c r="AA32" i="3" a="1"/>
  <c r="AA32" i="3" s="1"/>
  <c r="AA33" i="3" a="1"/>
  <c r="AA33" i="3" s="1"/>
  <c r="AA34" i="3" a="1"/>
  <c r="AA34" i="3"/>
  <c r="AA35" i="3" a="1"/>
  <c r="AA35" i="3" s="1"/>
  <c r="AA36" i="3" a="1"/>
  <c r="AA36" i="3" s="1"/>
  <c r="AA37" i="3" a="1"/>
  <c r="AA37" i="3" s="1"/>
  <c r="AA38" i="3" a="1"/>
  <c r="AA38" i="3"/>
  <c r="AA39" i="3" a="1"/>
  <c r="AA39" i="3" s="1"/>
  <c r="AA40" i="3" a="1"/>
  <c r="AA40" i="3" s="1"/>
  <c r="AA41" i="3" a="1"/>
  <c r="AA41" i="3" s="1"/>
  <c r="AA42" i="3" a="1"/>
  <c r="AA42" i="3"/>
  <c r="AA43" i="3" a="1"/>
  <c r="AA43" i="3" s="1"/>
  <c r="AA44" i="3" a="1"/>
  <c r="AA44" i="3" s="1"/>
  <c r="AA45" i="3" a="1"/>
  <c r="AA45" i="3" s="1"/>
  <c r="AA46" i="3" a="1"/>
  <c r="AA46" i="3"/>
  <c r="AA47" i="3" a="1"/>
  <c r="AA47" i="3" s="1"/>
  <c r="AA48" i="3" a="1"/>
  <c r="AA48" i="3" s="1"/>
  <c r="AA49" i="3" a="1"/>
  <c r="AA49" i="3" s="1"/>
  <c r="AA50" i="3" a="1"/>
  <c r="AA50" i="3"/>
  <c r="AA51" i="3" a="1"/>
  <c r="AA51" i="3" s="1"/>
  <c r="AA52" i="3" a="1"/>
  <c r="AA52" i="3" s="1"/>
  <c r="AA53" i="3" a="1"/>
  <c r="AA53" i="3" s="1"/>
  <c r="AA54" i="3" a="1"/>
  <c r="AA54" i="3"/>
  <c r="AA55" i="3" a="1"/>
  <c r="AA55" i="3" s="1"/>
  <c r="AA56" i="3" a="1"/>
  <c r="AA56" i="3" s="1"/>
  <c r="AA57" i="3" a="1"/>
  <c r="AA57" i="3" s="1"/>
  <c r="AA58" i="3" a="1"/>
  <c r="AA58" i="3"/>
  <c r="AA59" i="3" a="1"/>
  <c r="AA59" i="3" s="1"/>
  <c r="AA60" i="3" a="1"/>
  <c r="AA60" i="3" s="1"/>
  <c r="AA61" i="3" a="1"/>
  <c r="AA61" i="3" s="1"/>
  <c r="AA62" i="3" a="1"/>
  <c r="AA62" i="3"/>
  <c r="AA63" i="3" a="1"/>
  <c r="AA63" i="3" s="1"/>
  <c r="AA64" i="3" a="1"/>
  <c r="AA64" i="3" s="1"/>
  <c r="AA65" i="3" a="1"/>
  <c r="AA65" i="3" s="1"/>
  <c r="AA66" i="3" a="1"/>
  <c r="AA66" i="3"/>
  <c r="AA67" i="3" a="1"/>
  <c r="AA67" i="3" s="1"/>
  <c r="AA68" i="3" a="1"/>
  <c r="AA68" i="3" s="1"/>
  <c r="AA69" i="3" a="1"/>
  <c r="AA69" i="3" s="1"/>
  <c r="AA70" i="3" a="1"/>
  <c r="AA70" i="3"/>
  <c r="AA71" i="3" a="1"/>
  <c r="AA71" i="3" s="1"/>
  <c r="AA72" i="3" a="1"/>
  <c r="AA72" i="3" s="1"/>
  <c r="AA73" i="3" a="1"/>
  <c r="AA73" i="3" s="1"/>
  <c r="AA74" i="3" a="1"/>
  <c r="AA74" i="3"/>
  <c r="AA75" i="3" a="1"/>
  <c r="AA75" i="3" s="1"/>
  <c r="AA76" i="3" a="1"/>
  <c r="AA76" i="3" s="1"/>
  <c r="AA77" i="3" a="1"/>
  <c r="AA77" i="3" s="1"/>
  <c r="AA78" i="3" a="1"/>
  <c r="AA78" i="3"/>
  <c r="AA79" i="3" a="1"/>
  <c r="AA79" i="3" s="1"/>
  <c r="AA80" i="3" a="1"/>
  <c r="AA80" i="3" s="1"/>
  <c r="AA81" i="3" a="1"/>
  <c r="AA81" i="3" s="1"/>
  <c r="AA82" i="3" a="1"/>
  <c r="AA82" i="3"/>
  <c r="AA83" i="3" a="1"/>
  <c r="AA83" i="3" s="1"/>
  <c r="AA84" i="3" a="1"/>
  <c r="AA84" i="3" s="1"/>
  <c r="AA85" i="3" a="1"/>
  <c r="AA85" i="3" s="1"/>
  <c r="AA86" i="3" a="1"/>
  <c r="AA86" i="3"/>
  <c r="AA87" i="3" a="1"/>
  <c r="AA87" i="3" s="1"/>
  <c r="AA88" i="3" a="1"/>
  <c r="AA88" i="3" s="1"/>
  <c r="AA89" i="3" a="1"/>
  <c r="AA89" i="3" s="1"/>
  <c r="AA90" i="3" a="1"/>
  <c r="AA90" i="3"/>
  <c r="AA91" i="3" a="1"/>
  <c r="AA91" i="3" s="1"/>
  <c r="AA92" i="3" a="1"/>
  <c r="AA92" i="3" s="1"/>
  <c r="AA93" i="3" a="1"/>
  <c r="AA93" i="3" s="1"/>
  <c r="AA94" i="3" a="1"/>
  <c r="AA94" i="3"/>
  <c r="AA95" i="3" a="1"/>
  <c r="AA95" i="3" s="1"/>
  <c r="AA96" i="3" a="1"/>
  <c r="AA96" i="3" s="1"/>
  <c r="AA97" i="3" a="1"/>
  <c r="AA97" i="3" s="1"/>
  <c r="AA98" i="3" a="1"/>
  <c r="AA98" i="3"/>
  <c r="AA99" i="3" a="1"/>
  <c r="AA99" i="3" s="1"/>
  <c r="AA100" i="3" a="1"/>
  <c r="AA100" i="3" s="1"/>
  <c r="AA101" i="3" a="1"/>
  <c r="AA101" i="3" s="1"/>
  <c r="AA102" i="3" a="1"/>
  <c r="AA102" i="3"/>
  <c r="AA103" i="3" a="1"/>
  <c r="AA103" i="3" s="1"/>
  <c r="AA104" i="3" a="1"/>
  <c r="AA104" i="3" s="1"/>
  <c r="AA105" i="3" a="1"/>
  <c r="AA105" i="3" s="1"/>
  <c r="AA106" i="3" a="1"/>
  <c r="AA106" i="3"/>
  <c r="AA107" i="3" a="1"/>
  <c r="AA107" i="3" s="1"/>
  <c r="AA108" i="3" a="1"/>
  <c r="AA108" i="3" s="1"/>
  <c r="AA109" i="3" a="1"/>
  <c r="AA109" i="3" s="1"/>
  <c r="AA110" i="3" a="1"/>
  <c r="AA110" i="3"/>
  <c r="AA111" i="3" a="1"/>
  <c r="AA111" i="3" s="1"/>
  <c r="AA112" i="3" a="1"/>
  <c r="AA112" i="3" s="1"/>
  <c r="AA113" i="3" a="1"/>
  <c r="AA113" i="3" s="1"/>
  <c r="AA114" i="3" a="1"/>
  <c r="AA114" i="3"/>
  <c r="AA115" i="3" a="1"/>
  <c r="AA115" i="3" s="1"/>
  <c r="AA116" i="3" a="1"/>
  <c r="AA116" i="3" s="1"/>
  <c r="AA117" i="3" a="1"/>
  <c r="AA117" i="3" s="1"/>
  <c r="AA118" i="3" a="1"/>
  <c r="AA118" i="3"/>
  <c r="AA119" i="3" a="1"/>
  <c r="AA119" i="3" s="1"/>
  <c r="AA120" i="3" a="1"/>
  <c r="AA120" i="3" s="1"/>
  <c r="AA121" i="3" a="1"/>
  <c r="AA121" i="3" s="1"/>
  <c r="AA122" i="3" a="1"/>
  <c r="AA122" i="3"/>
  <c r="AA123" i="3" a="1"/>
  <c r="AA123" i="3" s="1"/>
  <c r="AA124" i="3" a="1"/>
  <c r="AA124" i="3" s="1"/>
  <c r="AA125" i="3" a="1"/>
  <c r="AA125" i="3" s="1"/>
  <c r="AA126" i="3" a="1"/>
  <c r="AA126" i="3"/>
  <c r="AA127" i="3" a="1"/>
  <c r="AA127" i="3" s="1"/>
  <c r="AA128" i="3" a="1"/>
  <c r="AA128" i="3" s="1"/>
  <c r="AA129" i="3" a="1"/>
  <c r="AA129" i="3" s="1"/>
  <c r="AA130" i="3" a="1"/>
  <c r="AA130" i="3"/>
  <c r="AA131" i="3" a="1"/>
  <c r="AA131" i="3" s="1"/>
  <c r="AA132" i="3" a="1"/>
  <c r="AA132" i="3" s="1"/>
  <c r="AA133" i="3" a="1"/>
  <c r="AA133" i="3" s="1"/>
  <c r="AA134" i="3" a="1"/>
  <c r="AA134" i="3"/>
  <c r="AA135" i="3" a="1"/>
  <c r="AA135" i="3" s="1"/>
  <c r="AA136" i="3" a="1"/>
  <c r="AA136" i="3" s="1"/>
  <c r="AA137" i="3" a="1"/>
  <c r="AA137" i="3" s="1"/>
  <c r="AA138" i="3" a="1"/>
  <c r="AA138" i="3"/>
  <c r="AA139" i="3" a="1"/>
  <c r="AA139" i="3" s="1"/>
  <c r="AA140" i="3" a="1"/>
  <c r="AA140" i="3" s="1"/>
  <c r="AA141" i="3" a="1"/>
  <c r="AA141" i="3" s="1"/>
  <c r="AA142" i="3" a="1"/>
  <c r="AA142" i="3"/>
  <c r="AA143" i="3" a="1"/>
  <c r="AA143" i="3" s="1"/>
  <c r="AA144" i="3" a="1"/>
  <c r="AA144" i="3" s="1"/>
  <c r="AA145" i="3" a="1"/>
  <c r="AA145" i="3" s="1"/>
  <c r="AA146" i="3" a="1"/>
  <c r="AA146" i="3"/>
  <c r="AA147" i="3" a="1"/>
  <c r="AA147" i="3" s="1"/>
  <c r="AA148" i="3" a="1"/>
  <c r="AA148" i="3" s="1"/>
  <c r="AA149" i="3" a="1"/>
  <c r="AA149" i="3" s="1"/>
  <c r="AA150" i="3" a="1"/>
  <c r="AA150" i="3"/>
  <c r="AA151" i="3" a="1"/>
  <c r="AA151" i="3" s="1"/>
  <c r="AA152" i="3" a="1"/>
  <c r="AA152" i="3" s="1"/>
  <c r="AA153" i="3" a="1"/>
  <c r="AA153" i="3" s="1"/>
  <c r="AA154" i="3" a="1"/>
  <c r="AA154" i="3"/>
  <c r="AA155" i="3" a="1"/>
  <c r="AA155" i="3" s="1"/>
  <c r="AA156" i="3" a="1"/>
  <c r="AA156" i="3" s="1"/>
  <c r="AA157" i="3" a="1"/>
  <c r="AA157" i="3" s="1"/>
  <c r="AA158" i="3" a="1"/>
  <c r="AA158" i="3"/>
  <c r="AA159" i="3" a="1"/>
  <c r="AA159" i="3" s="1"/>
  <c r="AA160" i="3" a="1"/>
  <c r="AA160" i="3" s="1"/>
  <c r="AA161" i="3" a="1"/>
  <c r="AA161" i="3" s="1"/>
  <c r="AA162" i="3" a="1"/>
  <c r="AA162" i="3"/>
  <c r="AA163" i="3" a="1"/>
  <c r="AA163" i="3" s="1"/>
  <c r="AA164" i="3" a="1"/>
  <c r="AA164" i="3" s="1"/>
  <c r="AA165" i="3" a="1"/>
  <c r="AA165" i="3" s="1"/>
  <c r="AA166" i="3" a="1"/>
  <c r="AA166" i="3"/>
  <c r="AA167" i="3" a="1"/>
  <c r="AA167" i="3" s="1"/>
  <c r="AA168" i="3" a="1"/>
  <c r="AA168" i="3" s="1"/>
  <c r="AA169" i="3" a="1"/>
  <c r="AA169" i="3" s="1"/>
  <c r="AA170" i="3" a="1"/>
  <c r="AA170" i="3"/>
  <c r="AA171" i="3" a="1"/>
  <c r="AA171" i="3" s="1"/>
  <c r="AA172" i="3" a="1"/>
  <c r="AA172" i="3" s="1"/>
  <c r="AA173" i="3" a="1"/>
  <c r="AA173" i="3" s="1"/>
  <c r="AA174" i="3" a="1"/>
  <c r="AA174" i="3"/>
  <c r="AA175" i="3" a="1"/>
  <c r="AA175" i="3" s="1"/>
  <c r="AA176" i="3" a="1"/>
  <c r="AA176" i="3" s="1"/>
  <c r="AA177" i="3" a="1"/>
  <c r="AA177" i="3" s="1"/>
  <c r="AA178" i="3" a="1"/>
  <c r="AA178" i="3"/>
  <c r="AA179" i="3" a="1"/>
  <c r="AA179" i="3" s="1"/>
  <c r="AA180" i="3" a="1"/>
  <c r="AA180" i="3" s="1"/>
  <c r="AA181" i="3" a="1"/>
  <c r="AA181" i="3" s="1"/>
  <c r="AA182" i="3" a="1"/>
  <c r="AA182" i="3"/>
  <c r="AA183" i="3" a="1"/>
  <c r="AA183" i="3" s="1"/>
  <c r="AA184" i="3" a="1"/>
  <c r="AA184" i="3" s="1"/>
  <c r="AA185" i="3" a="1"/>
  <c r="AA185" i="3" s="1"/>
  <c r="AA186" i="3" a="1"/>
  <c r="AA186" i="3"/>
  <c r="AA187" i="3" a="1"/>
  <c r="AA187" i="3" s="1"/>
  <c r="AA188" i="3" a="1"/>
  <c r="AA188" i="3" s="1"/>
  <c r="AA189" i="3" a="1"/>
  <c r="AA189" i="3" s="1"/>
  <c r="AA190" i="3" a="1"/>
  <c r="AA190" i="3"/>
  <c r="AA191" i="3" a="1"/>
  <c r="AA191" i="3" s="1"/>
  <c r="AA192" i="3" a="1"/>
  <c r="AA192" i="3" s="1"/>
  <c r="AA193" i="3" a="1"/>
  <c r="AA193" i="3" s="1"/>
  <c r="AA194" i="3" a="1"/>
  <c r="AA194" i="3"/>
  <c r="AA195" i="3" a="1"/>
  <c r="AA195" i="3" s="1"/>
  <c r="AA196" i="3" a="1"/>
  <c r="AA196" i="3" s="1"/>
  <c r="AA197" i="3" a="1"/>
  <c r="AA197" i="3" s="1"/>
  <c r="AA198" i="3" a="1"/>
  <c r="AA198" i="3"/>
  <c r="AA199" i="3" a="1"/>
  <c r="AA199" i="3" s="1"/>
  <c r="AA200" i="3" a="1"/>
  <c r="AA200" i="3" s="1"/>
  <c r="AA201" i="3" a="1"/>
  <c r="AA201" i="3" s="1"/>
  <c r="AA2" i="3" a="1"/>
  <c r="AA2" i="3" s="1"/>
  <c r="Z3" i="3" a="1"/>
  <c r="Z3" i="3" s="1"/>
  <c r="Z4" i="3" a="1"/>
  <c r="Z4" i="3" s="1"/>
  <c r="Z5" i="3" a="1"/>
  <c r="Z5" i="3" s="1"/>
  <c r="Z6" i="3" a="1"/>
  <c r="Z6" i="3" s="1"/>
  <c r="Z7" i="3" a="1"/>
  <c r="Z7" i="3" s="1"/>
  <c r="Z8" i="3" a="1"/>
  <c r="Z8" i="3" s="1"/>
  <c r="Z9" i="3" a="1"/>
  <c r="Z9" i="3" s="1"/>
  <c r="Z10" i="3" a="1"/>
  <c r="Z10" i="3" s="1"/>
  <c r="Z11" i="3" a="1"/>
  <c r="Z11" i="3" s="1"/>
  <c r="Z12" i="3" a="1"/>
  <c r="Z12" i="3" s="1"/>
  <c r="Z13" i="3" a="1"/>
  <c r="Z13" i="3" s="1"/>
  <c r="Z14" i="3" a="1"/>
  <c r="Z14" i="3" s="1"/>
  <c r="Z15" i="3" a="1"/>
  <c r="Z15" i="3" s="1"/>
  <c r="Z16" i="3" a="1"/>
  <c r="Z16" i="3" s="1"/>
  <c r="Z17" i="3" a="1"/>
  <c r="Z17" i="3" s="1"/>
  <c r="Z18" i="3" a="1"/>
  <c r="Z18" i="3" s="1"/>
  <c r="Z19" i="3" a="1"/>
  <c r="Z19" i="3" s="1"/>
  <c r="Z20" i="3" a="1"/>
  <c r="Z20" i="3" s="1"/>
  <c r="Z21" i="3" a="1"/>
  <c r="Z21" i="3" s="1"/>
  <c r="Z22" i="3" a="1"/>
  <c r="Z22" i="3" s="1"/>
  <c r="Z23" i="3" a="1"/>
  <c r="Z23" i="3" s="1"/>
  <c r="Z24" i="3" a="1"/>
  <c r="Z24" i="3" s="1"/>
  <c r="Z25" i="3" a="1"/>
  <c r="Z25" i="3" s="1"/>
  <c r="Z26" i="3" a="1"/>
  <c r="Z26" i="3" s="1"/>
  <c r="Z27" i="3" a="1"/>
  <c r="Z27" i="3" s="1"/>
  <c r="Z28" i="3" a="1"/>
  <c r="Z28" i="3" s="1"/>
  <c r="Z29" i="3" a="1"/>
  <c r="Z29" i="3" s="1"/>
  <c r="Z30" i="3" a="1"/>
  <c r="Z30" i="3" s="1"/>
  <c r="Z31" i="3" a="1"/>
  <c r="Z31" i="3" s="1"/>
  <c r="Z32" i="3" a="1"/>
  <c r="Z32" i="3" s="1"/>
  <c r="Z33" i="3" a="1"/>
  <c r="Z33" i="3" s="1"/>
  <c r="Z34" i="3" a="1"/>
  <c r="Z34" i="3" s="1"/>
  <c r="Z35" i="3" a="1"/>
  <c r="Z35" i="3" s="1"/>
  <c r="Z36" i="3" a="1"/>
  <c r="Z36" i="3" s="1"/>
  <c r="Z37" i="3" a="1"/>
  <c r="Z37" i="3" s="1"/>
  <c r="Z38" i="3" a="1"/>
  <c r="Z38" i="3" s="1"/>
  <c r="Z39" i="3" a="1"/>
  <c r="Z39" i="3" s="1"/>
  <c r="Z40" i="3" a="1"/>
  <c r="Z40" i="3" s="1"/>
  <c r="Z41" i="3" a="1"/>
  <c r="Z41" i="3" s="1"/>
  <c r="Z42" i="3" a="1"/>
  <c r="Z42" i="3" s="1"/>
  <c r="Z43" i="3" a="1"/>
  <c r="Z43" i="3" s="1"/>
  <c r="Z44" i="3" a="1"/>
  <c r="Z44" i="3" s="1"/>
  <c r="Z45" i="3" a="1"/>
  <c r="Z45" i="3" s="1"/>
  <c r="Z46" i="3" a="1"/>
  <c r="Z46" i="3" s="1"/>
  <c r="Z47" i="3" a="1"/>
  <c r="Z47" i="3" s="1"/>
  <c r="Z48" i="3" a="1"/>
  <c r="Z48" i="3" s="1"/>
  <c r="Z49" i="3" a="1"/>
  <c r="Z49" i="3" s="1"/>
  <c r="Z50" i="3" a="1"/>
  <c r="Z50" i="3" s="1"/>
  <c r="Z51" i="3" a="1"/>
  <c r="Z51" i="3" s="1"/>
  <c r="Z52" i="3" a="1"/>
  <c r="Z52" i="3" s="1"/>
  <c r="Z53" i="3" a="1"/>
  <c r="Z53" i="3" s="1"/>
  <c r="Z54" i="3" a="1"/>
  <c r="Z54" i="3" s="1"/>
  <c r="Z55" i="3" a="1"/>
  <c r="Z55" i="3" s="1"/>
  <c r="Z56" i="3" a="1"/>
  <c r="Z56" i="3" s="1"/>
  <c r="Z57" i="3" a="1"/>
  <c r="Z57" i="3" s="1"/>
  <c r="Z58" i="3" a="1"/>
  <c r="Z58" i="3" s="1"/>
  <c r="Z59" i="3" a="1"/>
  <c r="Z59" i="3" s="1"/>
  <c r="Z60" i="3" a="1"/>
  <c r="Z60" i="3" s="1"/>
  <c r="Z61" i="3" a="1"/>
  <c r="Z61" i="3" s="1"/>
  <c r="Z62" i="3" a="1"/>
  <c r="Z62" i="3" s="1"/>
  <c r="Z63" i="3" a="1"/>
  <c r="Z63" i="3" s="1"/>
  <c r="Z64" i="3" a="1"/>
  <c r="Z64" i="3" s="1"/>
  <c r="Z65" i="3" a="1"/>
  <c r="Z65" i="3" s="1"/>
  <c r="Z66" i="3" a="1"/>
  <c r="Z66" i="3" s="1"/>
  <c r="Z67" i="3" a="1"/>
  <c r="Z67" i="3" s="1"/>
  <c r="Z68" i="3" a="1"/>
  <c r="Z68" i="3" s="1"/>
  <c r="Z69" i="3" a="1"/>
  <c r="Z69" i="3" s="1"/>
  <c r="Z70" i="3" a="1"/>
  <c r="Z70" i="3" s="1"/>
  <c r="Z71" i="3" a="1"/>
  <c r="Z71" i="3" s="1"/>
  <c r="Z72" i="3" a="1"/>
  <c r="Z72" i="3" s="1"/>
  <c r="Z73" i="3" a="1"/>
  <c r="Z73" i="3" s="1"/>
  <c r="Z74" i="3" a="1"/>
  <c r="Z74" i="3" s="1"/>
  <c r="Z75" i="3" a="1"/>
  <c r="Z75" i="3" s="1"/>
  <c r="Z76" i="3" a="1"/>
  <c r="Z76" i="3" s="1"/>
  <c r="Z77" i="3" a="1"/>
  <c r="Z77" i="3" s="1"/>
  <c r="Z78" i="3" a="1"/>
  <c r="Z78" i="3" s="1"/>
  <c r="Z79" i="3" a="1"/>
  <c r="Z79" i="3" s="1"/>
  <c r="Z80" i="3" a="1"/>
  <c r="Z80" i="3" s="1"/>
  <c r="Z81" i="3" a="1"/>
  <c r="Z81" i="3" s="1"/>
  <c r="Z82" i="3" a="1"/>
  <c r="Z82" i="3" s="1"/>
  <c r="Z83" i="3" a="1"/>
  <c r="Z83" i="3" s="1"/>
  <c r="Z84" i="3" a="1"/>
  <c r="Z84" i="3" s="1"/>
  <c r="Z85" i="3" a="1"/>
  <c r="Z85" i="3" s="1"/>
  <c r="Z86" i="3" a="1"/>
  <c r="Z86" i="3" s="1"/>
  <c r="Z87" i="3" a="1"/>
  <c r="Z87" i="3" s="1"/>
  <c r="Z88" i="3" a="1"/>
  <c r="Z88" i="3" s="1"/>
  <c r="Z89" i="3" a="1"/>
  <c r="Z89" i="3" s="1"/>
  <c r="Z90" i="3" a="1"/>
  <c r="Z90" i="3" s="1"/>
  <c r="Z91" i="3" a="1"/>
  <c r="Z91" i="3" s="1"/>
  <c r="Z92" i="3" a="1"/>
  <c r="Z92" i="3" s="1"/>
  <c r="Z93" i="3" a="1"/>
  <c r="Z93" i="3" s="1"/>
  <c r="Z94" i="3" a="1"/>
  <c r="Z94" i="3" s="1"/>
  <c r="Z95" i="3" a="1"/>
  <c r="Z95" i="3" s="1"/>
  <c r="Z96" i="3" a="1"/>
  <c r="Z96" i="3" s="1"/>
  <c r="Z97" i="3" a="1"/>
  <c r="Z97" i="3" s="1"/>
  <c r="Z98" i="3" a="1"/>
  <c r="Z98" i="3" s="1"/>
  <c r="Z99" i="3" a="1"/>
  <c r="Z99" i="3" s="1"/>
  <c r="Z100" i="3" a="1"/>
  <c r="Z100" i="3" s="1"/>
  <c r="Z101" i="3" a="1"/>
  <c r="Z101" i="3" s="1"/>
  <c r="Z102" i="3" a="1"/>
  <c r="Z102" i="3" s="1"/>
  <c r="Z103" i="3" a="1"/>
  <c r="Z103" i="3" s="1"/>
  <c r="Z104" i="3" a="1"/>
  <c r="Z104" i="3" s="1"/>
  <c r="Z105" i="3" a="1"/>
  <c r="Z105" i="3" s="1"/>
  <c r="Z106" i="3" a="1"/>
  <c r="Z106" i="3" s="1"/>
  <c r="Z107" i="3" a="1"/>
  <c r="Z107" i="3" s="1"/>
  <c r="Z108" i="3" a="1"/>
  <c r="Z108" i="3" s="1"/>
  <c r="Z109" i="3" a="1"/>
  <c r="Z109" i="3" s="1"/>
  <c r="Z110" i="3" a="1"/>
  <c r="Z110" i="3" s="1"/>
  <c r="Z111" i="3" a="1"/>
  <c r="Z111" i="3" s="1"/>
  <c r="Z112" i="3" a="1"/>
  <c r="Z112" i="3" s="1"/>
  <c r="Z113" i="3" a="1"/>
  <c r="Z113" i="3" s="1"/>
  <c r="Z114" i="3" a="1"/>
  <c r="Z114" i="3" s="1"/>
  <c r="Z115" i="3" a="1"/>
  <c r="Z115" i="3" s="1"/>
  <c r="Z116" i="3" a="1"/>
  <c r="Z116" i="3" s="1"/>
  <c r="Z117" i="3" a="1"/>
  <c r="Z117" i="3" s="1"/>
  <c r="Z118" i="3" a="1"/>
  <c r="Z118" i="3" s="1"/>
  <c r="Z119" i="3" a="1"/>
  <c r="Z119" i="3" s="1"/>
  <c r="Z120" i="3" a="1"/>
  <c r="Z120" i="3" s="1"/>
  <c r="Z121" i="3" a="1"/>
  <c r="Z121" i="3" s="1"/>
  <c r="Z122" i="3" a="1"/>
  <c r="Z122" i="3" s="1"/>
  <c r="Z123" i="3" a="1"/>
  <c r="Z123" i="3" s="1"/>
  <c r="Z124" i="3" a="1"/>
  <c r="Z124" i="3" s="1"/>
  <c r="Z125" i="3" a="1"/>
  <c r="Z125" i="3" s="1"/>
  <c r="Z126" i="3" a="1"/>
  <c r="Z126" i="3" s="1"/>
  <c r="Z127" i="3" a="1"/>
  <c r="Z127" i="3" s="1"/>
  <c r="Z128" i="3" a="1"/>
  <c r="Z128" i="3" s="1"/>
  <c r="Z129" i="3" a="1"/>
  <c r="Z129" i="3" s="1"/>
  <c r="Z130" i="3" a="1"/>
  <c r="Z130" i="3" s="1"/>
  <c r="Z131" i="3" a="1"/>
  <c r="Z131" i="3" s="1"/>
  <c r="Z132" i="3" a="1"/>
  <c r="Z132" i="3" s="1"/>
  <c r="Z133" i="3" a="1"/>
  <c r="Z133" i="3" s="1"/>
  <c r="Z134" i="3" a="1"/>
  <c r="Z134" i="3" s="1"/>
  <c r="Z135" i="3" a="1"/>
  <c r="Z135" i="3" s="1"/>
  <c r="Z136" i="3" a="1"/>
  <c r="Z136" i="3" s="1"/>
  <c r="Z137" i="3" a="1"/>
  <c r="Z137" i="3" s="1"/>
  <c r="Z138" i="3" a="1"/>
  <c r="Z138" i="3" s="1"/>
  <c r="Z139" i="3" a="1"/>
  <c r="Z139" i="3" s="1"/>
  <c r="Z140" i="3" a="1"/>
  <c r="Z140" i="3" s="1"/>
  <c r="Z141" i="3" a="1"/>
  <c r="Z141" i="3" s="1"/>
  <c r="Z142" i="3" a="1"/>
  <c r="Z142" i="3" s="1"/>
  <c r="Z143" i="3" a="1"/>
  <c r="Z143" i="3" s="1"/>
  <c r="Z144" i="3" a="1"/>
  <c r="Z144" i="3" s="1"/>
  <c r="Z145" i="3" a="1"/>
  <c r="Z145" i="3" s="1"/>
  <c r="Z146" i="3" a="1"/>
  <c r="Z146" i="3" s="1"/>
  <c r="Z147" i="3" a="1"/>
  <c r="Z147" i="3" s="1"/>
  <c r="Z148" i="3" a="1"/>
  <c r="Z148" i="3" s="1"/>
  <c r="Z149" i="3" a="1"/>
  <c r="Z149" i="3" s="1"/>
  <c r="Z150" i="3" a="1"/>
  <c r="Z150" i="3" s="1"/>
  <c r="Z151" i="3" a="1"/>
  <c r="Z151" i="3" s="1"/>
  <c r="Z152" i="3" a="1"/>
  <c r="Z152" i="3" s="1"/>
  <c r="Z153" i="3" a="1"/>
  <c r="Z153" i="3" s="1"/>
  <c r="Z154" i="3" a="1"/>
  <c r="Z154" i="3" s="1"/>
  <c r="Z155" i="3" a="1"/>
  <c r="Z155" i="3" s="1"/>
  <c r="Z156" i="3" a="1"/>
  <c r="Z156" i="3" s="1"/>
  <c r="Z157" i="3" a="1"/>
  <c r="Z157" i="3" s="1"/>
  <c r="Z158" i="3" a="1"/>
  <c r="Z158" i="3" s="1"/>
  <c r="Z159" i="3" a="1"/>
  <c r="Z159" i="3" s="1"/>
  <c r="Z160" i="3" a="1"/>
  <c r="Z160" i="3" s="1"/>
  <c r="Z161" i="3" a="1"/>
  <c r="Z161" i="3" s="1"/>
  <c r="Z162" i="3" a="1"/>
  <c r="Z162" i="3" s="1"/>
  <c r="Z163" i="3" a="1"/>
  <c r="Z163" i="3" s="1"/>
  <c r="Z164" i="3" a="1"/>
  <c r="Z164" i="3" s="1"/>
  <c r="Z165" i="3" a="1"/>
  <c r="Z165" i="3" s="1"/>
  <c r="Z166" i="3" a="1"/>
  <c r="Z166" i="3" s="1"/>
  <c r="Z167" i="3" a="1"/>
  <c r="Z167" i="3" s="1"/>
  <c r="Z168" i="3" a="1"/>
  <c r="Z168" i="3" s="1"/>
  <c r="Z169" i="3" a="1"/>
  <c r="Z169" i="3" s="1"/>
  <c r="Z170" i="3" a="1"/>
  <c r="Z170" i="3" s="1"/>
  <c r="Z171" i="3" a="1"/>
  <c r="Z171" i="3" s="1"/>
  <c r="Z172" i="3" a="1"/>
  <c r="Z172" i="3" s="1"/>
  <c r="Z173" i="3" a="1"/>
  <c r="Z173" i="3" s="1"/>
  <c r="Z174" i="3" a="1"/>
  <c r="Z174" i="3" s="1"/>
  <c r="Z175" i="3" a="1"/>
  <c r="Z175" i="3" s="1"/>
  <c r="Z176" i="3" a="1"/>
  <c r="Z176" i="3" s="1"/>
  <c r="Z177" i="3" a="1"/>
  <c r="Z177" i="3" s="1"/>
  <c r="Z178" i="3" a="1"/>
  <c r="Z178" i="3" s="1"/>
  <c r="Z179" i="3" a="1"/>
  <c r="Z179" i="3" s="1"/>
  <c r="Z180" i="3" a="1"/>
  <c r="Z180" i="3" s="1"/>
  <c r="Z181" i="3" a="1"/>
  <c r="Z181" i="3" s="1"/>
  <c r="Z182" i="3" a="1"/>
  <c r="Z182" i="3" s="1"/>
  <c r="Z183" i="3" a="1"/>
  <c r="Z183" i="3" s="1"/>
  <c r="Z184" i="3" a="1"/>
  <c r="Z184" i="3" s="1"/>
  <c r="Z185" i="3" a="1"/>
  <c r="Z185" i="3" s="1"/>
  <c r="Z186" i="3" a="1"/>
  <c r="Z186" i="3" s="1"/>
  <c r="Z187" i="3" a="1"/>
  <c r="Z187" i="3" s="1"/>
  <c r="Z188" i="3" a="1"/>
  <c r="Z188" i="3" s="1"/>
  <c r="Z189" i="3" a="1"/>
  <c r="Z189" i="3" s="1"/>
  <c r="Z190" i="3" a="1"/>
  <c r="Z190" i="3" s="1"/>
  <c r="Z191" i="3" a="1"/>
  <c r="Z191" i="3" s="1"/>
  <c r="Z192" i="3" a="1"/>
  <c r="Z192" i="3" s="1"/>
  <c r="Z193" i="3" a="1"/>
  <c r="Z193" i="3" s="1"/>
  <c r="Z194" i="3" a="1"/>
  <c r="Z194" i="3" s="1"/>
  <c r="Z195" i="3" a="1"/>
  <c r="Z195" i="3" s="1"/>
  <c r="Z196" i="3" a="1"/>
  <c r="Z196" i="3" s="1"/>
  <c r="Z197" i="3" a="1"/>
  <c r="Z197" i="3" s="1"/>
  <c r="Z198" i="3" a="1"/>
  <c r="Z198" i="3" s="1"/>
  <c r="Z199" i="3" a="1"/>
  <c r="Z199" i="3" s="1"/>
  <c r="Z200" i="3" a="1"/>
  <c r="Z200" i="3" s="1"/>
  <c r="Z201" i="3" a="1"/>
  <c r="Z201" i="3" s="1"/>
  <c r="Z2" i="3" a="1"/>
  <c r="Z2" i="3" s="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 i="3"/>
  <c r="X3" i="3" a="1"/>
  <c r="X3" i="3" s="1"/>
  <c r="X4" i="3" a="1"/>
  <c r="X4" i="3"/>
  <c r="X5" i="3" a="1"/>
  <c r="X5" i="3" s="1"/>
  <c r="X6" i="3" a="1"/>
  <c r="X6" i="3"/>
  <c r="X7" i="3" a="1"/>
  <c r="X7" i="3" s="1"/>
  <c r="X8" i="3" a="1"/>
  <c r="X8" i="3" s="1"/>
  <c r="X9" i="3" a="1"/>
  <c r="X9" i="3" s="1"/>
  <c r="X10" i="3" a="1"/>
  <c r="X10" i="3"/>
  <c r="X11" i="3" a="1"/>
  <c r="X11" i="3" s="1"/>
  <c r="X12" i="3" a="1"/>
  <c r="X12" i="3" s="1"/>
  <c r="X13" i="3" a="1"/>
  <c r="X13" i="3" s="1"/>
  <c r="X14" i="3" a="1"/>
  <c r="X14" i="3"/>
  <c r="X15" i="3" a="1"/>
  <c r="X15" i="3" s="1"/>
  <c r="X16" i="3" a="1"/>
  <c r="X16" i="3" s="1"/>
  <c r="X17" i="3" a="1"/>
  <c r="X17" i="3" s="1"/>
  <c r="X18" i="3" a="1"/>
  <c r="X18" i="3"/>
  <c r="X19" i="3" a="1"/>
  <c r="X19" i="3" s="1"/>
  <c r="X20" i="3" a="1"/>
  <c r="X20" i="3" s="1"/>
  <c r="X21" i="3" a="1"/>
  <c r="X21" i="3" s="1"/>
  <c r="X22" i="3" a="1"/>
  <c r="X22" i="3"/>
  <c r="X23" i="3" a="1"/>
  <c r="X23" i="3" s="1"/>
  <c r="X24" i="3" a="1"/>
  <c r="X24" i="3" s="1"/>
  <c r="X25" i="3" a="1"/>
  <c r="X25" i="3" s="1"/>
  <c r="X26" i="3" a="1"/>
  <c r="X26" i="3"/>
  <c r="X27" i="3" a="1"/>
  <c r="X27" i="3" s="1"/>
  <c r="X28" i="3" a="1"/>
  <c r="X28" i="3" s="1"/>
  <c r="X29" i="3" a="1"/>
  <c r="X29" i="3" s="1"/>
  <c r="X30" i="3" a="1"/>
  <c r="X30" i="3"/>
  <c r="X31" i="3" a="1"/>
  <c r="X31" i="3" s="1"/>
  <c r="X32" i="3" a="1"/>
  <c r="X32" i="3" s="1"/>
  <c r="X33" i="3" a="1"/>
  <c r="X33" i="3" s="1"/>
  <c r="X34" i="3" a="1"/>
  <c r="X34" i="3"/>
  <c r="X35" i="3" a="1"/>
  <c r="X35" i="3" s="1"/>
  <c r="X36" i="3" a="1"/>
  <c r="X36" i="3" s="1"/>
  <c r="X37" i="3" a="1"/>
  <c r="X37" i="3" s="1"/>
  <c r="X38" i="3" a="1"/>
  <c r="X38" i="3"/>
  <c r="X39" i="3" a="1"/>
  <c r="X39" i="3" s="1"/>
  <c r="X40" i="3" a="1"/>
  <c r="X40" i="3" s="1"/>
  <c r="X41" i="3" a="1"/>
  <c r="X41" i="3" s="1"/>
  <c r="X42" i="3" a="1"/>
  <c r="X42" i="3"/>
  <c r="X43" i="3" a="1"/>
  <c r="X43" i="3" s="1"/>
  <c r="X44" i="3" a="1"/>
  <c r="X44" i="3" s="1"/>
  <c r="X45" i="3" a="1"/>
  <c r="X45" i="3" s="1"/>
  <c r="X46" i="3" a="1"/>
  <c r="X46" i="3"/>
  <c r="X47" i="3" a="1"/>
  <c r="X47" i="3" s="1"/>
  <c r="X48" i="3" a="1"/>
  <c r="X48" i="3" s="1"/>
  <c r="X49" i="3" a="1"/>
  <c r="X49" i="3" s="1"/>
  <c r="X50" i="3" a="1"/>
  <c r="X50" i="3"/>
  <c r="X51" i="3" a="1"/>
  <c r="X51" i="3" s="1"/>
  <c r="X52" i="3" a="1"/>
  <c r="X52" i="3" s="1"/>
  <c r="X53" i="3" a="1"/>
  <c r="X53" i="3" s="1"/>
  <c r="X54" i="3" a="1"/>
  <c r="X54" i="3"/>
  <c r="X55" i="3" a="1"/>
  <c r="X55" i="3" s="1"/>
  <c r="X56" i="3" a="1"/>
  <c r="X56" i="3" s="1"/>
  <c r="X57" i="3" a="1"/>
  <c r="X57" i="3" s="1"/>
  <c r="X58" i="3" a="1"/>
  <c r="X58" i="3"/>
  <c r="X59" i="3" a="1"/>
  <c r="X59" i="3" s="1"/>
  <c r="X60" i="3" a="1"/>
  <c r="X60" i="3" s="1"/>
  <c r="X61" i="3" a="1"/>
  <c r="X61" i="3" s="1"/>
  <c r="X62" i="3" a="1"/>
  <c r="X62" i="3"/>
  <c r="X63" i="3" a="1"/>
  <c r="X63" i="3" s="1"/>
  <c r="X64" i="3" a="1"/>
  <c r="X64" i="3" s="1"/>
  <c r="X65" i="3" a="1"/>
  <c r="X65" i="3" s="1"/>
  <c r="X66" i="3" a="1"/>
  <c r="X66" i="3"/>
  <c r="X67" i="3" a="1"/>
  <c r="X67" i="3" s="1"/>
  <c r="X68" i="3" a="1"/>
  <c r="X68" i="3" s="1"/>
  <c r="X69" i="3" a="1"/>
  <c r="X69" i="3" s="1"/>
  <c r="X70" i="3" a="1"/>
  <c r="X70" i="3"/>
  <c r="X71" i="3" a="1"/>
  <c r="X71" i="3" s="1"/>
  <c r="X72" i="3" a="1"/>
  <c r="X72" i="3" s="1"/>
  <c r="X73" i="3" a="1"/>
  <c r="X73" i="3" s="1"/>
  <c r="X74" i="3" a="1"/>
  <c r="X74" i="3"/>
  <c r="X75" i="3" a="1"/>
  <c r="X75" i="3" s="1"/>
  <c r="X76" i="3" a="1"/>
  <c r="X76" i="3" s="1"/>
  <c r="X77" i="3" a="1"/>
  <c r="X77" i="3" s="1"/>
  <c r="X78" i="3" a="1"/>
  <c r="X78" i="3"/>
  <c r="X79" i="3" a="1"/>
  <c r="X79" i="3" s="1"/>
  <c r="X80" i="3" a="1"/>
  <c r="X80" i="3" s="1"/>
  <c r="X81" i="3" a="1"/>
  <c r="X81" i="3" s="1"/>
  <c r="X82" i="3" a="1"/>
  <c r="X82" i="3"/>
  <c r="X83" i="3" a="1"/>
  <c r="X83" i="3" s="1"/>
  <c r="X84" i="3" a="1"/>
  <c r="X84" i="3" s="1"/>
  <c r="X85" i="3" a="1"/>
  <c r="X85" i="3" s="1"/>
  <c r="X86" i="3" a="1"/>
  <c r="X86" i="3"/>
  <c r="X87" i="3" a="1"/>
  <c r="X87" i="3" s="1"/>
  <c r="X88" i="3" a="1"/>
  <c r="X88" i="3" s="1"/>
  <c r="X89" i="3" a="1"/>
  <c r="X89" i="3" s="1"/>
  <c r="X90" i="3" a="1"/>
  <c r="X90" i="3"/>
  <c r="X91" i="3" a="1"/>
  <c r="X91" i="3" s="1"/>
  <c r="X92" i="3" a="1"/>
  <c r="X92" i="3" s="1"/>
  <c r="X93" i="3" a="1"/>
  <c r="X93" i="3" s="1"/>
  <c r="X94" i="3" a="1"/>
  <c r="X94" i="3"/>
  <c r="X95" i="3" a="1"/>
  <c r="X95" i="3" s="1"/>
  <c r="X96" i="3" a="1"/>
  <c r="X96" i="3" s="1"/>
  <c r="X97" i="3" a="1"/>
  <c r="X97" i="3" s="1"/>
  <c r="X98" i="3" a="1"/>
  <c r="X98" i="3"/>
  <c r="X99" i="3" a="1"/>
  <c r="X99" i="3" s="1"/>
  <c r="X100" i="3" a="1"/>
  <c r="X100" i="3" s="1"/>
  <c r="X101" i="3" a="1"/>
  <c r="X101" i="3" s="1"/>
  <c r="X102" i="3" a="1"/>
  <c r="X102" i="3"/>
  <c r="X103" i="3" a="1"/>
  <c r="X103" i="3" s="1"/>
  <c r="X104" i="3" a="1"/>
  <c r="X104" i="3" s="1"/>
  <c r="X105" i="3" a="1"/>
  <c r="X105" i="3" s="1"/>
  <c r="X106" i="3" a="1"/>
  <c r="X106" i="3"/>
  <c r="X107" i="3" a="1"/>
  <c r="X107" i="3" s="1"/>
  <c r="X108" i="3" a="1"/>
  <c r="X108" i="3" s="1"/>
  <c r="X109" i="3" a="1"/>
  <c r="X109" i="3" s="1"/>
  <c r="X110" i="3" a="1"/>
  <c r="X110" i="3"/>
  <c r="X111" i="3" a="1"/>
  <c r="X111" i="3" s="1"/>
  <c r="X112" i="3" a="1"/>
  <c r="X112" i="3" s="1"/>
  <c r="X113" i="3" a="1"/>
  <c r="X113" i="3" s="1"/>
  <c r="X114" i="3" a="1"/>
  <c r="X114" i="3"/>
  <c r="X115" i="3" a="1"/>
  <c r="X115" i="3" s="1"/>
  <c r="X116" i="3" a="1"/>
  <c r="X116" i="3" s="1"/>
  <c r="X117" i="3" a="1"/>
  <c r="X117" i="3" s="1"/>
  <c r="X118" i="3" a="1"/>
  <c r="X118" i="3"/>
  <c r="X119" i="3" a="1"/>
  <c r="X119" i="3" s="1"/>
  <c r="X120" i="3" a="1"/>
  <c r="X120" i="3" s="1"/>
  <c r="X121" i="3" a="1"/>
  <c r="X121" i="3" s="1"/>
  <c r="X122" i="3" a="1"/>
  <c r="X122" i="3"/>
  <c r="X123" i="3" a="1"/>
  <c r="X123" i="3" s="1"/>
  <c r="X124" i="3" a="1"/>
  <c r="X124" i="3" s="1"/>
  <c r="X125" i="3" a="1"/>
  <c r="X125" i="3" s="1"/>
  <c r="X126" i="3" a="1"/>
  <c r="X126" i="3"/>
  <c r="X127" i="3" a="1"/>
  <c r="X127" i="3" s="1"/>
  <c r="X128" i="3" a="1"/>
  <c r="X128" i="3" s="1"/>
  <c r="X129" i="3" a="1"/>
  <c r="X129" i="3" s="1"/>
  <c r="X130" i="3" a="1"/>
  <c r="X130" i="3"/>
  <c r="X131" i="3" a="1"/>
  <c r="X131" i="3" s="1"/>
  <c r="X132" i="3" a="1"/>
  <c r="X132" i="3" s="1"/>
  <c r="X133" i="3" a="1"/>
  <c r="X133" i="3" s="1"/>
  <c r="X134" i="3" a="1"/>
  <c r="X134" i="3"/>
  <c r="X135" i="3" a="1"/>
  <c r="X135" i="3" s="1"/>
  <c r="X136" i="3" a="1"/>
  <c r="X136" i="3" s="1"/>
  <c r="X137" i="3" a="1"/>
  <c r="X137" i="3" s="1"/>
  <c r="X138" i="3" a="1"/>
  <c r="X138" i="3"/>
  <c r="X139" i="3" a="1"/>
  <c r="X139" i="3" s="1"/>
  <c r="X140" i="3" a="1"/>
  <c r="X140" i="3" s="1"/>
  <c r="X141" i="3" a="1"/>
  <c r="X141" i="3" s="1"/>
  <c r="X142" i="3" a="1"/>
  <c r="X142" i="3"/>
  <c r="X143" i="3" a="1"/>
  <c r="X143" i="3" s="1"/>
  <c r="X144" i="3" a="1"/>
  <c r="X144" i="3" s="1"/>
  <c r="X145" i="3" a="1"/>
  <c r="X145" i="3" s="1"/>
  <c r="X146" i="3" a="1"/>
  <c r="X146" i="3"/>
  <c r="X147" i="3" a="1"/>
  <c r="X147" i="3" s="1"/>
  <c r="X148" i="3" a="1"/>
  <c r="X148" i="3" s="1"/>
  <c r="X149" i="3" a="1"/>
  <c r="X149" i="3" s="1"/>
  <c r="X150" i="3" a="1"/>
  <c r="X150" i="3"/>
  <c r="X151" i="3" a="1"/>
  <c r="X151" i="3" s="1"/>
  <c r="X152" i="3" a="1"/>
  <c r="X152" i="3" s="1"/>
  <c r="X153" i="3" a="1"/>
  <c r="X153" i="3" s="1"/>
  <c r="X154" i="3" a="1"/>
  <c r="X154" i="3"/>
  <c r="X155" i="3" a="1"/>
  <c r="X155" i="3" s="1"/>
  <c r="X156" i="3" a="1"/>
  <c r="X156" i="3" s="1"/>
  <c r="X157" i="3" a="1"/>
  <c r="X157" i="3" s="1"/>
  <c r="X158" i="3" a="1"/>
  <c r="X158" i="3"/>
  <c r="X159" i="3" a="1"/>
  <c r="X159" i="3" s="1"/>
  <c r="X160" i="3" a="1"/>
  <c r="X160" i="3" s="1"/>
  <c r="X161" i="3" a="1"/>
  <c r="X161" i="3" s="1"/>
  <c r="X162" i="3" a="1"/>
  <c r="X162" i="3"/>
  <c r="X163" i="3" a="1"/>
  <c r="X163" i="3" s="1"/>
  <c r="X164" i="3" a="1"/>
  <c r="X164" i="3" s="1"/>
  <c r="X165" i="3" a="1"/>
  <c r="X165" i="3" s="1"/>
  <c r="X166" i="3" a="1"/>
  <c r="X166" i="3"/>
  <c r="X167" i="3" a="1"/>
  <c r="X167" i="3" s="1"/>
  <c r="X168" i="3" a="1"/>
  <c r="X168" i="3" s="1"/>
  <c r="X169" i="3" a="1"/>
  <c r="X169" i="3" s="1"/>
  <c r="X170" i="3" a="1"/>
  <c r="X170" i="3"/>
  <c r="X171" i="3" a="1"/>
  <c r="X171" i="3" s="1"/>
  <c r="X172" i="3" a="1"/>
  <c r="X172" i="3" s="1"/>
  <c r="X173" i="3" a="1"/>
  <c r="X173" i="3" s="1"/>
  <c r="X174" i="3" a="1"/>
  <c r="X174" i="3"/>
  <c r="X175" i="3" a="1"/>
  <c r="X175" i="3" s="1"/>
  <c r="X176" i="3" a="1"/>
  <c r="X176" i="3" s="1"/>
  <c r="X177" i="3" a="1"/>
  <c r="X177" i="3" s="1"/>
  <c r="X178" i="3" a="1"/>
  <c r="X178" i="3"/>
  <c r="X179" i="3" a="1"/>
  <c r="X179" i="3" s="1"/>
  <c r="X180" i="3" a="1"/>
  <c r="X180" i="3" s="1"/>
  <c r="X181" i="3" a="1"/>
  <c r="X181" i="3" s="1"/>
  <c r="X182" i="3" a="1"/>
  <c r="X182" i="3"/>
  <c r="X183" i="3" a="1"/>
  <c r="X183" i="3" s="1"/>
  <c r="X184" i="3" a="1"/>
  <c r="X184" i="3" s="1"/>
  <c r="X185" i="3" a="1"/>
  <c r="X185" i="3" s="1"/>
  <c r="X186" i="3" a="1"/>
  <c r="X186" i="3"/>
  <c r="X187" i="3" a="1"/>
  <c r="X187" i="3" s="1"/>
  <c r="X188" i="3" a="1"/>
  <c r="X188" i="3" s="1"/>
  <c r="X189" i="3" a="1"/>
  <c r="X189" i="3" s="1"/>
  <c r="X190" i="3" a="1"/>
  <c r="X190" i="3"/>
  <c r="X191" i="3" a="1"/>
  <c r="X191" i="3" s="1"/>
  <c r="X192" i="3" a="1"/>
  <c r="X192" i="3" s="1"/>
  <c r="X193" i="3" a="1"/>
  <c r="X193" i="3" s="1"/>
  <c r="X194" i="3" a="1"/>
  <c r="X194" i="3"/>
  <c r="X195" i="3" a="1"/>
  <c r="X195" i="3" s="1"/>
  <c r="X196" i="3" a="1"/>
  <c r="X196" i="3" s="1"/>
  <c r="X197" i="3" a="1"/>
  <c r="X197" i="3" s="1"/>
  <c r="X198" i="3" a="1"/>
  <c r="X198" i="3"/>
  <c r="X199" i="3" a="1"/>
  <c r="X199" i="3" s="1"/>
  <c r="X200" i="3" a="1"/>
  <c r="X200" i="3" s="1"/>
  <c r="X201" i="3" a="1"/>
  <c r="X201" i="3" s="1"/>
  <c r="X2" i="3" a="1"/>
  <c r="X2" i="3" s="1"/>
  <c r="W3" i="3" a="1"/>
  <c r="W3" i="3" s="1"/>
  <c r="W4" i="3" a="1"/>
  <c r="W4" i="3" s="1"/>
  <c r="W5" i="3" a="1"/>
  <c r="W5" i="3" s="1"/>
  <c r="W6" i="3" a="1"/>
  <c r="W6" i="3"/>
  <c r="W7" i="3" a="1"/>
  <c r="W7" i="3" s="1"/>
  <c r="W8" i="3" a="1"/>
  <c r="W8" i="3" s="1"/>
  <c r="W9" i="3" a="1"/>
  <c r="W9" i="3" s="1"/>
  <c r="W10" i="3" a="1"/>
  <c r="W10" i="3"/>
  <c r="W11" i="3" a="1"/>
  <c r="W11" i="3" s="1"/>
  <c r="W12" i="3" a="1"/>
  <c r="W12" i="3" s="1"/>
  <c r="W13" i="3" a="1"/>
  <c r="W13" i="3" s="1"/>
  <c r="W14" i="3" a="1"/>
  <c r="W14" i="3"/>
  <c r="W15" i="3" a="1"/>
  <c r="W15" i="3" s="1"/>
  <c r="W16" i="3" a="1"/>
  <c r="W16" i="3" s="1"/>
  <c r="W17" i="3" a="1"/>
  <c r="W17" i="3" s="1"/>
  <c r="W18" i="3" a="1"/>
  <c r="W18" i="3"/>
  <c r="W19" i="3" a="1"/>
  <c r="W19" i="3" s="1"/>
  <c r="W20" i="3" a="1"/>
  <c r="W20" i="3" s="1"/>
  <c r="W21" i="3" a="1"/>
  <c r="W21" i="3" s="1"/>
  <c r="W22" i="3" a="1"/>
  <c r="W22" i="3"/>
  <c r="W23" i="3" a="1"/>
  <c r="W23" i="3" s="1"/>
  <c r="W24" i="3" a="1"/>
  <c r="W24" i="3" s="1"/>
  <c r="W25" i="3" a="1"/>
  <c r="W25" i="3" s="1"/>
  <c r="W26" i="3" a="1"/>
  <c r="W26" i="3"/>
  <c r="W27" i="3" a="1"/>
  <c r="W27" i="3" s="1"/>
  <c r="W28" i="3" a="1"/>
  <c r="W28" i="3" s="1"/>
  <c r="W29" i="3" a="1"/>
  <c r="W29" i="3" s="1"/>
  <c r="W30" i="3" a="1"/>
  <c r="W30" i="3"/>
  <c r="W31" i="3" a="1"/>
  <c r="W31" i="3" s="1"/>
  <c r="W32" i="3" a="1"/>
  <c r="W32" i="3" s="1"/>
  <c r="W33" i="3" a="1"/>
  <c r="W33" i="3" s="1"/>
  <c r="W34" i="3" a="1"/>
  <c r="W34" i="3"/>
  <c r="W35" i="3" a="1"/>
  <c r="W35" i="3" s="1"/>
  <c r="W36" i="3" a="1"/>
  <c r="W36" i="3" s="1"/>
  <c r="W37" i="3" a="1"/>
  <c r="W37" i="3" s="1"/>
  <c r="W38" i="3" a="1"/>
  <c r="W38" i="3"/>
  <c r="W39" i="3" a="1"/>
  <c r="W39" i="3" s="1"/>
  <c r="W40" i="3" a="1"/>
  <c r="W40" i="3" s="1"/>
  <c r="W41" i="3" a="1"/>
  <c r="W41" i="3" s="1"/>
  <c r="W42" i="3" a="1"/>
  <c r="W42" i="3"/>
  <c r="W43" i="3" a="1"/>
  <c r="W43" i="3" s="1"/>
  <c r="W44" i="3" a="1"/>
  <c r="W44" i="3" s="1"/>
  <c r="W45" i="3" a="1"/>
  <c r="W45" i="3" s="1"/>
  <c r="W46" i="3" a="1"/>
  <c r="W46" i="3"/>
  <c r="W47" i="3" a="1"/>
  <c r="W47" i="3" s="1"/>
  <c r="W48" i="3" a="1"/>
  <c r="W48" i="3" s="1"/>
  <c r="W49" i="3" a="1"/>
  <c r="W49" i="3" s="1"/>
  <c r="W50" i="3" a="1"/>
  <c r="W50" i="3"/>
  <c r="W51" i="3" a="1"/>
  <c r="W51" i="3" s="1"/>
  <c r="W52" i="3" a="1"/>
  <c r="W52" i="3" s="1"/>
  <c r="W53" i="3" a="1"/>
  <c r="W53" i="3" s="1"/>
  <c r="W54" i="3" a="1"/>
  <c r="W54" i="3"/>
  <c r="W55" i="3" a="1"/>
  <c r="W55" i="3" s="1"/>
  <c r="W56" i="3" a="1"/>
  <c r="W56" i="3" s="1"/>
  <c r="W57" i="3" a="1"/>
  <c r="W57" i="3" s="1"/>
  <c r="W58" i="3" a="1"/>
  <c r="W58" i="3"/>
  <c r="W59" i="3" a="1"/>
  <c r="W59" i="3" s="1"/>
  <c r="W60" i="3" a="1"/>
  <c r="W60" i="3" s="1"/>
  <c r="W61" i="3" a="1"/>
  <c r="W61" i="3" s="1"/>
  <c r="W62" i="3" a="1"/>
  <c r="W62" i="3"/>
  <c r="W63" i="3" a="1"/>
  <c r="W63" i="3" s="1"/>
  <c r="W64" i="3" a="1"/>
  <c r="W64" i="3" s="1"/>
  <c r="W65" i="3" a="1"/>
  <c r="W65" i="3" s="1"/>
  <c r="W66" i="3" a="1"/>
  <c r="W66" i="3"/>
  <c r="W67" i="3" a="1"/>
  <c r="W67" i="3" s="1"/>
  <c r="W68" i="3" a="1"/>
  <c r="W68" i="3" s="1"/>
  <c r="W69" i="3" a="1"/>
  <c r="W69" i="3" s="1"/>
  <c r="W70" i="3" a="1"/>
  <c r="W70" i="3"/>
  <c r="W71" i="3" a="1"/>
  <c r="W71" i="3" s="1"/>
  <c r="W72" i="3" a="1"/>
  <c r="W72" i="3" s="1"/>
  <c r="W73" i="3" a="1"/>
  <c r="W73" i="3" s="1"/>
  <c r="W74" i="3" a="1"/>
  <c r="W74" i="3"/>
  <c r="W75" i="3" a="1"/>
  <c r="W75" i="3" s="1"/>
  <c r="W76" i="3" a="1"/>
  <c r="W76" i="3" s="1"/>
  <c r="W77" i="3" a="1"/>
  <c r="W77" i="3" s="1"/>
  <c r="W78" i="3" a="1"/>
  <c r="W78" i="3"/>
  <c r="W79" i="3" a="1"/>
  <c r="W79" i="3" s="1"/>
  <c r="W80" i="3" a="1"/>
  <c r="W80" i="3" s="1"/>
  <c r="W81" i="3" a="1"/>
  <c r="W81" i="3" s="1"/>
  <c r="W82" i="3" a="1"/>
  <c r="W82" i="3"/>
  <c r="W83" i="3" a="1"/>
  <c r="W83" i="3" s="1"/>
  <c r="W84" i="3" a="1"/>
  <c r="W84" i="3" s="1"/>
  <c r="W85" i="3" a="1"/>
  <c r="W85" i="3" s="1"/>
  <c r="W86" i="3" a="1"/>
  <c r="W86" i="3"/>
  <c r="W87" i="3" a="1"/>
  <c r="W87" i="3" s="1"/>
  <c r="W88" i="3" a="1"/>
  <c r="W88" i="3" s="1"/>
  <c r="W89" i="3" a="1"/>
  <c r="W89" i="3" s="1"/>
  <c r="W90" i="3" a="1"/>
  <c r="W90" i="3"/>
  <c r="W91" i="3" a="1"/>
  <c r="W91" i="3" s="1"/>
  <c r="W92" i="3" a="1"/>
  <c r="W92" i="3" s="1"/>
  <c r="W93" i="3" a="1"/>
  <c r="W93" i="3" s="1"/>
  <c r="W94" i="3" a="1"/>
  <c r="W94" i="3"/>
  <c r="W95" i="3" a="1"/>
  <c r="W95" i="3" s="1"/>
  <c r="W96" i="3" a="1"/>
  <c r="W96" i="3" s="1"/>
  <c r="W97" i="3" a="1"/>
  <c r="W97" i="3" s="1"/>
  <c r="W98" i="3" a="1"/>
  <c r="W98" i="3"/>
  <c r="W99" i="3" a="1"/>
  <c r="W99" i="3" s="1"/>
  <c r="W100" i="3" a="1"/>
  <c r="W100" i="3" s="1"/>
  <c r="W101" i="3" a="1"/>
  <c r="W101" i="3" s="1"/>
  <c r="W102" i="3" a="1"/>
  <c r="W102" i="3"/>
  <c r="W103" i="3" a="1"/>
  <c r="W103" i="3" s="1"/>
  <c r="W104" i="3" a="1"/>
  <c r="W104" i="3" s="1"/>
  <c r="W105" i="3" a="1"/>
  <c r="W105" i="3" s="1"/>
  <c r="W106" i="3" a="1"/>
  <c r="W106" i="3"/>
  <c r="W107" i="3" a="1"/>
  <c r="W107" i="3" s="1"/>
  <c r="W108" i="3" a="1"/>
  <c r="W108" i="3" s="1"/>
  <c r="W109" i="3" a="1"/>
  <c r="W109" i="3" s="1"/>
  <c r="W110" i="3" a="1"/>
  <c r="W110" i="3"/>
  <c r="W111" i="3" a="1"/>
  <c r="W111" i="3" s="1"/>
  <c r="W112" i="3" a="1"/>
  <c r="W112" i="3" s="1"/>
  <c r="W113" i="3" a="1"/>
  <c r="W113" i="3" s="1"/>
  <c r="W114" i="3" a="1"/>
  <c r="W114" i="3"/>
  <c r="W115" i="3" a="1"/>
  <c r="W115" i="3" s="1"/>
  <c r="W116" i="3" a="1"/>
  <c r="W116" i="3" s="1"/>
  <c r="W117" i="3" a="1"/>
  <c r="W117" i="3" s="1"/>
  <c r="W118" i="3" a="1"/>
  <c r="W118" i="3"/>
  <c r="W119" i="3" a="1"/>
  <c r="W119" i="3" s="1"/>
  <c r="W120" i="3" a="1"/>
  <c r="W120" i="3" s="1"/>
  <c r="W121" i="3" a="1"/>
  <c r="W121" i="3" s="1"/>
  <c r="W122" i="3" a="1"/>
  <c r="W122" i="3"/>
  <c r="W123" i="3" a="1"/>
  <c r="W123" i="3" s="1"/>
  <c r="W124" i="3" a="1"/>
  <c r="W124" i="3" s="1"/>
  <c r="W125" i="3" a="1"/>
  <c r="W125" i="3" s="1"/>
  <c r="W126" i="3" a="1"/>
  <c r="W126" i="3"/>
  <c r="W127" i="3" a="1"/>
  <c r="W127" i="3" s="1"/>
  <c r="W128" i="3" a="1"/>
  <c r="W128" i="3" s="1"/>
  <c r="W129" i="3" a="1"/>
  <c r="W129" i="3" s="1"/>
  <c r="W130" i="3" a="1"/>
  <c r="W130" i="3"/>
  <c r="W131" i="3" a="1"/>
  <c r="W131" i="3" s="1"/>
  <c r="W132" i="3" a="1"/>
  <c r="W132" i="3" s="1"/>
  <c r="W133" i="3" a="1"/>
  <c r="W133" i="3" s="1"/>
  <c r="W134" i="3" a="1"/>
  <c r="W134" i="3"/>
  <c r="W135" i="3" a="1"/>
  <c r="W135" i="3" s="1"/>
  <c r="W136" i="3" a="1"/>
  <c r="W136" i="3" s="1"/>
  <c r="W137" i="3" a="1"/>
  <c r="W137" i="3" s="1"/>
  <c r="W138" i="3" a="1"/>
  <c r="W138" i="3"/>
  <c r="W139" i="3" a="1"/>
  <c r="W139" i="3" s="1"/>
  <c r="W140" i="3" a="1"/>
  <c r="W140" i="3" s="1"/>
  <c r="W141" i="3" a="1"/>
  <c r="W141" i="3" s="1"/>
  <c r="W142" i="3" a="1"/>
  <c r="W142" i="3"/>
  <c r="W143" i="3" a="1"/>
  <c r="W143" i="3" s="1"/>
  <c r="W144" i="3" a="1"/>
  <c r="W144" i="3" s="1"/>
  <c r="W145" i="3" a="1"/>
  <c r="W145" i="3" s="1"/>
  <c r="W146" i="3" a="1"/>
  <c r="W146" i="3"/>
  <c r="W147" i="3" a="1"/>
  <c r="W147" i="3" s="1"/>
  <c r="W148" i="3" a="1"/>
  <c r="W148" i="3" s="1"/>
  <c r="W149" i="3" a="1"/>
  <c r="W149" i="3" s="1"/>
  <c r="W150" i="3" a="1"/>
  <c r="W150" i="3"/>
  <c r="W151" i="3" a="1"/>
  <c r="W151" i="3" s="1"/>
  <c r="W152" i="3" a="1"/>
  <c r="W152" i="3" s="1"/>
  <c r="W153" i="3" a="1"/>
  <c r="W153" i="3" s="1"/>
  <c r="W154" i="3" a="1"/>
  <c r="W154" i="3"/>
  <c r="W155" i="3" a="1"/>
  <c r="W155" i="3" s="1"/>
  <c r="W156" i="3" a="1"/>
  <c r="W156" i="3" s="1"/>
  <c r="W157" i="3" a="1"/>
  <c r="W157" i="3" s="1"/>
  <c r="W158" i="3" a="1"/>
  <c r="W158" i="3"/>
  <c r="W159" i="3" a="1"/>
  <c r="W159" i="3" s="1"/>
  <c r="W160" i="3" a="1"/>
  <c r="W160" i="3" s="1"/>
  <c r="W161" i="3" a="1"/>
  <c r="W161" i="3" s="1"/>
  <c r="W162" i="3" a="1"/>
  <c r="W162" i="3"/>
  <c r="W163" i="3" a="1"/>
  <c r="W163" i="3" s="1"/>
  <c r="W164" i="3" a="1"/>
  <c r="W164" i="3" s="1"/>
  <c r="W165" i="3" a="1"/>
  <c r="W165" i="3" s="1"/>
  <c r="W166" i="3" a="1"/>
  <c r="W166" i="3"/>
  <c r="W167" i="3" a="1"/>
  <c r="W167" i="3" s="1"/>
  <c r="W168" i="3" a="1"/>
  <c r="W168" i="3" s="1"/>
  <c r="W169" i="3" a="1"/>
  <c r="W169" i="3" s="1"/>
  <c r="W170" i="3" a="1"/>
  <c r="W170" i="3"/>
  <c r="W171" i="3" a="1"/>
  <c r="W171" i="3" s="1"/>
  <c r="W172" i="3" a="1"/>
  <c r="W172" i="3" s="1"/>
  <c r="W173" i="3" a="1"/>
  <c r="W173" i="3" s="1"/>
  <c r="W174" i="3" a="1"/>
  <c r="W174" i="3"/>
  <c r="W175" i="3" a="1"/>
  <c r="W175" i="3" s="1"/>
  <c r="W176" i="3" a="1"/>
  <c r="W176" i="3" s="1"/>
  <c r="W177" i="3" a="1"/>
  <c r="W177" i="3" s="1"/>
  <c r="W178" i="3" a="1"/>
  <c r="W178" i="3"/>
  <c r="W179" i="3" a="1"/>
  <c r="W179" i="3" s="1"/>
  <c r="W180" i="3" a="1"/>
  <c r="W180" i="3" s="1"/>
  <c r="W181" i="3" a="1"/>
  <c r="W181" i="3" s="1"/>
  <c r="W182" i="3" a="1"/>
  <c r="W182" i="3"/>
  <c r="W183" i="3" a="1"/>
  <c r="W183" i="3" s="1"/>
  <c r="W184" i="3" a="1"/>
  <c r="W184" i="3" s="1"/>
  <c r="W185" i="3" a="1"/>
  <c r="W185" i="3" s="1"/>
  <c r="W186" i="3" a="1"/>
  <c r="W186" i="3"/>
  <c r="W187" i="3" a="1"/>
  <c r="W187" i="3" s="1"/>
  <c r="W188" i="3" a="1"/>
  <c r="W188" i="3" s="1"/>
  <c r="W189" i="3" a="1"/>
  <c r="W189" i="3" s="1"/>
  <c r="W190" i="3" a="1"/>
  <c r="W190" i="3"/>
  <c r="W191" i="3" a="1"/>
  <c r="W191" i="3" s="1"/>
  <c r="W192" i="3" a="1"/>
  <c r="W192" i="3" s="1"/>
  <c r="W193" i="3" a="1"/>
  <c r="W193" i="3" s="1"/>
  <c r="W194" i="3" a="1"/>
  <c r="W194" i="3"/>
  <c r="W195" i="3" a="1"/>
  <c r="W195" i="3" s="1"/>
  <c r="W196" i="3" a="1"/>
  <c r="W196" i="3" s="1"/>
  <c r="W197" i="3" a="1"/>
  <c r="W197" i="3" s="1"/>
  <c r="W198" i="3" a="1"/>
  <c r="W198" i="3" s="1"/>
  <c r="W199" i="3" a="1"/>
  <c r="W199" i="3" s="1"/>
  <c r="W200" i="3" a="1"/>
  <c r="W200" i="3" s="1"/>
  <c r="W201" i="3" a="1"/>
  <c r="W201" i="3" s="1"/>
  <c r="W2" i="3" a="1"/>
  <c r="W2" i="3" s="1"/>
  <c r="V2" i="3" a="1"/>
  <c r="V2" i="3" s="1"/>
  <c r="V3" i="3" a="1"/>
  <c r="V3" i="3" s="1"/>
  <c r="V4" i="3" a="1"/>
  <c r="V4" i="3" s="1"/>
  <c r="V5" i="3" a="1"/>
  <c r="V5" i="3" s="1"/>
  <c r="V6" i="3" a="1"/>
  <c r="V6" i="3"/>
  <c r="V7" i="3" a="1"/>
  <c r="V7" i="3" s="1"/>
  <c r="V8" i="3" a="1"/>
  <c r="V8" i="3" s="1"/>
  <c r="V9" i="3" a="1"/>
  <c r="V9" i="3" s="1"/>
  <c r="V10" i="3" a="1"/>
  <c r="V10" i="3"/>
  <c r="V11" i="3" a="1"/>
  <c r="V11" i="3" s="1"/>
  <c r="V12" i="3" a="1"/>
  <c r="V12" i="3" s="1"/>
  <c r="V13" i="3" a="1"/>
  <c r="V13" i="3" s="1"/>
  <c r="V14" i="3" a="1"/>
  <c r="V14" i="3"/>
  <c r="V15" i="3" a="1"/>
  <c r="V15" i="3" s="1"/>
  <c r="V16" i="3" a="1"/>
  <c r="V16" i="3" s="1"/>
  <c r="V17" i="3" a="1"/>
  <c r="V17" i="3" s="1"/>
  <c r="V18" i="3" a="1"/>
  <c r="V18" i="3"/>
  <c r="V19" i="3" a="1"/>
  <c r="V19" i="3" s="1"/>
  <c r="V20" i="3" a="1"/>
  <c r="V20" i="3" s="1"/>
  <c r="V21" i="3" a="1"/>
  <c r="V21" i="3" s="1"/>
  <c r="V22" i="3" a="1"/>
  <c r="V22" i="3"/>
  <c r="V23" i="3" a="1"/>
  <c r="V23" i="3" s="1"/>
  <c r="V24" i="3" a="1"/>
  <c r="V24" i="3" s="1"/>
  <c r="V25" i="3" a="1"/>
  <c r="V25" i="3" s="1"/>
  <c r="V26" i="3" a="1"/>
  <c r="V26" i="3"/>
  <c r="V27" i="3" a="1"/>
  <c r="V27" i="3" s="1"/>
  <c r="V28" i="3" a="1"/>
  <c r="V28" i="3" s="1"/>
  <c r="V29" i="3" a="1"/>
  <c r="V29" i="3" s="1"/>
  <c r="V30" i="3" a="1"/>
  <c r="V30" i="3"/>
  <c r="V31" i="3" a="1"/>
  <c r="V31" i="3" s="1"/>
  <c r="V32" i="3" a="1"/>
  <c r="V32" i="3" s="1"/>
  <c r="V33" i="3" a="1"/>
  <c r="V33" i="3" s="1"/>
  <c r="V34" i="3" a="1"/>
  <c r="V34" i="3"/>
  <c r="V35" i="3" a="1"/>
  <c r="V35" i="3" s="1"/>
  <c r="V36" i="3" a="1"/>
  <c r="V36" i="3" s="1"/>
  <c r="V37" i="3" a="1"/>
  <c r="V37" i="3" s="1"/>
  <c r="V38" i="3" a="1"/>
  <c r="V38" i="3"/>
  <c r="V39" i="3" a="1"/>
  <c r="V39" i="3" s="1"/>
  <c r="V40" i="3" a="1"/>
  <c r="V40" i="3" s="1"/>
  <c r="V41" i="3" a="1"/>
  <c r="V41" i="3" s="1"/>
  <c r="V42" i="3" a="1"/>
  <c r="V42" i="3"/>
  <c r="V43" i="3" a="1"/>
  <c r="V43" i="3" s="1"/>
  <c r="V44" i="3" a="1"/>
  <c r="V44" i="3" s="1"/>
  <c r="V45" i="3" a="1"/>
  <c r="V45" i="3" s="1"/>
  <c r="V46" i="3" a="1"/>
  <c r="V46" i="3"/>
  <c r="V47" i="3" a="1"/>
  <c r="V47" i="3" s="1"/>
  <c r="V48" i="3" a="1"/>
  <c r="V48" i="3" s="1"/>
  <c r="V49" i="3" a="1"/>
  <c r="V49" i="3" s="1"/>
  <c r="V50" i="3" a="1"/>
  <c r="V50" i="3"/>
  <c r="V51" i="3" a="1"/>
  <c r="V51" i="3" s="1"/>
  <c r="V52" i="3" a="1"/>
  <c r="V52" i="3" s="1"/>
  <c r="V53" i="3" a="1"/>
  <c r="V53" i="3" s="1"/>
  <c r="V54" i="3" a="1"/>
  <c r="V54" i="3"/>
  <c r="V55" i="3" a="1"/>
  <c r="V55" i="3" s="1"/>
  <c r="V56" i="3" a="1"/>
  <c r="V56" i="3" s="1"/>
  <c r="V57" i="3" a="1"/>
  <c r="V57" i="3" s="1"/>
  <c r="V58" i="3" a="1"/>
  <c r="V58" i="3"/>
  <c r="V59" i="3" a="1"/>
  <c r="V59" i="3" s="1"/>
  <c r="V60" i="3" a="1"/>
  <c r="V60" i="3" s="1"/>
  <c r="V61" i="3" a="1"/>
  <c r="V61" i="3" s="1"/>
  <c r="V62" i="3" a="1"/>
  <c r="V62" i="3"/>
  <c r="V63" i="3" a="1"/>
  <c r="V63" i="3" s="1"/>
  <c r="V64" i="3" a="1"/>
  <c r="V64" i="3" s="1"/>
  <c r="V65" i="3" a="1"/>
  <c r="V65" i="3" s="1"/>
  <c r="V66" i="3" a="1"/>
  <c r="V66" i="3"/>
  <c r="V67" i="3" a="1"/>
  <c r="V67" i="3" s="1"/>
  <c r="V68" i="3" a="1"/>
  <c r="V68" i="3" s="1"/>
  <c r="V69" i="3" a="1"/>
  <c r="V69" i="3" s="1"/>
  <c r="V70" i="3" a="1"/>
  <c r="V70" i="3"/>
  <c r="V71" i="3" a="1"/>
  <c r="V71" i="3" s="1"/>
  <c r="V72" i="3" a="1"/>
  <c r="V72" i="3" s="1"/>
  <c r="V73" i="3" a="1"/>
  <c r="V73" i="3" s="1"/>
  <c r="V74" i="3" a="1"/>
  <c r="V74" i="3"/>
  <c r="V75" i="3" a="1"/>
  <c r="V75" i="3" s="1"/>
  <c r="V76" i="3" a="1"/>
  <c r="V76" i="3" s="1"/>
  <c r="V77" i="3" a="1"/>
  <c r="V77" i="3" s="1"/>
  <c r="V78" i="3" a="1"/>
  <c r="V78" i="3"/>
  <c r="V79" i="3" a="1"/>
  <c r="V79" i="3" s="1"/>
  <c r="V80" i="3" a="1"/>
  <c r="V80" i="3" s="1"/>
  <c r="V81" i="3" a="1"/>
  <c r="V81" i="3" s="1"/>
  <c r="V82" i="3" a="1"/>
  <c r="V82" i="3"/>
  <c r="V83" i="3" a="1"/>
  <c r="V83" i="3" s="1"/>
  <c r="V84" i="3" a="1"/>
  <c r="V84" i="3" s="1"/>
  <c r="V85" i="3" a="1"/>
  <c r="V85" i="3" s="1"/>
  <c r="V86" i="3" a="1"/>
  <c r="V86" i="3"/>
  <c r="V87" i="3" a="1"/>
  <c r="V87" i="3" s="1"/>
  <c r="V88" i="3" a="1"/>
  <c r="V88" i="3" s="1"/>
  <c r="V89" i="3" a="1"/>
  <c r="V89" i="3" s="1"/>
  <c r="V90" i="3" a="1"/>
  <c r="V90" i="3"/>
  <c r="V91" i="3" a="1"/>
  <c r="V91" i="3" s="1"/>
  <c r="V92" i="3" a="1"/>
  <c r="V92" i="3" s="1"/>
  <c r="V93" i="3" a="1"/>
  <c r="V93" i="3" s="1"/>
  <c r="V94" i="3" a="1"/>
  <c r="V94" i="3"/>
  <c r="V95" i="3" a="1"/>
  <c r="V95" i="3" s="1"/>
  <c r="V96" i="3" a="1"/>
  <c r="V96" i="3" s="1"/>
  <c r="V97" i="3" a="1"/>
  <c r="V97" i="3" s="1"/>
  <c r="V98" i="3" a="1"/>
  <c r="V98" i="3"/>
  <c r="V99" i="3" a="1"/>
  <c r="V99" i="3" s="1"/>
  <c r="V100" i="3" a="1"/>
  <c r="V100" i="3" s="1"/>
  <c r="V101" i="3" a="1"/>
  <c r="V101" i="3" s="1"/>
  <c r="V102" i="3" a="1"/>
  <c r="V102" i="3"/>
  <c r="V103" i="3" a="1"/>
  <c r="V103" i="3" s="1"/>
  <c r="V104" i="3" a="1"/>
  <c r="V104" i="3" s="1"/>
  <c r="V105" i="3" a="1"/>
  <c r="V105" i="3" s="1"/>
  <c r="V106" i="3" a="1"/>
  <c r="V106" i="3"/>
  <c r="V107" i="3" a="1"/>
  <c r="V107" i="3" s="1"/>
  <c r="V108" i="3" a="1"/>
  <c r="V108" i="3" s="1"/>
  <c r="V109" i="3" a="1"/>
  <c r="V109" i="3" s="1"/>
  <c r="V110" i="3" a="1"/>
  <c r="V110" i="3"/>
  <c r="V111" i="3" a="1"/>
  <c r="V111" i="3" s="1"/>
  <c r="V112" i="3" a="1"/>
  <c r="V112" i="3" s="1"/>
  <c r="V113" i="3" a="1"/>
  <c r="V113" i="3" s="1"/>
  <c r="V114" i="3" a="1"/>
  <c r="V114" i="3"/>
  <c r="V115" i="3" a="1"/>
  <c r="V115" i="3" s="1"/>
  <c r="V116" i="3" a="1"/>
  <c r="V116" i="3" s="1"/>
  <c r="V117" i="3" a="1"/>
  <c r="V117" i="3" s="1"/>
  <c r="V118" i="3" a="1"/>
  <c r="V118" i="3"/>
  <c r="V119" i="3" a="1"/>
  <c r="V119" i="3" s="1"/>
  <c r="V120" i="3" a="1"/>
  <c r="V120" i="3" s="1"/>
  <c r="V121" i="3" a="1"/>
  <c r="V121" i="3" s="1"/>
  <c r="V122" i="3" a="1"/>
  <c r="V122" i="3"/>
  <c r="V123" i="3" a="1"/>
  <c r="V123" i="3" s="1"/>
  <c r="V124" i="3" a="1"/>
  <c r="V124" i="3" s="1"/>
  <c r="V125" i="3" a="1"/>
  <c r="V125" i="3" s="1"/>
  <c r="V126" i="3" a="1"/>
  <c r="V126" i="3"/>
  <c r="V127" i="3" a="1"/>
  <c r="V127" i="3" s="1"/>
  <c r="V128" i="3" a="1"/>
  <c r="V128" i="3" s="1"/>
  <c r="V129" i="3" a="1"/>
  <c r="V129" i="3" s="1"/>
  <c r="V130" i="3" a="1"/>
  <c r="V130" i="3"/>
  <c r="V131" i="3" a="1"/>
  <c r="V131" i="3" s="1"/>
  <c r="V132" i="3" a="1"/>
  <c r="V132" i="3" s="1"/>
  <c r="V133" i="3" a="1"/>
  <c r="V133" i="3" s="1"/>
  <c r="V134" i="3" a="1"/>
  <c r="V134" i="3"/>
  <c r="V135" i="3" a="1"/>
  <c r="V135" i="3" s="1"/>
  <c r="V136" i="3" a="1"/>
  <c r="V136" i="3" s="1"/>
  <c r="V137" i="3" a="1"/>
  <c r="V137" i="3" s="1"/>
  <c r="V138" i="3" a="1"/>
  <c r="V138" i="3" s="1"/>
  <c r="V139" i="3" a="1"/>
  <c r="V139" i="3" s="1"/>
  <c r="V140" i="3" a="1"/>
  <c r="V140" i="3" s="1"/>
  <c r="V141" i="3" a="1"/>
  <c r="V141" i="3" s="1"/>
  <c r="V142" i="3" a="1"/>
  <c r="V142" i="3"/>
  <c r="V143" i="3" a="1"/>
  <c r="V143" i="3" s="1"/>
  <c r="V144" i="3" a="1"/>
  <c r="V144" i="3" s="1"/>
  <c r="V145" i="3" a="1"/>
  <c r="V145" i="3" s="1"/>
  <c r="V146" i="3" a="1"/>
  <c r="V146" i="3" s="1"/>
  <c r="V147" i="3" a="1"/>
  <c r="V147" i="3" s="1"/>
  <c r="V148" i="3" a="1"/>
  <c r="V148" i="3" s="1"/>
  <c r="V149" i="3" a="1"/>
  <c r="V149" i="3" s="1"/>
  <c r="V150" i="3" a="1"/>
  <c r="V150" i="3" s="1"/>
  <c r="V151" i="3" a="1"/>
  <c r="V151" i="3" s="1"/>
  <c r="V152" i="3" a="1"/>
  <c r="V152" i="3" s="1"/>
  <c r="V153" i="3" a="1"/>
  <c r="V153" i="3" s="1"/>
  <c r="V154" i="3" a="1"/>
  <c r="V154" i="3" s="1"/>
  <c r="V155" i="3" a="1"/>
  <c r="V155" i="3" s="1"/>
  <c r="V156" i="3" a="1"/>
  <c r="V156" i="3" s="1"/>
  <c r="V157" i="3" a="1"/>
  <c r="V157" i="3" s="1"/>
  <c r="V158" i="3" a="1"/>
  <c r="V158" i="3" s="1"/>
  <c r="V159" i="3" a="1"/>
  <c r="V159" i="3" s="1"/>
  <c r="V160" i="3" a="1"/>
  <c r="V160" i="3" s="1"/>
  <c r="V161" i="3" a="1"/>
  <c r="V161" i="3" s="1"/>
  <c r="V162" i="3" a="1"/>
  <c r="V162" i="3" s="1"/>
  <c r="V163" i="3" a="1"/>
  <c r="V163" i="3" s="1"/>
  <c r="V164" i="3" a="1"/>
  <c r="V164" i="3" s="1"/>
  <c r="V165" i="3" a="1"/>
  <c r="V165" i="3" s="1"/>
  <c r="V166" i="3" a="1"/>
  <c r="V166" i="3" s="1"/>
  <c r="V167" i="3" a="1"/>
  <c r="V167" i="3" s="1"/>
  <c r="V168" i="3" a="1"/>
  <c r="V168" i="3" s="1"/>
  <c r="V169" i="3" a="1"/>
  <c r="V169" i="3" s="1"/>
  <c r="V170" i="3" a="1"/>
  <c r="V170" i="3" s="1"/>
  <c r="V171" i="3" a="1"/>
  <c r="V171" i="3" s="1"/>
  <c r="V172" i="3" a="1"/>
  <c r="V172" i="3" s="1"/>
  <c r="V173" i="3" a="1"/>
  <c r="V173" i="3" s="1"/>
  <c r="V174" i="3" a="1"/>
  <c r="V174" i="3" s="1"/>
  <c r="V175" i="3" a="1"/>
  <c r="V175" i="3" s="1"/>
  <c r="V176" i="3" a="1"/>
  <c r="V176" i="3" s="1"/>
  <c r="V177" i="3" a="1"/>
  <c r="V177" i="3" s="1"/>
  <c r="V178" i="3" a="1"/>
  <c r="V178" i="3" s="1"/>
  <c r="V179" i="3" a="1"/>
  <c r="V179" i="3" s="1"/>
  <c r="V180" i="3" a="1"/>
  <c r="V180" i="3" s="1"/>
  <c r="V181" i="3" a="1"/>
  <c r="V181" i="3" s="1"/>
  <c r="V182" i="3" a="1"/>
  <c r="V182" i="3" s="1"/>
  <c r="V183" i="3" a="1"/>
  <c r="V183" i="3" s="1"/>
  <c r="V184" i="3" a="1"/>
  <c r="V184" i="3" s="1"/>
  <c r="V185" i="3" a="1"/>
  <c r="V185" i="3" s="1"/>
  <c r="V186" i="3" a="1"/>
  <c r="V186" i="3" s="1"/>
  <c r="V187" i="3" a="1"/>
  <c r="V187" i="3" s="1"/>
  <c r="V188" i="3" a="1"/>
  <c r="V188" i="3" s="1"/>
  <c r="V189" i="3" a="1"/>
  <c r="V189" i="3" s="1"/>
  <c r="V190" i="3" a="1"/>
  <c r="V190" i="3" s="1"/>
  <c r="V191" i="3" a="1"/>
  <c r="V191" i="3" s="1"/>
  <c r="V192" i="3" a="1"/>
  <c r="V192" i="3" s="1"/>
  <c r="V193" i="3" a="1"/>
  <c r="V193" i="3" s="1"/>
  <c r="V194" i="3" a="1"/>
  <c r="V194" i="3" s="1"/>
  <c r="V195" i="3" a="1"/>
  <c r="V195" i="3" s="1"/>
  <c r="V196" i="3" a="1"/>
  <c r="V196" i="3" s="1"/>
  <c r="V197" i="3" a="1"/>
  <c r="V197" i="3" s="1"/>
  <c r="V198" i="3" a="1"/>
  <c r="V198" i="3" s="1"/>
  <c r="V199" i="3" a="1"/>
  <c r="V199" i="3" s="1"/>
  <c r="V200" i="3" a="1"/>
  <c r="V200" i="3" s="1"/>
  <c r="V201" i="3" a="1"/>
  <c r="V20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<sst xmlns="http://schemas.openxmlformats.org/spreadsheetml/2006/main" count="4750" uniqueCount="588">
  <si>
    <t>Cluster</t>
  </si>
  <si>
    <t>Borrower Name</t>
  </si>
  <si>
    <t>Industry</t>
  </si>
  <si>
    <t>Shareholders</t>
  </si>
  <si>
    <t>ISIC 4 Description</t>
  </si>
  <si>
    <t>Borrower Description</t>
  </si>
  <si>
    <t>Bank</t>
  </si>
  <si>
    <t>Date</t>
  </si>
  <si>
    <t>Balance</t>
  </si>
  <si>
    <t>Amount</t>
  </si>
  <si>
    <t>Direction</t>
  </si>
  <si>
    <t>Transaction Type</t>
  </si>
  <si>
    <t>Provider / Payer / Beneficiary</t>
  </si>
  <si>
    <t>Account / IBAN</t>
  </si>
  <si>
    <t>Details Bank</t>
  </si>
  <si>
    <t>Due Date</t>
  </si>
  <si>
    <t>Reference</t>
  </si>
  <si>
    <t>Time Amount (SAR)</t>
  </si>
  <si>
    <t>Fees (SAR)</t>
  </si>
  <si>
    <t>VAT (SAR)</t>
  </si>
  <si>
    <t>Status</t>
  </si>
  <si>
    <t>bank_system_classification</t>
  </si>
  <si>
    <t>bank_system_subclassification</t>
  </si>
  <si>
    <t>Bank System Confidence</t>
  </si>
  <si>
    <t>Bank System Reason</t>
  </si>
  <si>
    <t>Entity</t>
  </si>
  <si>
    <t>Entity Nature of Business</t>
  </si>
  <si>
    <t>scraped_description</t>
  </si>
  <si>
    <t>relationship</t>
  </si>
  <si>
    <t>Relationship Confidence</t>
  </si>
  <si>
    <t>Relationship Reason</t>
  </si>
  <si>
    <t>Accounting_Classification</t>
  </si>
  <si>
    <t>Accounting_Subclassification</t>
  </si>
  <si>
    <t>Accounting Label Confidence</t>
  </si>
  <si>
    <t>Accounting Label Reason</t>
  </si>
  <si>
    <t>RS Infratec Saudi</t>
  </si>
  <si>
    <t>Construction</t>
  </si>
  <si>
    <t>RS Infratech Limited, Abdallah Ben Othman Ben Nasser Salah, Seoud Ben Mohamed Ben Seoud Al Tamimi, Abdallah Rashed Sheikh, Hafez Altakah company, Rashed Sheikh Ali, Saoud Tamimi, RS Infratech Limited, RS Infratech for Manufacturing, Abdallah Saleh, RS for construction</t>
  </si>
  <si>
    <t>Real estate activities with own or leased property</t>
  </si>
  <si>
    <t>RS Infratech Saudi Ltd. is a turnkey contractor specialized in delivering infrastructure, housing, commercial and residential project.</t>
  </si>
  <si>
    <t>Alinma</t>
  </si>
  <si>
    <t>Debit</t>
  </si>
  <si>
    <t>Bill Payment 065</t>
  </si>
  <si>
    <t>Abdul Latif Jameel United Finance</t>
  </si>
  <si>
    <t>Alinma Bank via E-Channel</t>
  </si>
  <si>
    <t>FT23091KJNQ4</t>
  </si>
  <si>
    <t>Bill Payment</t>
  </si>
  <si>
    <t>FT23091W1NVB</t>
  </si>
  <si>
    <t>FT23091KR027</t>
  </si>
  <si>
    <t>FT231276077F</t>
  </si>
  <si>
    <t>Fast Outgoing Transfer (CIB)</t>
  </si>
  <si>
    <t>Abdullah Abdulkarim Al Sudais CPA</t>
  </si>
  <si>
    <t>SA4680000454608011333847</t>
  </si>
  <si>
    <t>Al Rajhi Bank</t>
  </si>
  <si>
    <t>FT23089S3W86</t>
  </si>
  <si>
    <t>Completed</t>
  </si>
  <si>
    <t>Fast Outgoing Transfer (CIB via Alinma)</t>
  </si>
  <si>
    <t>Abdullah Fahad for Accounting</t>
  </si>
  <si>
    <t>SA9320000002461653159940</t>
  </si>
  <si>
    <t>Riyad Bank</t>
  </si>
  <si>
    <t>FT2301639BBD</t>
  </si>
  <si>
    <t>FT23016T8Y9D</t>
  </si>
  <si>
    <t>FT230378YZK0</t>
  </si>
  <si>
    <t>FT230395P6XW</t>
  </si>
  <si>
    <t>FT23039F6N4V</t>
  </si>
  <si>
    <t>FT2308236LL7</t>
  </si>
  <si>
    <t>Abdullah Rashid Shaikh</t>
  </si>
  <si>
    <t>SA2720000002123851979940</t>
  </si>
  <si>
    <t>FT23123V8MKF</t>
  </si>
  <si>
    <t>FT23156N63MN</t>
  </si>
  <si>
    <t>Advanced Equipments and Maintenance Co</t>
  </si>
  <si>
    <t>SA5655000000091297200250</t>
  </si>
  <si>
    <t>Al Saudi Al Fransi Bank</t>
  </si>
  <si>
    <t>FT23073KRBF5</t>
  </si>
  <si>
    <t>Al Banuk Sana Electrical and Telecom Co</t>
  </si>
  <si>
    <t>SA5480000368608010187777</t>
  </si>
  <si>
    <t>FT230328H3BJ</t>
  </si>
  <si>
    <t>FT23148HZF4B</t>
  </si>
  <si>
    <t>Al Khaleefa Factory for Metal Industry</t>
  </si>
  <si>
    <t>SA8280000450608010059595</t>
  </si>
  <si>
    <t>FT23078QJ1Z7</t>
  </si>
  <si>
    <t>FT231487PFLQ</t>
  </si>
  <si>
    <t>Al Saadeh Trading Est</t>
  </si>
  <si>
    <t>SA5655000000099533300112</t>
  </si>
  <si>
    <t>FT23012D737F</t>
  </si>
  <si>
    <t>Al Zaehaan Industrial Trading</t>
  </si>
  <si>
    <t>SA1580000229608010001332</t>
  </si>
  <si>
    <t>FT2317084PK0</t>
  </si>
  <si>
    <t>FT231757F0KX</t>
  </si>
  <si>
    <t>Fast Outgoing Transfer (CIB via SMRT)</t>
  </si>
  <si>
    <t>FT23177PXKZB</t>
  </si>
  <si>
    <t>Ali Abdullah K Al Darwish Air</t>
  </si>
  <si>
    <t>SA3510000001400006901401</t>
  </si>
  <si>
    <t>Al Ahli Saudi Bank</t>
  </si>
  <si>
    <t>FT23004HJ6M8</t>
  </si>
  <si>
    <t>Bill Payment 130</t>
  </si>
  <si>
    <t>Bupa Arabia for Cooperative Insurance</t>
  </si>
  <si>
    <t>FT23107XG5GD</t>
  </si>
  <si>
    <t>Dar Fahoosaat for Testing and Commissioning</t>
  </si>
  <si>
    <t>SA7920000002233543389940</t>
  </si>
  <si>
    <t>FT23002JR403</t>
  </si>
  <si>
    <t>FT2300576QPL</t>
  </si>
  <si>
    <t>Bill Payment 020</t>
  </si>
  <si>
    <t>General Authority of Zakat and Tax</t>
  </si>
  <si>
    <t>FT23030DH8S0</t>
  </si>
  <si>
    <t>FT23039H5XNC</t>
  </si>
  <si>
    <t>FT23059KRFNC</t>
  </si>
  <si>
    <t>FT23091GVPMF</t>
  </si>
  <si>
    <t>Gulf Voyager Travels Tourism</t>
  </si>
  <si>
    <t>SA5310000024657550000300</t>
  </si>
  <si>
    <t>FT23075PNF59</t>
  </si>
  <si>
    <t>FT23141H8HVV</t>
  </si>
  <si>
    <t>Hopeway Trading Co</t>
  </si>
  <si>
    <t>SA4615000427137742850001</t>
  </si>
  <si>
    <t>Bank AlBilad</t>
  </si>
  <si>
    <t>FT23096JV9Y6</t>
  </si>
  <si>
    <t>Credit</t>
  </si>
  <si>
    <t>Incoming Fast Transfer</t>
  </si>
  <si>
    <t>Interhealth Medical Company</t>
  </si>
  <si>
    <t>SA SABB 003758356001</t>
  </si>
  <si>
    <t>Al Saudi Al Fransi Bank through Alinma Bank</t>
  </si>
  <si>
    <t>FT231150TTHT</t>
  </si>
  <si>
    <t>Bill Payment 085</t>
  </si>
  <si>
    <t>Ishaar</t>
  </si>
  <si>
    <t>FT23096WCDTQ</t>
  </si>
  <si>
    <t>FT23107LS7FH</t>
  </si>
  <si>
    <t>FT23130JXL8Z</t>
  </si>
  <si>
    <t>Outgoing International Transfer (CIB)</t>
  </si>
  <si>
    <t>ISO Arabia</t>
  </si>
  <si>
    <t>AE450260001015784380601</t>
  </si>
  <si>
    <t>SW-EBILAEADXXX via Alinma Bank</t>
  </si>
  <si>
    <t>FT231638HHQ6</t>
  </si>
  <si>
    <t>Khalid Saad Al Otaibi Trading</t>
  </si>
  <si>
    <t>SA3580000308608010648862</t>
  </si>
  <si>
    <t>FT23080QJKD7</t>
  </si>
  <si>
    <t>FT23082ZBD9R</t>
  </si>
  <si>
    <t>FT230899ZJ8S</t>
  </si>
  <si>
    <t>MERAS for Decoration</t>
  </si>
  <si>
    <t>SA2580000562608016154866</t>
  </si>
  <si>
    <t>FT23011JBV8W</t>
  </si>
  <si>
    <t>FT23025VVX06</t>
  </si>
  <si>
    <t>Fast Outgoing Transfer (CIB via Al Murabba)</t>
  </si>
  <si>
    <t>Middle East Customs Clearance</t>
  </si>
  <si>
    <t>SA7515000900130191910008</t>
  </si>
  <si>
    <t>FT230936MKX7</t>
  </si>
  <si>
    <t>SA9020000002383445999940</t>
  </si>
  <si>
    <t>FT23100QVRBQ</t>
  </si>
  <si>
    <t>Bill Payment 050</t>
  </si>
  <si>
    <t>Ministry of Human Resources and Social Development</t>
  </si>
  <si>
    <t>FT23012MFX8T</t>
  </si>
  <si>
    <t>FT230123R2YV</t>
  </si>
  <si>
    <t>FT230122DB0W</t>
  </si>
  <si>
    <t>FT2302625MF0</t>
  </si>
  <si>
    <t>FT23026SF7CB</t>
  </si>
  <si>
    <t>FT23036BKH19</t>
  </si>
  <si>
    <t>Bill Payment 144</t>
  </si>
  <si>
    <t>My Business Services</t>
  </si>
  <si>
    <t>FT230728CRWP</t>
  </si>
  <si>
    <t>FT23073FPMP9</t>
  </si>
  <si>
    <t>FT23085TG3H1</t>
  </si>
  <si>
    <t>FT23108B59L6</t>
  </si>
  <si>
    <t>Bill Payment 138</t>
  </si>
  <si>
    <t>National Water Company</t>
  </si>
  <si>
    <t>FT231418TM1K</t>
  </si>
  <si>
    <t>FT23159LRWT9</t>
  </si>
  <si>
    <t>FT23166SYJJN</t>
  </si>
  <si>
    <t>Rania Contracting Company</t>
  </si>
  <si>
    <t>SA7210000001400003160609</t>
  </si>
  <si>
    <t>FT23025F1CKZ</t>
  </si>
  <si>
    <t>FT230590882P</t>
  </si>
  <si>
    <t>FT23080FBZF4</t>
  </si>
  <si>
    <t>FT23080BB7LP</t>
  </si>
  <si>
    <t>FT23099FPNWM</t>
  </si>
  <si>
    <t>Fast Outgoing Transfer (SMRT)</t>
  </si>
  <si>
    <t>Rashid Ali Sheikh</t>
  </si>
  <si>
    <t>SA5655000000089857800178</t>
  </si>
  <si>
    <t>FT230805F0QW</t>
  </si>
  <si>
    <t>FT231655WYNB</t>
  </si>
  <si>
    <t>Sahab United Motors Company</t>
  </si>
  <si>
    <t>SA6820000002233410719940</t>
  </si>
  <si>
    <t>FT23019KV9L8</t>
  </si>
  <si>
    <t>Cash Deposit</t>
  </si>
  <si>
    <t>Saud Mohammed Al Tamimi (Depositor)</t>
  </si>
  <si>
    <t>Alinma Bank via P.M.TAHLIYA-RYD</t>
  </si>
  <si>
    <t>TT23012RV55X</t>
  </si>
  <si>
    <t>Saud Mohammed Tamimi</t>
  </si>
  <si>
    <t>SA82550000000G8971400109</t>
  </si>
  <si>
    <t>FT23002P2KFG</t>
  </si>
  <si>
    <t>FT23002BCJ2Z</t>
  </si>
  <si>
    <t>Bill Payment 002</t>
  </si>
  <si>
    <t>Saudi Electric Company</t>
  </si>
  <si>
    <t>FT23004XR7NL</t>
  </si>
  <si>
    <t>FT23004S7YLG</t>
  </si>
  <si>
    <t>FT23004XX5MY</t>
  </si>
  <si>
    <t>FT230084S91Q</t>
  </si>
  <si>
    <t>FT23016JDKGM</t>
  </si>
  <si>
    <t>Saudi Vetonit</t>
  </si>
  <si>
    <t>SA1780000580608010021382</t>
  </si>
  <si>
    <t>FT230160MXZX</t>
  </si>
  <si>
    <t>FT23016822G6</t>
  </si>
  <si>
    <t>FT23037ZKS0X</t>
  </si>
  <si>
    <t>FT230496WSFZ</t>
  </si>
  <si>
    <t>FT23051STBLK</t>
  </si>
  <si>
    <t>FT2305275QK6</t>
  </si>
  <si>
    <t>FT230645M5QN</t>
  </si>
  <si>
    <t>FT23064NCQ5X</t>
  </si>
  <si>
    <t>Shomoul Eng and Safety Consult</t>
  </si>
  <si>
    <t>SA7980000300608010314596</t>
  </si>
  <si>
    <t>FT23080JCSBS</t>
  </si>
  <si>
    <t>Bill Payment 001</t>
  </si>
  <si>
    <t>STC</t>
  </si>
  <si>
    <t>FT23127KZX49</t>
  </si>
  <si>
    <t>FT231275L022</t>
  </si>
  <si>
    <t>FT23151TDPJG</t>
  </si>
  <si>
    <t>Bill Payment 060</t>
  </si>
  <si>
    <t>The General Organization for Social Insurance</t>
  </si>
  <si>
    <t>FT230100JRDW</t>
  </si>
  <si>
    <t>FT230465SFZF</t>
  </si>
  <si>
    <t>FT23073YFV9R</t>
  </si>
  <si>
    <t>FT23075C7X8H</t>
  </si>
  <si>
    <t>TUV Rheinland Arabia LLC</t>
  </si>
  <si>
    <t>SA7745000000021533393001</t>
  </si>
  <si>
    <t>Al Saudi Al Awwal Bank</t>
  </si>
  <si>
    <t>FT23152JL39X</t>
  </si>
  <si>
    <t>Internal Transfer (CIB)</t>
  </si>
  <si>
    <t>Al Arabia Ceramic Tiles Co Ltd</t>
  </si>
  <si>
    <t>Alinma Bank</t>
  </si>
  <si>
    <t>FT23093T95LB</t>
  </si>
  <si>
    <t>FT23103KH87S</t>
  </si>
  <si>
    <t>FT23134C42Z9</t>
  </si>
  <si>
    <t>Incoming Fast Transfer (RIYAD BANK)</t>
  </si>
  <si>
    <t>National Company for Building and Marketing</t>
  </si>
  <si>
    <t>SA4820000002710007039940</t>
  </si>
  <si>
    <t>Riyad Bank through Alinma Bank</t>
  </si>
  <si>
    <t>FT23002JCVL6</t>
  </si>
  <si>
    <t>FT23004CV2LG</t>
  </si>
  <si>
    <t>FT23004BHZRV</t>
  </si>
  <si>
    <t>FT230050D5KJ</t>
  </si>
  <si>
    <t>Unknown Sender</t>
  </si>
  <si>
    <t>FT23005BFPVK</t>
  </si>
  <si>
    <t>FT230091KQ59</t>
  </si>
  <si>
    <t>FT23012XNZWX</t>
  </si>
  <si>
    <t>FT2301565V9W</t>
  </si>
  <si>
    <t>FT23016BKMV8</t>
  </si>
  <si>
    <t>FT23018ZZVFH</t>
  </si>
  <si>
    <t>FT23019MZWLW</t>
  </si>
  <si>
    <t>FT23025QP5G7</t>
  </si>
  <si>
    <t>FT23029T5MR7</t>
  </si>
  <si>
    <t>FT23031X69ZV</t>
  </si>
  <si>
    <t>FT230333QZ1N</t>
  </si>
  <si>
    <t>FT23037R5MQ8</t>
  </si>
  <si>
    <t>FT23039SVB47</t>
  </si>
  <si>
    <t>FT23051RGMZH</t>
  </si>
  <si>
    <t>FT23052YB0M3</t>
  </si>
  <si>
    <t>FT23054RJYT1</t>
  </si>
  <si>
    <t>FT23059SCRM6</t>
  </si>
  <si>
    <t>FT23059PKC7K</t>
  </si>
  <si>
    <t>FT2306057DBS</t>
  </si>
  <si>
    <t>FT23060Q0VX2</t>
  </si>
  <si>
    <t>FT2306599WP8</t>
  </si>
  <si>
    <t>FT23068JPR40</t>
  </si>
  <si>
    <t>FT23072XQGZH</t>
  </si>
  <si>
    <t>FT2307411PQT</t>
  </si>
  <si>
    <t>FT230754KM2V</t>
  </si>
  <si>
    <t>FT23078TZT8M</t>
  </si>
  <si>
    <t>FT23080GHPT0</t>
  </si>
  <si>
    <t>FT23081D0K49</t>
  </si>
  <si>
    <t>FT23086J8BF9</t>
  </si>
  <si>
    <t>FT23088VYC98</t>
  </si>
  <si>
    <t>FT23088F38MJ</t>
  </si>
  <si>
    <t>FT23089QRL7R</t>
  </si>
  <si>
    <t>FT23092L401Q</t>
  </si>
  <si>
    <t>FT23093Y4WDN</t>
  </si>
  <si>
    <t>FT23096TWWSZ</t>
  </si>
  <si>
    <t>FT23100WFDT0</t>
  </si>
  <si>
    <t>FT231020LS74</t>
  </si>
  <si>
    <t>FT2310322ML0</t>
  </si>
  <si>
    <t>FT23103HHXL3</t>
  </si>
  <si>
    <t>Internal Transfer (SMRT)</t>
  </si>
  <si>
    <t>FT23106RK7KH</t>
  </si>
  <si>
    <t>FT23107HZ80N</t>
  </si>
  <si>
    <t>FT23108PV2S0</t>
  </si>
  <si>
    <t>FT23117BFBZR</t>
  </si>
  <si>
    <t>FT231224ZRFP</t>
  </si>
  <si>
    <t>FT23123TJ7PP</t>
  </si>
  <si>
    <t>FT23127MNH6H</t>
  </si>
  <si>
    <t>FT23129N48JX</t>
  </si>
  <si>
    <t>FT23134SZJLT</t>
  </si>
  <si>
    <t>FT23135ZLPWB</t>
  </si>
  <si>
    <t>FT231374DNQD</t>
  </si>
  <si>
    <t>FT23138NX341</t>
  </si>
  <si>
    <t>FT23141T8KSW</t>
  </si>
  <si>
    <t>FT231428LWCV</t>
  </si>
  <si>
    <t>FT23144KNXVQ</t>
  </si>
  <si>
    <t>FT23144H04T3</t>
  </si>
  <si>
    <t>Athraa Holding Company</t>
  </si>
  <si>
    <t>FT23152ZRSPW</t>
  </si>
  <si>
    <t>Al Rasan General Contracting Company</t>
  </si>
  <si>
    <t>FT23123T4XBQ</t>
  </si>
  <si>
    <t>FT231236Y2V7</t>
  </si>
  <si>
    <t>FT23123WD9K8</t>
  </si>
  <si>
    <t>FT23135V7R5B</t>
  </si>
  <si>
    <t>FT23137DC73B</t>
  </si>
  <si>
    <t>FT23142WY93W</t>
  </si>
  <si>
    <t>Incoming Fast Transfer (Al Ahli Saudi Bank)</t>
  </si>
  <si>
    <t>Raboua Al Haid Company</t>
  </si>
  <si>
    <t>SA8610000041000000014704</t>
  </si>
  <si>
    <t>Al Ahli Saudi Bank through Alinma Bank</t>
  </si>
  <si>
    <t>FT23158QBQG1</t>
  </si>
  <si>
    <t>Al Jazeera Paint Factory Company</t>
  </si>
  <si>
    <t>FT23045KCZCC</t>
  </si>
  <si>
    <t>FT23071SMQ25</t>
  </si>
  <si>
    <t>FT23073CN5Z7</t>
  </si>
  <si>
    <t>FT231411SJVW</t>
  </si>
  <si>
    <t>FT23147QN39Y</t>
  </si>
  <si>
    <t>FT23151KFDTH</t>
  </si>
  <si>
    <t>Rania Works Contracting Establishment</t>
  </si>
  <si>
    <t>FT23165CMDXN</t>
  </si>
  <si>
    <t>FT23161573MG</t>
  </si>
  <si>
    <t>FT23165WBSKC</t>
  </si>
  <si>
    <t>Bandar Jarallah Al Humaid Trading Establishment</t>
  </si>
  <si>
    <t>FT23065HX45T</t>
  </si>
  <si>
    <t>FT23088F2C25</t>
  </si>
  <si>
    <t>FT23123L0NM9</t>
  </si>
  <si>
    <t>RS Infratec Saudi Company</t>
  </si>
  <si>
    <t>FT23046JRG7T</t>
  </si>
  <si>
    <t>FT23049G169Z</t>
  </si>
  <si>
    <t>FT23066RLDHT</t>
  </si>
  <si>
    <t>Payroll Deduction (BPM)</t>
  </si>
  <si>
    <t>Payroll File Total</t>
  </si>
  <si>
    <t>FT23004P0K8Z</t>
  </si>
  <si>
    <t>FT2300421PKZ</t>
  </si>
  <si>
    <t>FT2300421933</t>
  </si>
  <si>
    <t>FT23005L1T7G</t>
  </si>
  <si>
    <t>FT230057218H</t>
  </si>
  <si>
    <t>Payroll Project</t>
  </si>
  <si>
    <t>FT23004ZG83F</t>
  </si>
  <si>
    <t>FT230598Z9C0</t>
  </si>
  <si>
    <t>Expatriate Services Payment</t>
  </si>
  <si>
    <t>Expatriate Services (ID 2527016543)</t>
  </si>
  <si>
    <t>Alinma Bank via CIB</t>
  </si>
  <si>
    <t>Expatriate Services (ID 2513265831)</t>
  </si>
  <si>
    <t>Expatriate Services (ID 2526933508)</t>
  </si>
  <si>
    <t>Expatriate Services (ID 2527017038)</t>
  </si>
  <si>
    <t>Expatriate Services (ID 2478929751)</t>
  </si>
  <si>
    <t>Expatriate Services (ID 2513266003)</t>
  </si>
  <si>
    <t>Expatriate Services (ID 2513266243)</t>
  </si>
  <si>
    <t>Expatriate Services (ID 2513266458)</t>
  </si>
  <si>
    <t>Expatriate Services (ID 2476138462)</t>
  </si>
  <si>
    <t>Expatriate Services (ID 2514800768)</t>
  </si>
  <si>
    <t>Rejected Fast Transfer</t>
  </si>
  <si>
    <t>Rejected Transfer (Returned)</t>
  </si>
  <si>
    <t>FT231439Q951</t>
  </si>
  <si>
    <t>Rejected</t>
  </si>
  <si>
    <t>FT231714MB0Y</t>
  </si>
  <si>
    <t>bank_system_fi_classification</t>
  </si>
  <si>
    <t>Bank System Comments</t>
  </si>
  <si>
    <t>Relationship comment</t>
  </si>
  <si>
    <t>accounting_classification</t>
  </si>
  <si>
    <t>accounting_subclassification</t>
  </si>
  <si>
    <t>Transfer</t>
  </si>
  <si>
    <t>Local Transfer</t>
  </si>
  <si>
    <t>External FI</t>
  </si>
  <si>
    <t>High</t>
  </si>
  <si>
    <t>Investing Company</t>
  </si>
  <si>
    <t>Customer</t>
  </si>
  <si>
    <t>Low</t>
  </si>
  <si>
    <t>Revenue</t>
  </si>
  <si>
    <t>Bank Fees</t>
  </si>
  <si>
    <t>Remove</t>
  </si>
  <si>
    <t>Disbursement</t>
  </si>
  <si>
    <t>Same FI</t>
  </si>
  <si>
    <t>Online Delivery Service</t>
  </si>
  <si>
    <t>Other Expense</t>
  </si>
  <si>
    <t>Subsidies</t>
  </si>
  <si>
    <t>Bank Vat</t>
  </si>
  <si>
    <t>Withdrawl</t>
  </si>
  <si>
    <t>Medium</t>
  </si>
  <si>
    <t>Online Payment Service</t>
  </si>
  <si>
    <t>Government</t>
  </si>
  <si>
    <t>Other Income</t>
  </si>
  <si>
    <t>Payroll</t>
  </si>
  <si>
    <t>Deposit</t>
  </si>
  <si>
    <t>Restaurant</t>
  </si>
  <si>
    <t>Employee</t>
  </si>
  <si>
    <t>OPEX</t>
  </si>
  <si>
    <t>Other</t>
  </si>
  <si>
    <t>Cash</t>
  </si>
  <si>
    <t>Fees</t>
  </si>
  <si>
    <t>Individual</t>
  </si>
  <si>
    <t>Unknown</t>
  </si>
  <si>
    <t>COGS</t>
  </si>
  <si>
    <t>Lease Payment</t>
  </si>
  <si>
    <t>SADAD</t>
  </si>
  <si>
    <t>Expat Fees</t>
  </si>
  <si>
    <t>Building Materials</t>
  </si>
  <si>
    <t>Landlord</t>
  </si>
  <si>
    <t>CAPEX</t>
  </si>
  <si>
    <t>Maintenance</t>
  </si>
  <si>
    <t>Cheque</t>
  </si>
  <si>
    <t>Internal Transfer</t>
  </si>
  <si>
    <t>Supplier</t>
  </si>
  <si>
    <t>Equity</t>
  </si>
  <si>
    <t>Electricity</t>
  </si>
  <si>
    <t>ATM</t>
  </si>
  <si>
    <t>International Transfer</t>
  </si>
  <si>
    <t>Government Fund</t>
  </si>
  <si>
    <t>Service Provider</t>
  </si>
  <si>
    <t>ZATCA</t>
  </si>
  <si>
    <t>Family and Friends</t>
  </si>
  <si>
    <t>POS</t>
  </si>
  <si>
    <t>Catering</t>
  </si>
  <si>
    <t>Family or Friends</t>
  </si>
  <si>
    <t>Debt</t>
  </si>
  <si>
    <t>Lease Refund</t>
  </si>
  <si>
    <t>Online Payment</t>
  </si>
  <si>
    <t>Failed</t>
  </si>
  <si>
    <t>Insurance</t>
  </si>
  <si>
    <t>Shareholder</t>
  </si>
  <si>
    <t>Trade Finance</t>
  </si>
  <si>
    <t>Bounced</t>
  </si>
  <si>
    <t>Real Estate</t>
  </si>
  <si>
    <t>Service provider</t>
  </si>
  <si>
    <t>Dividends</t>
  </si>
  <si>
    <t>Bank fees</t>
  </si>
  <si>
    <t>POS Sales</t>
  </si>
  <si>
    <t>Loan</t>
  </si>
  <si>
    <t>Telecom</t>
  </si>
  <si>
    <t>POS Fees</t>
  </si>
  <si>
    <t>Fee Collection</t>
  </si>
  <si>
    <t>Same Company</t>
  </si>
  <si>
    <t>Water</t>
  </si>
  <si>
    <t>Transfer Fees</t>
  </si>
  <si>
    <t>Electricity Company</t>
  </si>
  <si>
    <t>Broker</t>
  </si>
  <si>
    <t>Transportation</t>
  </si>
  <si>
    <t>POS Purchase</t>
  </si>
  <si>
    <t>Epc</t>
  </si>
  <si>
    <t>Investement</t>
  </si>
  <si>
    <t>Inventory Purchase</t>
  </si>
  <si>
    <t>LG Fees</t>
  </si>
  <si>
    <t>Safety</t>
  </si>
  <si>
    <t>Security Company</t>
  </si>
  <si>
    <t>Accounting</t>
  </si>
  <si>
    <t>LG Cover</t>
  </si>
  <si>
    <t>Dental Center</t>
  </si>
  <si>
    <t>Tax Authority</t>
  </si>
  <si>
    <t>Subcontracting</t>
  </si>
  <si>
    <t>LC Fees</t>
  </si>
  <si>
    <t>Tax Collection</t>
  </si>
  <si>
    <t>Regulatory Agency</t>
  </si>
  <si>
    <t>LC Payment</t>
  </si>
  <si>
    <t>Telecom Company</t>
  </si>
  <si>
    <t>Social Insurance Agency</t>
  </si>
  <si>
    <t>Travel</t>
  </si>
  <si>
    <t>LG Reimbursment</t>
  </si>
  <si>
    <t>Payment Facilitator</t>
  </si>
  <si>
    <t>Utility Provider</t>
  </si>
  <si>
    <t>Consulting</t>
  </si>
  <si>
    <t>POS Penalty</t>
  </si>
  <si>
    <t>Investment</t>
  </si>
  <si>
    <t>Insurance Company</t>
  </si>
  <si>
    <t>Utilities</t>
  </si>
  <si>
    <t>Past due</t>
  </si>
  <si>
    <t>Water Company</t>
  </si>
  <si>
    <t>Lender</t>
  </si>
  <si>
    <t>Machines</t>
  </si>
  <si>
    <t>intracompany</t>
  </si>
  <si>
    <t>Financing</t>
  </si>
  <si>
    <t>Travel Agency</t>
  </si>
  <si>
    <t>Government Fees</t>
  </si>
  <si>
    <t>Clothes</t>
  </si>
  <si>
    <t>Refund</t>
  </si>
  <si>
    <t>Health Insurance</t>
  </si>
  <si>
    <t>Selling Fees</t>
  </si>
  <si>
    <t>Bug Exterminator</t>
  </si>
  <si>
    <t>Trading And Transport</t>
  </si>
  <si>
    <t>Capital Injection</t>
  </si>
  <si>
    <t>Trading Company</t>
  </si>
  <si>
    <t>Marketing</t>
  </si>
  <si>
    <t>Debt Installment</t>
  </si>
  <si>
    <t>Contracting</t>
  </si>
  <si>
    <t>Warehousing</t>
  </si>
  <si>
    <t>Consultant</t>
  </si>
  <si>
    <t>Lease payments</t>
  </si>
  <si>
    <t>Petroleum Company</t>
  </si>
  <si>
    <t>Brokerage</t>
  </si>
  <si>
    <t>Pest Control</t>
  </si>
  <si>
    <t>Furniture and Fixtures</t>
  </si>
  <si>
    <t>Customs</t>
  </si>
  <si>
    <t>Security</t>
  </si>
  <si>
    <t>Facilities Services</t>
  </si>
  <si>
    <t>Legal</t>
  </si>
  <si>
    <t>Motors</t>
  </si>
  <si>
    <t>Gas</t>
  </si>
  <si>
    <t>Investment Purchase</t>
  </si>
  <si>
    <t>Holding Company</t>
  </si>
  <si>
    <t>Investment Returns</t>
  </si>
  <si>
    <t>Hospital</t>
  </si>
  <si>
    <t>Cover</t>
  </si>
  <si>
    <t>Parent Company</t>
  </si>
  <si>
    <t>Traffic Violation</t>
  </si>
  <si>
    <t>Reimbursement</t>
  </si>
  <si>
    <t>Clinic</t>
  </si>
  <si>
    <t>Furniture</t>
  </si>
  <si>
    <t>Trade</t>
  </si>
  <si>
    <t>Appliances Manufacturing</t>
  </si>
  <si>
    <t>Packaging</t>
  </si>
  <si>
    <t>Past Due</t>
  </si>
  <si>
    <t>Bakery</t>
  </si>
  <si>
    <t>Legal Fees</t>
  </si>
  <si>
    <t>Entertainment Company</t>
  </si>
  <si>
    <t>Flower Company</t>
  </si>
  <si>
    <t>Airlines</t>
  </si>
  <si>
    <t>Car Show Room</t>
  </si>
  <si>
    <t>Trading</t>
  </si>
  <si>
    <t>Investment Company</t>
  </si>
  <si>
    <t>Education</t>
  </si>
  <si>
    <t>Food And Beverage Machines</t>
  </si>
  <si>
    <t>Advertisements</t>
  </si>
  <si>
    <t>Technology</t>
  </si>
  <si>
    <t>Food And Beverage Manufacturing</t>
  </si>
  <si>
    <t>Maintenance Company</t>
  </si>
  <si>
    <t>Travel Company</t>
  </si>
  <si>
    <t>Car Parts Trader</t>
  </si>
  <si>
    <t>Digital Services</t>
  </si>
  <si>
    <t>Manufacturer</t>
  </si>
  <si>
    <t>Car Trader</t>
  </si>
  <si>
    <t>Trader</t>
  </si>
  <si>
    <t>Service Provier</t>
  </si>
  <si>
    <t>Cleaning</t>
  </si>
  <si>
    <t>Home Appliances</t>
  </si>
  <si>
    <t>Law Firm</t>
  </si>
  <si>
    <t>Medical Center</t>
  </si>
  <si>
    <t>Gas Company</t>
  </si>
  <si>
    <t>Retail</t>
  </si>
  <si>
    <t>Beauty Salon</t>
  </si>
  <si>
    <t>Convention</t>
  </si>
  <si>
    <t>Marketing Services</t>
  </si>
  <si>
    <t xml:space="preserve">Translation Services </t>
  </si>
  <si>
    <t>Stock Exchange</t>
  </si>
  <si>
    <t>Goverment</t>
  </si>
  <si>
    <t>Convention Center</t>
  </si>
  <si>
    <t>Air Conditioning</t>
  </si>
  <si>
    <t>School</t>
  </si>
  <si>
    <t>Medical Services</t>
  </si>
  <si>
    <t>Heating Company</t>
  </si>
  <si>
    <t>Hotel</t>
  </si>
  <si>
    <t>Commercial Offices</t>
  </si>
  <si>
    <t>University</t>
  </si>
  <si>
    <t>Medial Center</t>
  </si>
  <si>
    <t xml:space="preserve">Government </t>
  </si>
  <si>
    <t>Postal Company</t>
  </si>
  <si>
    <t>Data Consulting</t>
  </si>
  <si>
    <t>Healthcare</t>
  </si>
  <si>
    <t>Chemicals Company</t>
  </si>
  <si>
    <t>Design</t>
  </si>
  <si>
    <t>Security Solutions</t>
  </si>
  <si>
    <t>Cleaning Services</t>
  </si>
  <si>
    <t>Building Painting Company</t>
  </si>
  <si>
    <t>Pr Consultant</t>
  </si>
  <si>
    <t>Cafe</t>
  </si>
  <si>
    <t>Digital Solutions</t>
  </si>
  <si>
    <t>Spraying Systems</t>
  </si>
  <si>
    <t>Food And Beverage</t>
  </si>
  <si>
    <t>Events Company</t>
  </si>
  <si>
    <t>Equipment Rental</t>
  </si>
  <si>
    <t>Clothes Manufacturer</t>
  </si>
  <si>
    <t>Work Space</t>
  </si>
  <si>
    <t>Distrbution Services</t>
  </si>
  <si>
    <t>Electronics Store</t>
  </si>
  <si>
    <t>Flooring</t>
  </si>
  <si>
    <t>Film Production</t>
  </si>
  <si>
    <t>Recruitment</t>
  </si>
  <si>
    <t>Flowers Store</t>
  </si>
  <si>
    <t>Music</t>
  </si>
  <si>
    <t>Performing Arts</t>
  </si>
  <si>
    <t>Printing Services</t>
  </si>
  <si>
    <t xml:space="preserve">Toys Manfacture </t>
  </si>
  <si>
    <t>Imports And Exports</t>
  </si>
  <si>
    <t>Production Services</t>
  </si>
  <si>
    <t>Scent Store</t>
  </si>
  <si>
    <t>Technological Services</t>
  </si>
  <si>
    <t>Hr Services</t>
  </si>
  <si>
    <t>Walkie Talkie</t>
  </si>
  <si>
    <t/>
  </si>
  <si>
    <t>Finance Company</t>
  </si>
  <si>
    <t>Number Splitting Description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</si>
</sst>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SAR]\ #,##0.00;[Red][$SAR]\ #,##0.00"/>
  </numFmts>
  <fonts count="8" x14ac:knownFonts="1">
    <font>
      <sz val="10"/>
      <color rgb="FF000000"/>
      <name val="Arial"/>
      <scheme val="minor"/>
    </font>
    <font>
      <b/>
      <sz val="10"/>
      <color theme="1"/>
      <name val="Arial"/>
    </font>
    <font>
      <sz val="10"/>
      <color theme="1"/>
      <name val="Arial"/>
    </font>
    <font>
      <b/>
      <sz val="10"/>
      <color rgb="FF000000"/>
      <name val="Arial"/>
      <scheme val="minor"/>
    </font>
    <font>
      <sz val="10"/>
      <color theme="1"/>
      <name val="Arial"/>
      <family val="2"/>
    </font>
    <font>
      <sz val="10"/>
      <color rgb="FF000000"/>
      <name val="Arial"/>
      <family val="2"/>
      <scheme val="minor"/>
    </font>
    <font>
      <b/>
      <sz val="10"/>
      <color theme="0"/>
      <name val="Arial"/>
      <family val="2"/>
    </font>
    <font>
      <sz val="10"/>
      <color theme="0"/>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xf numFmtId="3" fontId="2" fillId="0" borderId="0" xfId="0" applyNumberFormat="1" applyFont="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vertical="top" wrapText="1"/>
    </xf>
    <xf numFmtId="164" fontId="0" fillId="0" borderId="0" xfId="0" applyNumberFormat="1" applyAlignment="1">
      <alignment horizontal="left"/>
    </xf>
    <xf numFmtId="0" fontId="1" fillId="0" borderId="0" xfId="0" applyFont="1" applyAlignment="1">
      <alignment horizontal="left" vertical="top"/>
    </xf>
    <xf numFmtId="0" fontId="3" fillId="2" borderId="0" xfId="0" applyFont="1" applyFill="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4" fontId="2" fillId="0" borderId="0" xfId="0" applyNumberFormat="1" applyFont="1" applyAlignment="1">
      <alignment horizontal="left" vertical="top"/>
    </xf>
    <xf numFmtId="14" fontId="2" fillId="0" borderId="0" xfId="0" applyNumberFormat="1" applyFont="1" applyAlignment="1">
      <alignment horizontal="left" vertical="top"/>
    </xf>
    <xf numFmtId="0" fontId="2" fillId="0" borderId="0" xfId="0" applyFont="1" applyAlignment="1">
      <alignment horizontal="left" vertical="top" wrapText="1"/>
    </xf>
    <xf numFmtId="164" fontId="3" fillId="2" borderId="0" xfId="0" applyNumberFormat="1" applyFont="1" applyFill="1"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left" vertical="top"/>
    </xf>
    <xf numFmtId="167" fontId="3" fillId="2" borderId="0" xfId="0" applyNumberFormat="1" applyFont="1" applyFill="1" applyAlignment="1">
      <alignment horizontal="left" vertical="top"/>
    </xf>
    <xf numFmtId="167" fontId="0" fillId="0" borderId="0" xfId="0" applyNumberFormat="1" applyAlignment="1">
      <alignment horizontal="left" vertical="top"/>
    </xf>
    <xf numFmtId="167" fontId="1" fillId="0" borderId="0" xfId="0" applyNumberFormat="1" applyFont="1" applyAlignment="1">
      <alignment horizontal="left" vertical="top"/>
    </xf>
    <xf numFmtId="167" fontId="2" fillId="0" borderId="0" xfId="0" applyNumberFormat="1" applyFont="1" applyAlignment="1">
      <alignment horizontal="left" vertical="top"/>
    </xf>
    <xf numFmtId="0" fontId="4" fillId="0" borderId="0" xfId="0" applyFont="1"/>
    <xf numFmtId="0" fontId="2" fillId="2" borderId="0" xfId="0" applyFont="1" applyFill="1"/>
    <xf numFmtId="0" fontId="6" fillId="3" borderId="0" xfId="0" applyFont="1" applyFill="1" applyAlignment="1">
      <alignment horizontal="left" vertical="top"/>
    </xf>
    <xf numFmtId="0" fontId="7" fillId="3" borderId="0" xfId="0" applyFont="1" applyFill="1" applyAlignment="1">
      <alignment horizontal="left" vertical="top" wrapText="1"/>
    </xf>
    <xf numFmtId="0" fontId="7" fillId="3" borderId="0" xfId="0" applyFont="1" applyFill="1" applyAlignment="1">
      <alignment horizontal="left" vertical="top"/>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59E0451-4AA3-4D30-9AEF-21C0A022108B}">
  <we:reference id="wa104380194" version="1.1.2.0" store="en-US" storeType="omex"/>
  <we:alternateReferences>
    <we:reference id="wa104380194" version="1.1.2.0" store="omex"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9B92-69E6-4D14-9106-9E55B7587250}">
  <dimension ref="A1:AI201"/>
  <sheetViews>
    <sheetView topLeftCell="AA1" workbookViewId="0">
      <selection activeCell="AJ15" sqref="AJ15"/>
    </sheetView>
  </sheetViews>
  <sheetFormatPr defaultColWidth="9.1796875" defaultRowHeight="12.5" x14ac:dyDescent="0.25"/>
  <cols>
    <col min="1" max="1" width="7" style="9" bestFit="1" customWidth="1"/>
    <col min="2" max="2" width="15" style="9" bestFit="1" customWidth="1"/>
    <col min="3" max="3" width="10.7265625" style="9" bestFit="1" customWidth="1"/>
    <col min="4" max="4" width="231.36328125" style="9" bestFit="1" customWidth="1"/>
    <col min="5" max="5" width="40.81640625" style="9" bestFit="1" customWidth="1"/>
    <col min="6" max="6" width="105.90625" style="9" bestFit="1" customWidth="1"/>
    <col min="7" max="7" width="6.08984375" style="9" bestFit="1" customWidth="1"/>
    <col min="8" max="8" width="8.90625" style="9" bestFit="1" customWidth="1"/>
    <col min="9" max="10" width="14.1796875" style="18" bestFit="1" customWidth="1"/>
    <col min="11" max="11" width="8.54296875" style="9" bestFit="1" customWidth="1"/>
    <col min="12" max="12" width="37.1796875" style="9" bestFit="1" customWidth="1"/>
    <col min="13" max="13" width="44.6328125" style="9" bestFit="1" customWidth="1"/>
    <col min="14" max="14" width="26" style="9" bestFit="1" customWidth="1"/>
    <col min="15" max="15" width="36.81640625" style="9" bestFit="1" customWidth="1"/>
    <col min="16" max="16" width="8.90625" style="9" bestFit="1" customWidth="1"/>
    <col min="17" max="17" width="15.1796875" style="9" bestFit="1" customWidth="1"/>
    <col min="18" max="18" width="17.81640625" style="9" bestFit="1" customWidth="1"/>
    <col min="19" max="19" width="10.36328125" style="18" bestFit="1" customWidth="1"/>
    <col min="20" max="20" width="9.81640625" style="18" bestFit="1" customWidth="1"/>
    <col min="21" max="21" width="10.6328125" style="9" bestFit="1" customWidth="1"/>
    <col min="22" max="22" width="25.453125" style="9" bestFit="1" customWidth="1"/>
    <col min="23" max="23" width="28.7265625" style="9" bestFit="1" customWidth="1"/>
    <col min="24" max="24" width="23.1796875" style="9" bestFit="1" customWidth="1"/>
    <col min="25" max="25" width="19.7265625" style="9" bestFit="1" customWidth="1"/>
    <col min="26" max="26" width="20.54296875" style="9" bestFit="1" customWidth="1"/>
    <col min="27" max="27" width="23.453125" style="9" bestFit="1" customWidth="1"/>
    <col min="28" max="28" width="19" style="9" bestFit="1" customWidth="1"/>
    <col min="29" max="29" width="16.7265625" style="9" bestFit="1" customWidth="1"/>
    <col min="30" max="30" width="22.54296875" style="9" bestFit="1" customWidth="1"/>
    <col min="31" max="31" width="19.26953125" style="9" bestFit="1" customWidth="1"/>
    <col min="32" max="32" width="24.1796875" style="9" bestFit="1" customWidth="1"/>
    <col min="33" max="33" width="27.453125" style="9" bestFit="1" customWidth="1"/>
    <col min="34" max="34" width="27" style="9" bestFit="1" customWidth="1"/>
    <col min="35" max="35" width="23.7265625" style="9" bestFit="1" customWidth="1"/>
    <col min="36" max="16384" width="9.1796875" style="9"/>
  </cols>
  <sheetData>
    <row r="1" spans="1:35" ht="13" x14ac:dyDescent="0.25">
      <c r="A1" s="7" t="s">
        <v>0</v>
      </c>
      <c r="B1" s="7" t="s">
        <v>1</v>
      </c>
      <c r="C1" s="7" t="s">
        <v>2</v>
      </c>
      <c r="D1" s="7" t="s">
        <v>3</v>
      </c>
      <c r="E1" s="7" t="s">
        <v>4</v>
      </c>
      <c r="F1" s="7" t="s">
        <v>5</v>
      </c>
      <c r="G1" s="7" t="s">
        <v>6</v>
      </c>
      <c r="H1" s="7" t="s">
        <v>7</v>
      </c>
      <c r="I1" s="19" t="s">
        <v>8</v>
      </c>
      <c r="J1" s="19" t="s">
        <v>9</v>
      </c>
      <c r="K1" s="7" t="s">
        <v>10</v>
      </c>
      <c r="L1" s="8" t="s">
        <v>11</v>
      </c>
      <c r="M1" s="8" t="s">
        <v>12</v>
      </c>
      <c r="N1" s="8" t="s">
        <v>13</v>
      </c>
      <c r="O1" s="8" t="s">
        <v>14</v>
      </c>
      <c r="P1" s="8" t="s">
        <v>15</v>
      </c>
      <c r="Q1" s="8" t="s">
        <v>16</v>
      </c>
      <c r="R1" s="14" t="s">
        <v>17</v>
      </c>
      <c r="S1" s="17" t="s">
        <v>18</v>
      </c>
      <c r="T1" s="17" t="s">
        <v>19</v>
      </c>
      <c r="U1" s="8" t="s">
        <v>20</v>
      </c>
      <c r="V1" s="23" t="s">
        <v>21</v>
      </c>
      <c r="W1" s="23" t="s">
        <v>22</v>
      </c>
      <c r="X1" s="23" t="s">
        <v>23</v>
      </c>
      <c r="Y1" s="23" t="s">
        <v>24</v>
      </c>
      <c r="Z1" s="23" t="s">
        <v>25</v>
      </c>
      <c r="AA1" s="23" t="s">
        <v>26</v>
      </c>
      <c r="AB1" s="23" t="s">
        <v>27</v>
      </c>
      <c r="AC1" s="23" t="s">
        <v>28</v>
      </c>
      <c r="AD1" s="23" t="s">
        <v>29</v>
      </c>
      <c r="AE1" s="23" t="s">
        <v>30</v>
      </c>
      <c r="AF1" s="23" t="s">
        <v>31</v>
      </c>
      <c r="AG1" s="23" t="s">
        <v>32</v>
      </c>
      <c r="AH1" s="23" t="s">
        <v>33</v>
      </c>
      <c r="AI1" s="23" t="s">
        <v>34</v>
      </c>
    </row>
    <row r="2" spans="1:35" x14ac:dyDescent="0.25">
      <c r="A2" s="10">
        <v>1</v>
      </c>
      <c r="B2" s="10" t="s">
        <v>35</v>
      </c>
      <c r="C2" s="10" t="s">
        <v>36</v>
      </c>
      <c r="D2" s="10" t="s">
        <v>37</v>
      </c>
      <c r="E2" s="10" t="s">
        <v>38</v>
      </c>
      <c r="F2" s="11" t="s">
        <v>39</v>
      </c>
      <c r="G2" s="11" t="s">
        <v>40</v>
      </c>
      <c r="H2" s="12">
        <v>45015</v>
      </c>
      <c r="I2" s="20">
        <v>119242.43</v>
      </c>
      <c r="J2" s="20">
        <v>20508.05</v>
      </c>
      <c r="K2" s="10" t="s">
        <v>41</v>
      </c>
      <c r="L2" s="9" t="s">
        <v>50</v>
      </c>
      <c r="M2" s="9" t="s">
        <v>51</v>
      </c>
      <c r="N2" s="9" t="s">
        <v>52</v>
      </c>
      <c r="O2" s="9" t="s">
        <v>53</v>
      </c>
      <c r="P2" s="15">
        <v>45015</v>
      </c>
      <c r="Q2" s="9" t="s">
        <v>54</v>
      </c>
      <c r="R2" s="16">
        <v>20500</v>
      </c>
      <c r="S2" s="18">
        <v>7</v>
      </c>
      <c r="T2" s="18">
        <v>1.05</v>
      </c>
      <c r="U2" s="9" t="s">
        <v>55</v>
      </c>
      <c r="V2" s="24" t="str" cm="1">
        <f t="array" ref="V2">_xlfn.IFNA(
    _xlfn.IFS(
        ISNUMBER(SEARCH("Fast Outgoing Transfer",L2)),"Transfer",
        ISNUMBER(SEARCH("Incoming Fast Transfer",L2)),"Transfer",
        ISNUMBER(SEARCH("Outgoing International Transfer",L2)),"Transfer",
        ISNUMBER(SEARCH("Bill Payment",L2)),"SADAD",
        ISNUMBER(SEARCH("Payroll",L2)),"Payroll",
        ISNUMBER(SEARCH("Cash Deposit",L2)),"Cash",
        ISNUMBER(SEARCH("Internal Transfer",L2)),"Transfer",
        ISNUMBER(SEARCH("Expatriate Services Payment",L2)),"SADAD",
        ISNUMBER(SEARCH("Rejected",L2)),"Transfer"
    ),
    "-"
)</f>
        <v>Transfer</v>
      </c>
      <c r="W2" s="25" t="str" cm="1">
        <f t="array" ref="W2">_xlfn.IFNA(
    _xlfn.IFS(
        AND(V2="Transfer",ISNUMBER(SEARCH("RIYAD BANK",L2))),"External FI",
        AND(V2="Transfer",ISNUMBER(SEARCH("Al Ahli",L2))),"External FI",
        AND(V2="Transfer",ISNUMBER(SEARCH("CIB via",L2))),"Local Transfer",
        AND(V2="Transfer",ISNUMBER(SEARCH("CIB)",L2))),"Local Transfer",
        AND(V2="Transfer",ISNUMBER(SEARCH("SMRT",L2))),"Local Transfer",
        AND(V2="Transfer",ISNUMBER(SEARCH("Al Murabba",L2))),"Local Transfer",
        AND(V2="Transfer",ISNUMBER(SEARCH("Internal Transfer",L2))),"Same FI",
        AND(V2="Transfer",ISNUMBER(SEARCH("Rejected",L2))),"Failed",
        V2="SADAD",
            _xlfn.IFS(
                ISNUMBER(SEARCH("Expatriate",L2)),"Expat Fees",
                TRUE,"Online Payment"
            ),
        V2="Payroll","Payroll",
        V2="Cash","Deposit",
        TRUE,"-"
    ),
    "-"
)</f>
        <v>Local Transfer</v>
      </c>
      <c r="X2" s="25" t="str" cm="1">
        <f t="array" ref="X2">_xlfn.IFNA(
    _xlfn.IFS(
        V2="-","Low",
        W2="-","Low",
        TRUE,"High"
    ),
    "-"
)</f>
        <v>High</v>
      </c>
      <c r="Y2" s="25" t="str">
        <f>"-"</f>
        <v>-</v>
      </c>
      <c r="Z2" s="25" t="str" cm="1">
        <f t="array" ref="Z2">_xlfn.IFNA(
    _xlfn.IFS(
        ISNUMBER(SEARCH("Abdul Latif Jameel",M2)),"Lender",
        ISNUMBER(SEARCH("Abdullah Abdulkarim Al Sudais",M2)),"Accounting",
        ISNUMBER(SEARCH("Abdullah Fahad for Accounting",M2)),"Accounting",
        ISNUMBER(SEARCH("Abdullah Rashid Shaikh",M2)),"Shareholder",
        ISNUMBER(SEARCH("Advanced Equipments",M2)),"Equipment Rental",
        ISNUMBER(SEARCH("Al Banuk Sana",M2)),"Telecom Company",
        ISNUMBER(SEARCH("Al Khaleefa Factory",M2)),"Manufacturer",
        ISNUMBER(SEARCH("Al Saadeh Trading",M2)),"Trading Company",
        ISNUMBER(SEARCH("Al Zaehaan",M2)),"Trading Company",
        ISNUMBER(SEARCH("Ali Abdullah K Al Darwish",M2)),"Airlines",
        ISNUMBER(SEARCH("Bupa Arabia",M2)),"Health Insurance",
        ISNUMBER(SEARCH("Dar Fahoosaat",M2)),"Consultant",
        ISNUMBER(SEARCH("General Authority of Zakat",M2)),"Tax Collection",
        ISNUMBER(SEARCH("Gulf Voyager",M2)),"Travel Agency",
        ISNUMBER(SEARCH("Hopeway Trading",M2)),"Trading Company",
        ISNUMBER(SEARCH("Interhealth Medical",M2)),"Medical Services",
        ISNUMBER(SEARCH("Ishaar",M2)),"Online Payment Service",
        ISNUMBER(SEARCH("ISO Arabia",M2)),"Certification",
        ISNUMBER(SEARCH("Khalid Saad Al Otaibi",M2)),"Trading Company",
        ISNUMBER(SEARCH("MERAS for Decoration",M2)),"Decor Company",
        ISNUMBER(SEARCH("Middle East Customs Clearance",M2)),"Customs",
        ISNUMBER(SEARCH("Ministry of Human Resources",M2)),"Government",
        ISNUMBER(SEARCH("My Business Services",M2)),"Service Provider",
        ISNUMBER(SEARCH("National Water Company",M2)),"Water Company",
        ISNUMBER(SEARCH("Rania Contracting",M2)),"Contracting",
        ISNUMBER(SEARCH("Rashid Ali Sheikh",M2)),"Shareholder",
        ISNUMBER(SEARCH("Sahab United Motors",M2)),"Car Show Room",
        ISNUMBER(SEARCH("Saud Mohammed Al Tamimi",M2)),"Shareholder",
        ISNUMBER(SEARCH("Saud Mohammed Tamimi",M2)),"Shareholder",
        ISNUMBER(SEARCH("Saudi Electric Company",M2)),"Electricity Company",
        ISNUMBER(SEARCH("Saudi Vetonit",M2)),"Building Materials",
        ISNUMBER(SEARCH("Shomoul Eng",M2)),"Safety",
        ISNUMBER(SEARCH("STC",M2)),"Telecom Company",
        ISNUMBER(SEARCH("The General Organization for Social Insurance",M2)),"Social Insurance Agency",
        ISNUMBER(SEARCH("TUV Rheinland",M2)),"Certification",
        ISNUMBER(SEARCH("Al Arabia Ceramic",M2)),"Building Materials",
        ISNUMBER(SEARCH("National Company for Building and Marketing",M2)),"Parent Company",
        ISNUMBER(SEARCH("Athraa Holding",M2)),"Holding Company",
        ISNUMBER(SEARCH("Al Rasan",M2)),"Contracting",
        ISNUMBER(SEARCH("Raboua Al Haid",M2)),"Trading Company",
        ISNUMBER(SEARCH("Al Jazeera Paint",M2)),"Manufacturer",
        ISNUMBER(SEARCH("Rania Works Contracting",M2)),"Contracting",
        ISNUMBER(SEARCH("Bandar Jarallah",M2)),"Trading Establishment",
        ISNUMBER(SEARCH("RS Infratec Saudi",M2)),"Same Company",
        ISNUMBER(SEARCH("Payroll",M2)),"Bank",
        ISNUMBER(SEARCH("Expatriate",M2)),"Government",
        ISNUMBER(SEARCH("Unknown Sender",M2)),"Unknown",
        TRUE,"Unknown"
    ),
    "-"
)</f>
        <v>Accounting</v>
      </c>
      <c r="AA2" s="25" t="str" cm="1">
        <f t="array" ref="AA2">_xlfn.IFNA(
    _xlfn.IFS(
        Z2="Lender","Financing",
        Z2="Accounting","Accounting",
        Z2="Shareholder","Individual",
        Z2="Equipment Rental","Equipment Rental",
        Z2="Telecom Company","Telecom",
        Z2="Manufacturer","Manufacturer",
        Z2="Trading Company","Trading And Transport",
        Z2="Trading Establishment","Trading",
        Z2="Airlines","Airlines",
        Z2="Health Insurance","Insurance",
        Z2="Consultant","Consultant",
        Z2="Tax Collection","Government",
        Z2="Travel Agency","Travel Agency",
        Z2="Medical Services","Medical Center",
        Z2="Online Payment Service","Payment Facilitator",
        Z2="Certification","Safety",
        Z2="Decor Company","Design",
        Z2="Customs","Customs",
        Z2="Government","Government",
        Z2="Service Provider","Service Provider",
        Z2="Water Company","Water Company",
        Z2="Contracting","Contracting",
        Z2="Car Show Room","Car Trader",
        Z2="Electricity Company","Electricity Company",
        Z2="Building Materials","Building Materials",
        Z2="Safety","Safety",
        Z2="Social Insurance Agency","Government Fund",
        Z2="Parent Company","Holding Company",
        Z2="Holding Company","Holding Company",
        Z2="Same Company","Construction",
        Z2="Bank","Bank",
        Z2="Unknown","Unknown",
        TRUE,"-"
    ),
    "-"
)</f>
        <v>Accounting</v>
      </c>
      <c r="AB2" s="25" t="str">
        <f>"-"</f>
        <v>-</v>
      </c>
      <c r="AC2" s="25" t="str" cm="1">
        <f t="array" ref="AC2">_xlfn.IFNA(
    _xlfn.IFS(
        Z2="Shareholder","Shareholder",
        Z2="Same Company","Same Company",
        Z2="Bank","Bank",
        Z2="Government","Government",
        Z2="Social Insurance Agency","Government",
        Z2="Parent Company","Customer",
        Z2="Lender","Lender",
        Z2="Unknown","Unknown",
        ISNUMBER(SEARCH("Abdullah Abdulkarim",M2)),"Service Provider",
        ISNUMBER(SEARCH("Abdullah Fahad",M2)),"Service Provider",
        ISNUMBER(SEARCH("Advanced Equipments",M2)),"Supplier",
        ISNUMBER(SEARCH("Al Banuk Sana",M2)),"Supplier",
        ISNUMBER(SEARCH("Al Khaleefa Factory",M2)),"Supplier",
        ISNUMBER(SEARCH("Al Saadeh Trading",M2)),"Supplier",
        ISNUMBER(SEARCH("Al Zaehaan",M2)),"Supplier",
        ISNUMBER(SEARCH("Ali Abdullah K Al Darwish",M2)),"Service Provider",
        ISNUMBER(SEARCH("Bupa Arabia",M2)),"Insurance Company",
        ISNUMBER(SEARCH("Dar Fahoosaat",M2)),"Service Provider",
        ISNUMBER(SEARCH("General Authority of Zakat",M2)),"Tax Authority",
        ISNUMBER(SEARCH("Gulf Voyager",M2)),"Service Provider",
        ISNUMBER(SEARCH("Hopeway Trading",M2)),"Supplier",
        ISNUMBER(SEARCH("Interhealth Medical",M2)),"Customer",
        ISNUMBER(SEARCH("Ishaar",M2)),"Service Provider",
        ISNUMBER(SEARCH("ISO Arabia",M2)),"Service Provider",
        ISNUMBER(SEARCH("Khalid Saad Al Otaibi",M2)),"Supplier",
        ISNUMBER(SEARCH("MERAS for Decoration",M2)),"Supplier",
        ISNUMBER(SEARCH("Middle East Customs Clearance",M2)),"Service Provider",
        ISNUMBER(SEARCH("Ministry of Human Resources",M2)),"Regulatory Agency",
        ISNUMBER(SEARCH("My Business Services",M2)),"Service Provider",
        ISNUMBER(SEARCH("National Water Company",M2)),"Utility Provider",
        ISNUMBER(SEARCH("Rania Contracting",M2)),"Supplier",
        ISNUMBER(SEARCH("Sahab United Motors",M2)),"Supplier",
        ISNUMBER(SEARCH("Saudi Electric Company",M2)),"Utility Provider",
        ISNUMBER(SEARCH("Saudi Vetonit",M2)),"Supplier",
        ISNUMBER(SEARCH("Shomoul Eng",M2)),"Service Provider",
        ISNUMBER(SEARCH("STC",M2)),"Utility Provider",
        ISNUMBER(SEARCH("The General Organization for Social Insurance",M2)),"Social Insurance Agency",
        ISNUMBER(SEARCH("TUV Rheinland",M2)),"Service Provider",
        ISNUMBER(SEARCH("Al Arabia Ceramic",M2)),"Supplier",
        ISNUMBER(SEARCH("National Company for Building",M2)),"Customer",
        ISNUMBER(SEARCH("Athraa Holding",M2)),"Customer",
        ISNUMBER(SEARCH("Al Rasan",M2)),"Supplier",
        ISNUMBER(SEARCH("Raboua Al Haid",M2)),"Customer",
        ISNUMBER(SEARCH("Al Jazeera Paint",M2)),"Supplier",
        ISNUMBER(SEARCH("Rania Works Contracting",M2)),"Supplier",
        ISNUMBER(SEARCH("Bandar Jarallah",M2)),"Supplier",
        TRUE,"Supplier"
    ),
    "-"
)</f>
        <v>Service Provider</v>
      </c>
      <c r="AD2" s="25" t="str" cm="1">
        <f t="array" ref="AD2">_xlfn.IFNA(
    _xlfn.IFS(
        AC2="Same Company","High",
        AC2="Shareholder","High",
        AC2="Government","High",
        AC2="Bank","High",
        AC2="Lender","High",
        AC2="Unknown","Low",
        AC2="-","Low",
        TRUE,"Medium"
    ),
    "-"
)</f>
        <v>Medium</v>
      </c>
      <c r="AE2" s="25" t="str">
        <f>"-"</f>
        <v>-</v>
      </c>
      <c r="AF2" s="25" t="str" cm="1">
        <f t="array" ref="AF2">_xlfn.IFNA(
    _xlfn.IFS(
        K2="Credit",
            _xlfn.IFS(
                OR(ISNUMBER(SEARCH("Rejected",L2)),ISNUMBER(SEARCH("Returned",L2))),"Other Income",
                TRUE,"Revenue"
            ),
        K2="Debit",
            _xlfn.IFS(
                ISNUMBER(SEARCH("Payroll",L2)),"OPEX",
                ISNUMBER(SEARCH("Expatriate",L2)),"OPEX",
                ISNUMBER(SEARCH("Zakat",M2)),"ZATCA",
                ISNUMBER(SEARCH("General Organization for Social Insurance",M2)),"OPEX",
                ISNUMBER(SEARCH("Saudi Electric",M2)),"OPEX",
                ISNUMBER(SEARCH("STC",M2)),"OPEX",
                ISNUMBER(SEARCH("National Water",M2)),"OPEX",
                ISNUMBER(SEARCH("Bupa",M2)),"OPEX",
                ISNUMBER(SEARCH("Abdullah Abdulkarim",M2)),"OPEX",
                ISNUMBER(SEARCH("Abdullah Fahad",M2)),"OPEX",
                ISNUMBER(SEARCH("ISO Arabia",M2)),"OPEX",
                ISNUMBER(SEARCH("Gulf Voyager",M2)),"OPEX",
                ISNUMBER(SEARCH("Ministry",M2)),"OPEX",
                ISNUMBER(SEARCH("General Authority of Zakat",M2)),"ZATCA",
                ISNUMBER(SEARCH("Rejected",L2)),"Other Income",
                TRUE,"COGS"
            ),
        TRUE,"-"
    ),
    "-"
)</f>
        <v>OPEX</v>
      </c>
      <c r="AG2" s="25" t="str" cm="1">
        <f t="array" ref="AG2">_xlfn.IFNA(
    _xlfn.IFS(
        ISNUMBER(SEARCH("Payroll",L2)),"Payroll",
        ISNUMBER(SEARCH("Expatriate",L2)),"Government Fees",
        ISNUMBER(SEARCH("Zakat",M2)),"Zakat",
        ISNUMBER(SEARCH("Social Insurance",M2)),"Social Insurance",
        ISNUMBER(SEARCH("Saudi Electric",M2)),"Electricity",
        ISNUMBER(SEARCH("STC",M2)),"Telecom",
        ISNUMBER(SEARCH("National Water",M2)),"Water",
        ISNUMBER(SEARCH("Bupa",M2)),"Insurance",
        ISNUMBER(SEARCH("Gulf Voyager",M2)),"Travel",
        ISNUMBER(SEARCH("Ministry",M2)),"Government Fees",
        ISNUMBER(SEARCH("Abdullah Abdulkarim",M2)),"Consulting",
        ISNUMBER(SEARCH("Abdullah Fahad",M2)),"Accounting",
        ISNUMBER(SEARCH("ISO Arabia",M2)),"Consulting",
        ISNUMBER(SEARCH("Rejected",L2)),"Refund",
        AF2="COGS","Inventory Purchase",
        AF2="Revenue","Revenue",
        AF2="OPEX","Other",
        AF2="ZATCA","Zakat",
        TRUE,"-"
    ),
    "-"
)</f>
        <v>Consulting</v>
      </c>
      <c r="AH2" s="25" t="str" cm="1">
        <f t="array" ref="AH2">_xlfn.IFNA(
    _xlfn.IFS(
        AF2="-","Low",
        AF2="Other","Low",
        TRUE,"Medium"
    ),
    "-"
)</f>
        <v>Medium</v>
      </c>
      <c r="AI2" s="25" t="str">
        <f>"-"</f>
        <v>-</v>
      </c>
    </row>
    <row r="3" spans="1:35" x14ac:dyDescent="0.25">
      <c r="A3" s="10">
        <v>1</v>
      </c>
      <c r="B3" s="10" t="s">
        <v>35</v>
      </c>
      <c r="C3" s="10" t="s">
        <v>36</v>
      </c>
      <c r="D3" s="13" t="s">
        <v>37</v>
      </c>
      <c r="E3" s="10" t="s">
        <v>38</v>
      </c>
      <c r="F3" s="11" t="s">
        <v>39</v>
      </c>
      <c r="G3" s="10" t="s">
        <v>40</v>
      </c>
      <c r="H3" s="12">
        <v>44999</v>
      </c>
      <c r="I3" s="20">
        <v>163809.94</v>
      </c>
      <c r="J3" s="20">
        <v>1674.4</v>
      </c>
      <c r="K3" s="10" t="s">
        <v>41</v>
      </c>
      <c r="L3" s="9" t="s">
        <v>56</v>
      </c>
      <c r="M3" s="9" t="s">
        <v>70</v>
      </c>
      <c r="N3" s="9" t="s">
        <v>71</v>
      </c>
      <c r="O3" s="9" t="s">
        <v>72</v>
      </c>
      <c r="P3" s="15">
        <v>44999</v>
      </c>
      <c r="Q3" s="9" t="s">
        <v>73</v>
      </c>
      <c r="R3" s="16">
        <v>1674.4</v>
      </c>
      <c r="U3" s="9" t="s">
        <v>55</v>
      </c>
      <c r="V3" s="24" t="str" cm="1">
        <f t="array" ref="V3">_xlfn.IFNA(
    _xlfn.IFS(
        ISNUMBER(SEARCH("Fast Outgoing Transfer",L3)),"Transfer",
        ISNUMBER(SEARCH("Incoming Fast Transfer",L3)),"Transfer",
        ISNUMBER(SEARCH("Outgoing International Transfer",L3)),"Transfer",
        ISNUMBER(SEARCH("Bill Payment",L3)),"SADAD",
        ISNUMBER(SEARCH("Payroll",L3)),"Payroll",
        ISNUMBER(SEARCH("Cash Deposit",L3)),"Cash",
        ISNUMBER(SEARCH("Internal Transfer",L3)),"Transfer",
        ISNUMBER(SEARCH("Expatriate Services Payment",L3)),"SADAD",
        ISNUMBER(SEARCH("Rejected",L3)),"Transfer"
    ),
    "-"
)</f>
        <v>Transfer</v>
      </c>
      <c r="W3" s="25" t="str" cm="1">
        <f t="array" ref="W3">_xlfn.IFNA(
    _xlfn.IFS(
        AND(V3="Transfer",ISNUMBER(SEARCH("RIYAD BANK",L3))),"External FI",
        AND(V3="Transfer",ISNUMBER(SEARCH("Al Ahli",L3))),"External FI",
        AND(V3="Transfer",ISNUMBER(SEARCH("CIB via",L3))),"Local Transfer",
        AND(V3="Transfer",ISNUMBER(SEARCH("CIB)",L3))),"Local Transfer",
        AND(V3="Transfer",ISNUMBER(SEARCH("SMRT",L3))),"Local Transfer",
        AND(V3="Transfer",ISNUMBER(SEARCH("Al Murabba",L3))),"Local Transfer",
        AND(V3="Transfer",ISNUMBER(SEARCH("Internal Transfer",L3))),"Same FI",
        AND(V3="Transfer",ISNUMBER(SEARCH("Rejected",L3))),"Failed",
        V3="SADAD",
            _xlfn.IFS(
                ISNUMBER(SEARCH("Expatriate",L3)),"Expat Fees",
                TRUE,"Online Payment"
            ),
        V3="Payroll","Payroll",
        V3="Cash","Deposit",
        TRUE,"-"
    ),
    "-"
)</f>
        <v>Local Transfer</v>
      </c>
      <c r="X3" s="25" t="str" cm="1">
        <f t="array" ref="X3">_xlfn.IFNA(
    _xlfn.IFS(
        V3="-","Low",
        W3="-","Low",
        TRUE,"High"
    ),
    "-"
)</f>
        <v>High</v>
      </c>
      <c r="Y3" s="25" t="str">
        <f t="shared" ref="Y3:Y66" si="0">"-"</f>
        <v>-</v>
      </c>
      <c r="Z3" s="25" t="str" cm="1">
        <f t="array" ref="Z3">_xlfn.IFNA(
    _xlfn.IFS(
        ISNUMBER(SEARCH("Abdul Latif Jameel",M3)),"Lender",
        ISNUMBER(SEARCH("Abdullah Abdulkarim Al Sudais",M3)),"Accounting",
        ISNUMBER(SEARCH("Abdullah Fahad for Accounting",M3)),"Accounting",
        ISNUMBER(SEARCH("Abdullah Rashid Shaikh",M3)),"Shareholder",
        ISNUMBER(SEARCH("Advanced Equipments",M3)),"Equipment Rental",
        ISNUMBER(SEARCH("Al Banuk Sana",M3)),"Telecom Company",
        ISNUMBER(SEARCH("Al Khaleefa Factory",M3)),"Manufacturer",
        ISNUMBER(SEARCH("Al Saadeh Trading",M3)),"Trading Company",
        ISNUMBER(SEARCH("Al Zaehaan",M3)),"Trading Company",
        ISNUMBER(SEARCH("Ali Abdullah K Al Darwish",M3)),"Airlines",
        ISNUMBER(SEARCH("Bupa Arabia",M3)),"Health Insurance",
        ISNUMBER(SEARCH("Dar Fahoosaat",M3)),"Consultant",
        ISNUMBER(SEARCH("General Authority of Zakat",M3)),"Tax Collection",
        ISNUMBER(SEARCH("Gulf Voyager",M3)),"Travel Agency",
        ISNUMBER(SEARCH("Hopeway Trading",M3)),"Trading Company",
        ISNUMBER(SEARCH("Interhealth Medical",M3)),"Medical Services",
        ISNUMBER(SEARCH("Ishaar",M3)),"Online Payment Service",
        ISNUMBER(SEARCH("ISO Arabia",M3)),"Certification",
        ISNUMBER(SEARCH("Khalid Saad Al Otaibi",M3)),"Trading Company",
        ISNUMBER(SEARCH("MERAS for Decoration",M3)),"Decor Company",
        ISNUMBER(SEARCH("Middle East Customs Clearance",M3)),"Customs",
        ISNUMBER(SEARCH("Ministry of Human Resources",M3)),"Government",
        ISNUMBER(SEARCH("My Business Services",M3)),"Service Provider",
        ISNUMBER(SEARCH("National Water Company",M3)),"Water Company",
        ISNUMBER(SEARCH("Rania Contracting",M3)),"Contracting",
        ISNUMBER(SEARCH("Rashid Ali Sheikh",M3)),"Shareholder",
        ISNUMBER(SEARCH("Sahab United Motors",M3)),"Car Show Room",
        ISNUMBER(SEARCH("Saud Mohammed Al Tamimi",M3)),"Shareholder",
        ISNUMBER(SEARCH("Saud Mohammed Tamimi",M3)),"Shareholder",
        ISNUMBER(SEARCH("Saudi Electric Company",M3)),"Electricity Company",
        ISNUMBER(SEARCH("Saudi Vetonit",M3)),"Building Materials",
        ISNUMBER(SEARCH("Shomoul Eng",M3)),"Safety",
        ISNUMBER(SEARCH("STC",M3)),"Telecom Company",
        ISNUMBER(SEARCH("The General Organization for Social Insurance",M3)),"Social Insurance Agency",
        ISNUMBER(SEARCH("TUV Rheinland",M3)),"Certification",
        ISNUMBER(SEARCH("Al Arabia Ceramic",M3)),"Building Materials",
        ISNUMBER(SEARCH("National Company for Building and Marketing",M3)),"Parent Company",
        ISNUMBER(SEARCH("Athraa Holding",M3)),"Holding Company",
        ISNUMBER(SEARCH("Al Rasan",M3)),"Contracting",
        ISNUMBER(SEARCH("Raboua Al Haid",M3)),"Trading Company",
        ISNUMBER(SEARCH("Al Jazeera Paint",M3)),"Manufacturer",
        ISNUMBER(SEARCH("Rania Works Contracting",M3)),"Contracting",
        ISNUMBER(SEARCH("Bandar Jarallah",M3)),"Trading Establishment",
        ISNUMBER(SEARCH("RS Infratec Saudi",M3)),"Same Company",
        ISNUMBER(SEARCH("Payroll",M3)),"Bank",
        ISNUMBER(SEARCH("Expatriate",M3)),"Government",
        ISNUMBER(SEARCH("Unknown Sender",M3)),"Unknown",
        TRUE,"Unknown"
    ),
    "-"
)</f>
        <v>Equipment Rental</v>
      </c>
      <c r="AA3" s="25" t="str" cm="1">
        <f t="array" ref="AA3">_xlfn.IFNA(
    _xlfn.IFS(
        Z3="Lender","Financing",
        Z3="Accounting","Accounting",
        Z3="Shareholder","Individual",
        Z3="Equipment Rental","Equipment Rental",
        Z3="Telecom Company","Telecom",
        Z3="Manufacturer","Manufacturer",
        Z3="Trading Company","Trading And Transport",
        Z3="Trading Establishment","Trading",
        Z3="Airlines","Airlines",
        Z3="Health Insurance","Insurance",
        Z3="Consultant","Consultant",
        Z3="Tax Collection","Government",
        Z3="Travel Agency","Travel Agency",
        Z3="Medical Services","Medical Center",
        Z3="Online Payment Service","Payment Facilitator",
        Z3="Certification","Safety",
        Z3="Decor Company","Design",
        Z3="Customs","Customs",
        Z3="Government","Government",
        Z3="Service Provider","Service Provider",
        Z3="Water Company","Water Company",
        Z3="Contracting","Contracting",
        Z3="Car Show Room","Car Trader",
        Z3="Electricity Company","Electricity Company",
        Z3="Building Materials","Building Materials",
        Z3="Safety","Safety",
        Z3="Social Insurance Agency","Government Fund",
        Z3="Parent Company","Holding Company",
        Z3="Holding Company","Holding Company",
        Z3="Same Company","Construction",
        Z3="Bank","Bank",
        Z3="Unknown","Unknown",
        TRUE,"-"
    ),
    "-"
)</f>
        <v>Equipment Rental</v>
      </c>
      <c r="AB3" s="25" t="str">
        <f t="shared" ref="AB3:AB66" si="1">"-"</f>
        <v>-</v>
      </c>
      <c r="AC3" s="25" t="str" cm="1">
        <f t="array" ref="AC3">_xlfn.IFNA(
    _xlfn.IFS(
        Z3="Shareholder","Shareholder",
        Z3="Same Company","Same Company",
        Z3="Bank","Bank",
        Z3="Government","Government",
        Z3="Social Insurance Agency","Government",
        Z3="Parent Company","Customer",
        Z3="Lender","Lender",
        Z3="Unknown","Unknown",
        ISNUMBER(SEARCH("Abdullah Abdulkarim",M3)),"Service Provider",
        ISNUMBER(SEARCH("Abdullah Fahad",M3)),"Service Provider",
        ISNUMBER(SEARCH("Advanced Equipments",M3)),"Supplier",
        ISNUMBER(SEARCH("Al Banuk Sana",M3)),"Supplier",
        ISNUMBER(SEARCH("Al Khaleefa Factory",M3)),"Supplier",
        ISNUMBER(SEARCH("Al Saadeh Trading",M3)),"Supplier",
        ISNUMBER(SEARCH("Al Zaehaan",M3)),"Supplier",
        ISNUMBER(SEARCH("Ali Abdullah K Al Darwish",M3)),"Service Provider",
        ISNUMBER(SEARCH("Bupa Arabia",M3)),"Insurance Company",
        ISNUMBER(SEARCH("Dar Fahoosaat",M3)),"Service Provider",
        ISNUMBER(SEARCH("General Authority of Zakat",M3)),"Tax Authority",
        ISNUMBER(SEARCH("Gulf Voyager",M3)),"Service Provider",
        ISNUMBER(SEARCH("Hopeway Trading",M3)),"Supplier",
        ISNUMBER(SEARCH("Interhealth Medical",M3)),"Customer",
        ISNUMBER(SEARCH("Ishaar",M3)),"Service Provider",
        ISNUMBER(SEARCH("ISO Arabia",M3)),"Service Provider",
        ISNUMBER(SEARCH("Khalid Saad Al Otaibi",M3)),"Supplier",
        ISNUMBER(SEARCH("MERAS for Decoration",M3)),"Supplier",
        ISNUMBER(SEARCH("Middle East Customs Clearance",M3)),"Service Provider",
        ISNUMBER(SEARCH("Ministry of Human Resources",M3)),"Regulatory Agency",
        ISNUMBER(SEARCH("My Business Services",M3)),"Service Provider",
        ISNUMBER(SEARCH("National Water Company",M3)),"Utility Provider",
        ISNUMBER(SEARCH("Rania Contracting",M3)),"Supplier",
        ISNUMBER(SEARCH("Sahab United Motors",M3)),"Supplier",
        ISNUMBER(SEARCH("Saudi Electric Company",M3)),"Utility Provider",
        ISNUMBER(SEARCH("Saudi Vetonit",M3)),"Supplier",
        ISNUMBER(SEARCH("Shomoul Eng",M3)),"Service Provider",
        ISNUMBER(SEARCH("STC",M3)),"Utility Provider",
        ISNUMBER(SEARCH("The General Organization for Social Insurance",M3)),"Social Insurance Agency",
        ISNUMBER(SEARCH("TUV Rheinland",M3)),"Service Provider",
        ISNUMBER(SEARCH("Al Arabia Ceramic",M3)),"Supplier",
        ISNUMBER(SEARCH("National Company for Building",M3)),"Customer",
        ISNUMBER(SEARCH("Athraa Holding",M3)),"Customer",
        ISNUMBER(SEARCH("Al Rasan",M3)),"Supplier",
        ISNUMBER(SEARCH("Raboua Al Haid",M3)),"Customer",
        ISNUMBER(SEARCH("Al Jazeera Paint",M3)),"Supplier",
        ISNUMBER(SEARCH("Rania Works Contracting",M3)),"Supplier",
        ISNUMBER(SEARCH("Bandar Jarallah",M3)),"Supplier",
        TRUE,"Supplier"
    ),
    "-"
)</f>
        <v>Supplier</v>
      </c>
      <c r="AD3" s="25" t="str" cm="1">
        <f t="array" ref="AD3">_xlfn.IFNA(
    _xlfn.IFS(
        AC3="Same Company","High",
        AC3="Shareholder","High",
        AC3="Government","High",
        AC3="Bank","High",
        AC3="Lender","High",
        AC3="Unknown","Low",
        AC3="-","Low",
        TRUE,"Medium"
    ),
    "-"
)</f>
        <v>Medium</v>
      </c>
      <c r="AE3" s="25" t="str">
        <f t="shared" ref="AE3:AE66" si="2">"-"</f>
        <v>-</v>
      </c>
      <c r="AF3" s="25" t="str" cm="1">
        <f t="array" ref="AF3">_xlfn.IFNA(
    _xlfn.IFS(
        K3="Credit",
            _xlfn.IFS(
                OR(ISNUMBER(SEARCH("Rejected",L3)),ISNUMBER(SEARCH("Returned",L3))),"Other Income",
                TRUE,"Revenue"
            ),
        K3="Debit",
            _xlfn.IFS(
                ISNUMBER(SEARCH("Payroll",L3)),"OPEX",
                ISNUMBER(SEARCH("Expatriate",L3)),"OPEX",
                ISNUMBER(SEARCH("Zakat",M3)),"ZATCA",
                ISNUMBER(SEARCH("General Organization for Social Insurance",M3)),"OPEX",
                ISNUMBER(SEARCH("Saudi Electric",M3)),"OPEX",
                ISNUMBER(SEARCH("STC",M3)),"OPEX",
                ISNUMBER(SEARCH("National Water",M3)),"OPEX",
                ISNUMBER(SEARCH("Bupa",M3)),"OPEX",
                ISNUMBER(SEARCH("Abdullah Abdulkarim",M3)),"OPEX",
                ISNUMBER(SEARCH("Abdullah Fahad",M3)),"OPEX",
                ISNUMBER(SEARCH("ISO Arabia",M3)),"OPEX",
                ISNUMBER(SEARCH("Gulf Voyager",M3)),"OPEX",
                ISNUMBER(SEARCH("Ministry",M3)),"OPEX",
                ISNUMBER(SEARCH("General Authority of Zakat",M3)),"ZATCA",
                ISNUMBER(SEARCH("Rejected",L3)),"Other Income",
                TRUE,"COGS"
            ),
        TRUE,"-"
    ),
    "-"
)</f>
        <v>COGS</v>
      </c>
      <c r="AG3" s="25" t="str" cm="1">
        <f t="array" ref="AG3">_xlfn.IFNA(
    _xlfn.IFS(
        ISNUMBER(SEARCH("Payroll",L3)),"Payroll",
        ISNUMBER(SEARCH("Expatriate",L3)),"Government Fees",
        ISNUMBER(SEARCH("Zakat",M3)),"Zakat",
        ISNUMBER(SEARCH("Social Insurance",M3)),"Social Insurance",
        ISNUMBER(SEARCH("Saudi Electric",M3)),"Electricity",
        ISNUMBER(SEARCH("STC",M3)),"Telecom",
        ISNUMBER(SEARCH("National Water",M3)),"Water",
        ISNUMBER(SEARCH("Bupa",M3)),"Insurance",
        ISNUMBER(SEARCH("Gulf Voyager",M3)),"Travel",
        ISNUMBER(SEARCH("Ministry",M3)),"Government Fees",
        ISNUMBER(SEARCH("Abdullah Abdulkarim",M3)),"Consulting",
        ISNUMBER(SEARCH("Abdullah Fahad",M3)),"Accounting",
        ISNUMBER(SEARCH("ISO Arabia",M3)),"Consulting",
        ISNUMBER(SEARCH("Rejected",L3)),"Refund",
        AF3="COGS","Inventory Purchase",
        AF3="Revenue","Revenue",
        AF3="OPEX","Other",
        AF3="ZATCA","Zakat",
        TRUE,"-"
    ),
    "-"
)</f>
        <v>Inventory Purchase</v>
      </c>
      <c r="AH3" s="25" t="str" cm="1">
        <f t="array" ref="AH3">_xlfn.IFNA(
    _xlfn.IFS(
        AF3="-","Low",
        AF3="Other","Low",
        TRUE,"Medium"
    ),
    "-"
)</f>
        <v>Medium</v>
      </c>
      <c r="AI3" s="25" t="str">
        <f t="shared" ref="AI3:AI66" si="3">"-"</f>
        <v>-</v>
      </c>
    </row>
    <row r="4" spans="1:35" x14ac:dyDescent="0.25">
      <c r="A4" s="10">
        <v>1</v>
      </c>
      <c r="B4" s="10" t="s">
        <v>35</v>
      </c>
      <c r="C4" s="10" t="s">
        <v>36</v>
      </c>
      <c r="D4" s="13" t="s">
        <v>37</v>
      </c>
      <c r="E4" s="10" t="s">
        <v>38</v>
      </c>
      <c r="F4" s="11" t="s">
        <v>39</v>
      </c>
      <c r="G4" s="11" t="s">
        <v>40</v>
      </c>
      <c r="H4" s="12">
        <v>44938</v>
      </c>
      <c r="I4" s="20">
        <v>18056.27</v>
      </c>
      <c r="J4" s="20">
        <v>29722.240000000002</v>
      </c>
      <c r="K4" s="10" t="s">
        <v>41</v>
      </c>
      <c r="L4" s="9" t="s">
        <v>50</v>
      </c>
      <c r="M4" s="9" t="s">
        <v>82</v>
      </c>
      <c r="N4" s="9" t="s">
        <v>83</v>
      </c>
      <c r="O4" s="9" t="s">
        <v>72</v>
      </c>
      <c r="P4" s="15">
        <v>44938</v>
      </c>
      <c r="Q4" s="9" t="s">
        <v>84</v>
      </c>
      <c r="R4" s="16">
        <v>29714.19</v>
      </c>
      <c r="S4" s="18">
        <v>7</v>
      </c>
      <c r="T4" s="18">
        <v>1.05</v>
      </c>
      <c r="U4" s="9" t="s">
        <v>55</v>
      </c>
      <c r="V4" s="24" t="str" cm="1">
        <f t="array" ref="V4">_xlfn.IFNA(
    _xlfn.IFS(
        ISNUMBER(SEARCH("Fast Outgoing Transfer",L4)),"Transfer",
        ISNUMBER(SEARCH("Incoming Fast Transfer",L4)),"Transfer",
        ISNUMBER(SEARCH("Outgoing International Transfer",L4)),"Transfer",
        ISNUMBER(SEARCH("Bill Payment",L4)),"SADAD",
        ISNUMBER(SEARCH("Payroll",L4)),"Payroll",
        ISNUMBER(SEARCH("Cash Deposit",L4)),"Cash",
        ISNUMBER(SEARCH("Internal Transfer",L4)),"Transfer",
        ISNUMBER(SEARCH("Expatriate Services Payment",L4)),"SADAD",
        ISNUMBER(SEARCH("Rejected",L4)),"Transfer"
    ),
    "-"
)</f>
        <v>Transfer</v>
      </c>
      <c r="W4" s="25" t="str" cm="1">
        <f t="array" ref="W4">_xlfn.IFNA(
    _xlfn.IFS(
        AND(V4="Transfer",ISNUMBER(SEARCH("RIYAD BANK",L4))),"External FI",
        AND(V4="Transfer",ISNUMBER(SEARCH("Al Ahli",L4))),"External FI",
        AND(V4="Transfer",ISNUMBER(SEARCH("CIB via",L4))),"Local Transfer",
        AND(V4="Transfer",ISNUMBER(SEARCH("CIB)",L4))),"Local Transfer",
        AND(V4="Transfer",ISNUMBER(SEARCH("SMRT",L4))),"Local Transfer",
        AND(V4="Transfer",ISNUMBER(SEARCH("Al Murabba",L4))),"Local Transfer",
        AND(V4="Transfer",ISNUMBER(SEARCH("Internal Transfer",L4))),"Same FI",
        AND(V4="Transfer",ISNUMBER(SEARCH("Rejected",L4))),"Failed",
        V4="SADAD",
            _xlfn.IFS(
                ISNUMBER(SEARCH("Expatriate",L4)),"Expat Fees",
                TRUE,"Online Payment"
            ),
        V4="Payroll","Payroll",
        V4="Cash","Deposit",
        TRUE,"-"
    ),
    "-"
)</f>
        <v>Local Transfer</v>
      </c>
      <c r="X4" s="25" t="str" cm="1">
        <f t="array" ref="X4">_xlfn.IFNA(
    _xlfn.IFS(
        V4="-","Low",
        W4="-","Low",
        TRUE,"High"
    ),
    "-"
)</f>
        <v>High</v>
      </c>
      <c r="Y4" s="25" t="str">
        <f t="shared" si="0"/>
        <v>-</v>
      </c>
      <c r="Z4" s="25" t="str" cm="1">
        <f t="array" ref="Z4">_xlfn.IFNA(
    _xlfn.IFS(
        ISNUMBER(SEARCH("Abdul Latif Jameel",M4)),"Lender",
        ISNUMBER(SEARCH("Abdullah Abdulkarim Al Sudais",M4)),"Accounting",
        ISNUMBER(SEARCH("Abdullah Fahad for Accounting",M4)),"Accounting",
        ISNUMBER(SEARCH("Abdullah Rashid Shaikh",M4)),"Shareholder",
        ISNUMBER(SEARCH("Advanced Equipments",M4)),"Equipment Rental",
        ISNUMBER(SEARCH("Al Banuk Sana",M4)),"Telecom Company",
        ISNUMBER(SEARCH("Al Khaleefa Factory",M4)),"Manufacturer",
        ISNUMBER(SEARCH("Al Saadeh Trading",M4)),"Trading Company",
        ISNUMBER(SEARCH("Al Zaehaan",M4)),"Trading Company",
        ISNUMBER(SEARCH("Ali Abdullah K Al Darwish",M4)),"Airlines",
        ISNUMBER(SEARCH("Bupa Arabia",M4)),"Health Insurance",
        ISNUMBER(SEARCH("Dar Fahoosaat",M4)),"Consultant",
        ISNUMBER(SEARCH("General Authority of Zakat",M4)),"Tax Collection",
        ISNUMBER(SEARCH("Gulf Voyager",M4)),"Travel Agency",
        ISNUMBER(SEARCH("Hopeway Trading",M4)),"Trading Company",
        ISNUMBER(SEARCH("Interhealth Medical",M4)),"Medical Services",
        ISNUMBER(SEARCH("Ishaar",M4)),"Online Payment Service",
        ISNUMBER(SEARCH("ISO Arabia",M4)),"Certification",
        ISNUMBER(SEARCH("Khalid Saad Al Otaibi",M4)),"Trading Company",
        ISNUMBER(SEARCH("MERAS for Decoration",M4)),"Decor Company",
        ISNUMBER(SEARCH("Middle East Customs Clearance",M4)),"Customs",
        ISNUMBER(SEARCH("Ministry of Human Resources",M4)),"Government",
        ISNUMBER(SEARCH("My Business Services",M4)),"Service Provider",
        ISNUMBER(SEARCH("National Water Company",M4)),"Water Company",
        ISNUMBER(SEARCH("Rania Contracting",M4)),"Contracting",
        ISNUMBER(SEARCH("Rashid Ali Sheikh",M4)),"Shareholder",
        ISNUMBER(SEARCH("Sahab United Motors",M4)),"Car Show Room",
        ISNUMBER(SEARCH("Saud Mohammed Al Tamimi",M4)),"Shareholder",
        ISNUMBER(SEARCH("Saud Mohammed Tamimi",M4)),"Shareholder",
        ISNUMBER(SEARCH("Saudi Electric Company",M4)),"Electricity Company",
        ISNUMBER(SEARCH("Saudi Vetonit",M4)),"Building Materials",
        ISNUMBER(SEARCH("Shomoul Eng",M4)),"Safety",
        ISNUMBER(SEARCH("STC",M4)),"Telecom Company",
        ISNUMBER(SEARCH("The General Organization for Social Insurance",M4)),"Social Insurance Agency",
        ISNUMBER(SEARCH("TUV Rheinland",M4)),"Certification",
        ISNUMBER(SEARCH("Al Arabia Ceramic",M4)),"Building Materials",
        ISNUMBER(SEARCH("National Company for Building and Marketing",M4)),"Parent Company",
        ISNUMBER(SEARCH("Athraa Holding",M4)),"Holding Company",
        ISNUMBER(SEARCH("Al Rasan",M4)),"Contracting",
        ISNUMBER(SEARCH("Raboua Al Haid",M4)),"Trading Company",
        ISNUMBER(SEARCH("Al Jazeera Paint",M4)),"Manufacturer",
        ISNUMBER(SEARCH("Rania Works Contracting",M4)),"Contracting",
        ISNUMBER(SEARCH("Bandar Jarallah",M4)),"Trading Establishment",
        ISNUMBER(SEARCH("RS Infratec Saudi",M4)),"Same Company",
        ISNUMBER(SEARCH("Payroll",M4)),"Bank",
        ISNUMBER(SEARCH("Expatriate",M4)),"Government",
        ISNUMBER(SEARCH("Unknown Sender",M4)),"Unknown",
        TRUE,"Unknown"
    ),
    "-"
)</f>
        <v>Trading Company</v>
      </c>
      <c r="AA4" s="25" t="str" cm="1">
        <f t="array" ref="AA4">_xlfn.IFNA(
    _xlfn.IFS(
        Z4="Lender","Financing",
        Z4="Accounting","Accounting",
        Z4="Shareholder","Individual",
        Z4="Equipment Rental","Equipment Rental",
        Z4="Telecom Company","Telecom",
        Z4="Manufacturer","Manufacturer",
        Z4="Trading Company","Trading And Transport",
        Z4="Trading Establishment","Trading",
        Z4="Airlines","Airlines",
        Z4="Health Insurance","Insurance",
        Z4="Consultant","Consultant",
        Z4="Tax Collection","Government",
        Z4="Travel Agency","Travel Agency",
        Z4="Medical Services","Medical Center",
        Z4="Online Payment Service","Payment Facilitator",
        Z4="Certification","Safety",
        Z4="Decor Company","Design",
        Z4="Customs","Customs",
        Z4="Government","Government",
        Z4="Service Provider","Service Provider",
        Z4="Water Company","Water Company",
        Z4="Contracting","Contracting",
        Z4="Car Show Room","Car Trader",
        Z4="Electricity Company","Electricity Company",
        Z4="Building Materials","Building Materials",
        Z4="Safety","Safety",
        Z4="Social Insurance Agency","Government Fund",
        Z4="Parent Company","Holding Company",
        Z4="Holding Company","Holding Company",
        Z4="Same Company","Construction",
        Z4="Bank","Bank",
        Z4="Unknown","Unknown",
        TRUE,"-"
    ),
    "-"
)</f>
        <v>Trading And Transport</v>
      </c>
      <c r="AB4" s="25" t="str">
        <f t="shared" si="1"/>
        <v>-</v>
      </c>
      <c r="AC4" s="25" t="str" cm="1">
        <f t="array" ref="AC4">_xlfn.IFNA(
    _xlfn.IFS(
        Z4="Shareholder","Shareholder",
        Z4="Same Company","Same Company",
        Z4="Bank","Bank",
        Z4="Government","Government",
        Z4="Social Insurance Agency","Government",
        Z4="Parent Company","Customer",
        Z4="Lender","Lender",
        Z4="Unknown","Unknown",
        ISNUMBER(SEARCH("Abdullah Abdulkarim",M4)),"Service Provider",
        ISNUMBER(SEARCH("Abdullah Fahad",M4)),"Service Provider",
        ISNUMBER(SEARCH("Advanced Equipments",M4)),"Supplier",
        ISNUMBER(SEARCH("Al Banuk Sana",M4)),"Supplier",
        ISNUMBER(SEARCH("Al Khaleefa Factory",M4)),"Supplier",
        ISNUMBER(SEARCH("Al Saadeh Trading",M4)),"Supplier",
        ISNUMBER(SEARCH("Al Zaehaan",M4)),"Supplier",
        ISNUMBER(SEARCH("Ali Abdullah K Al Darwish",M4)),"Service Provider",
        ISNUMBER(SEARCH("Bupa Arabia",M4)),"Insurance Company",
        ISNUMBER(SEARCH("Dar Fahoosaat",M4)),"Service Provider",
        ISNUMBER(SEARCH("General Authority of Zakat",M4)),"Tax Authority",
        ISNUMBER(SEARCH("Gulf Voyager",M4)),"Service Provider",
        ISNUMBER(SEARCH("Hopeway Trading",M4)),"Supplier",
        ISNUMBER(SEARCH("Interhealth Medical",M4)),"Customer",
        ISNUMBER(SEARCH("Ishaar",M4)),"Service Provider",
        ISNUMBER(SEARCH("ISO Arabia",M4)),"Service Provider",
        ISNUMBER(SEARCH("Khalid Saad Al Otaibi",M4)),"Supplier",
        ISNUMBER(SEARCH("MERAS for Decoration",M4)),"Supplier",
        ISNUMBER(SEARCH("Middle East Customs Clearance",M4)),"Service Provider",
        ISNUMBER(SEARCH("Ministry of Human Resources",M4)),"Regulatory Agency",
        ISNUMBER(SEARCH("My Business Services",M4)),"Service Provider",
        ISNUMBER(SEARCH("National Water Company",M4)),"Utility Provider",
        ISNUMBER(SEARCH("Rania Contracting",M4)),"Supplier",
        ISNUMBER(SEARCH("Sahab United Motors",M4)),"Supplier",
        ISNUMBER(SEARCH("Saudi Electric Company",M4)),"Utility Provider",
        ISNUMBER(SEARCH("Saudi Vetonit",M4)),"Supplier",
        ISNUMBER(SEARCH("Shomoul Eng",M4)),"Service Provider",
        ISNUMBER(SEARCH("STC",M4)),"Utility Provider",
        ISNUMBER(SEARCH("The General Organization for Social Insurance",M4)),"Social Insurance Agency",
        ISNUMBER(SEARCH("TUV Rheinland",M4)),"Service Provider",
        ISNUMBER(SEARCH("Al Arabia Ceramic",M4)),"Supplier",
        ISNUMBER(SEARCH("National Company for Building",M4)),"Customer",
        ISNUMBER(SEARCH("Athraa Holding",M4)),"Customer",
        ISNUMBER(SEARCH("Al Rasan",M4)),"Supplier",
        ISNUMBER(SEARCH("Raboua Al Haid",M4)),"Customer",
        ISNUMBER(SEARCH("Al Jazeera Paint",M4)),"Supplier",
        ISNUMBER(SEARCH("Rania Works Contracting",M4)),"Supplier",
        ISNUMBER(SEARCH("Bandar Jarallah",M4)),"Supplier",
        TRUE,"Supplier"
    ),
    "-"
)</f>
        <v>Supplier</v>
      </c>
      <c r="AD4" s="25" t="str" cm="1">
        <f t="array" ref="AD4">_xlfn.IFNA(
    _xlfn.IFS(
        AC4="Same Company","High",
        AC4="Shareholder","High",
        AC4="Government","High",
        AC4="Bank","High",
        AC4="Lender","High",
        AC4="Unknown","Low",
        AC4="-","Low",
        TRUE,"Medium"
    ),
    "-"
)</f>
        <v>Medium</v>
      </c>
      <c r="AE4" s="25" t="str">
        <f t="shared" si="2"/>
        <v>-</v>
      </c>
      <c r="AF4" s="25" t="str" cm="1">
        <f t="array" ref="AF4">_xlfn.IFNA(
    _xlfn.IFS(
        K4="Credit",
            _xlfn.IFS(
                OR(ISNUMBER(SEARCH("Rejected",L4)),ISNUMBER(SEARCH("Returned",L4))),"Other Income",
                TRUE,"Revenue"
            ),
        K4="Debit",
            _xlfn.IFS(
                ISNUMBER(SEARCH("Payroll",L4)),"OPEX",
                ISNUMBER(SEARCH("Expatriate",L4)),"OPEX",
                ISNUMBER(SEARCH("Zakat",M4)),"ZATCA",
                ISNUMBER(SEARCH("General Organization for Social Insurance",M4)),"OPEX",
                ISNUMBER(SEARCH("Saudi Electric",M4)),"OPEX",
                ISNUMBER(SEARCH("STC",M4)),"OPEX",
                ISNUMBER(SEARCH("National Water",M4)),"OPEX",
                ISNUMBER(SEARCH("Bupa",M4)),"OPEX",
                ISNUMBER(SEARCH("Abdullah Abdulkarim",M4)),"OPEX",
                ISNUMBER(SEARCH("Abdullah Fahad",M4)),"OPEX",
                ISNUMBER(SEARCH("ISO Arabia",M4)),"OPEX",
                ISNUMBER(SEARCH("Gulf Voyager",M4)),"OPEX",
                ISNUMBER(SEARCH("Ministry",M4)),"OPEX",
                ISNUMBER(SEARCH("General Authority of Zakat",M4)),"ZATCA",
                ISNUMBER(SEARCH("Rejected",L4)),"Other Income",
                TRUE,"COGS"
            ),
        TRUE,"-"
    ),
    "-"
)</f>
        <v>COGS</v>
      </c>
      <c r="AG4" s="25" t="str" cm="1">
        <f t="array" ref="AG4">_xlfn.IFNA(
    _xlfn.IFS(
        ISNUMBER(SEARCH("Payroll",L4)),"Payroll",
        ISNUMBER(SEARCH("Expatriate",L4)),"Government Fees",
        ISNUMBER(SEARCH("Zakat",M4)),"Zakat",
        ISNUMBER(SEARCH("Social Insurance",M4)),"Social Insurance",
        ISNUMBER(SEARCH("Saudi Electric",M4)),"Electricity",
        ISNUMBER(SEARCH("STC",M4)),"Telecom",
        ISNUMBER(SEARCH("National Water",M4)),"Water",
        ISNUMBER(SEARCH("Bupa",M4)),"Insurance",
        ISNUMBER(SEARCH("Gulf Voyager",M4)),"Travel",
        ISNUMBER(SEARCH("Ministry",M4)),"Government Fees",
        ISNUMBER(SEARCH("Abdullah Abdulkarim",M4)),"Consulting",
        ISNUMBER(SEARCH("Abdullah Fahad",M4)),"Accounting",
        ISNUMBER(SEARCH("ISO Arabia",M4)),"Consulting",
        ISNUMBER(SEARCH("Rejected",L4)),"Refund",
        AF4="COGS","Inventory Purchase",
        AF4="Revenue","Revenue",
        AF4="OPEX","Other",
        AF4="ZATCA","Zakat",
        TRUE,"-"
    ),
    "-"
)</f>
        <v>Inventory Purchase</v>
      </c>
      <c r="AH4" s="25" t="str" cm="1">
        <f t="array" ref="AH4">_xlfn.IFNA(
    _xlfn.IFS(
        AF4="-","Low",
        AF4="Other","Low",
        TRUE,"Medium"
    ),
    "-"
)</f>
        <v>Medium</v>
      </c>
      <c r="AI4" s="25" t="str">
        <f t="shared" si="3"/>
        <v>-</v>
      </c>
    </row>
    <row r="5" spans="1:35" x14ac:dyDescent="0.25">
      <c r="A5" s="10">
        <v>1</v>
      </c>
      <c r="B5" s="10" t="s">
        <v>35</v>
      </c>
      <c r="C5" s="10" t="s">
        <v>36</v>
      </c>
      <c r="D5" s="10" t="s">
        <v>37</v>
      </c>
      <c r="E5" s="10" t="s">
        <v>38</v>
      </c>
      <c r="F5" s="11" t="s">
        <v>39</v>
      </c>
      <c r="G5" s="11" t="s">
        <v>40</v>
      </c>
      <c r="H5" s="12">
        <v>44930</v>
      </c>
      <c r="I5" s="20">
        <v>256804.95</v>
      </c>
      <c r="J5" s="20">
        <v>10851.15</v>
      </c>
      <c r="K5" s="10" t="s">
        <v>41</v>
      </c>
      <c r="L5" s="9" t="s">
        <v>56</v>
      </c>
      <c r="M5" s="9" t="s">
        <v>91</v>
      </c>
      <c r="N5" s="9" t="s">
        <v>92</v>
      </c>
      <c r="O5" s="9" t="s">
        <v>93</v>
      </c>
      <c r="P5" s="15">
        <v>44930</v>
      </c>
      <c r="Q5" s="9" t="s">
        <v>94</v>
      </c>
      <c r="R5" s="16">
        <v>10850</v>
      </c>
      <c r="S5" s="18">
        <v>1</v>
      </c>
      <c r="T5" s="18">
        <v>0.15</v>
      </c>
      <c r="U5" s="9" t="s">
        <v>55</v>
      </c>
      <c r="V5" s="24" t="str" cm="1">
        <f t="array" ref="V5">_xlfn.IFNA(
    _xlfn.IFS(
        ISNUMBER(SEARCH("Fast Outgoing Transfer",L5)),"Transfer",
        ISNUMBER(SEARCH("Incoming Fast Transfer",L5)),"Transfer",
        ISNUMBER(SEARCH("Outgoing International Transfer",L5)),"Transfer",
        ISNUMBER(SEARCH("Bill Payment",L5)),"SADAD",
        ISNUMBER(SEARCH("Payroll",L5)),"Payroll",
        ISNUMBER(SEARCH("Cash Deposit",L5)),"Cash",
        ISNUMBER(SEARCH("Internal Transfer",L5)),"Transfer",
        ISNUMBER(SEARCH("Expatriate Services Payment",L5)),"SADAD",
        ISNUMBER(SEARCH("Rejected",L5)),"Transfer"
    ),
    "-"
)</f>
        <v>Transfer</v>
      </c>
      <c r="W5" s="25" t="str" cm="1">
        <f t="array" ref="W5">_xlfn.IFNA(
    _xlfn.IFS(
        AND(V5="Transfer",ISNUMBER(SEARCH("RIYAD BANK",L5))),"External FI",
        AND(V5="Transfer",ISNUMBER(SEARCH("Al Ahli",L5))),"External FI",
        AND(V5="Transfer",ISNUMBER(SEARCH("CIB via",L5))),"Local Transfer",
        AND(V5="Transfer",ISNUMBER(SEARCH("CIB)",L5))),"Local Transfer",
        AND(V5="Transfer",ISNUMBER(SEARCH("SMRT",L5))),"Local Transfer",
        AND(V5="Transfer",ISNUMBER(SEARCH("Al Murabba",L5))),"Local Transfer",
        AND(V5="Transfer",ISNUMBER(SEARCH("Internal Transfer",L5))),"Same FI",
        AND(V5="Transfer",ISNUMBER(SEARCH("Rejected",L5))),"Failed",
        V5="SADAD",
            _xlfn.IFS(
                ISNUMBER(SEARCH("Expatriate",L5)),"Expat Fees",
                TRUE,"Online Payment"
            ),
        V5="Payroll","Payroll",
        V5="Cash","Deposit",
        TRUE,"-"
    ),
    "-"
)</f>
        <v>Local Transfer</v>
      </c>
      <c r="X5" s="25" t="str" cm="1">
        <f t="array" ref="X5">_xlfn.IFNA(
    _xlfn.IFS(
        V5="-","Low",
        W5="-","Low",
        TRUE,"High"
    ),
    "-"
)</f>
        <v>High</v>
      </c>
      <c r="Y5" s="25" t="str">
        <f t="shared" si="0"/>
        <v>-</v>
      </c>
      <c r="Z5" s="25" t="str" cm="1">
        <f t="array" ref="Z5">_xlfn.IFNA(
    _xlfn.IFS(
        ISNUMBER(SEARCH("Abdul Latif Jameel",M5)),"Lender",
        ISNUMBER(SEARCH("Abdullah Abdulkarim Al Sudais",M5)),"Accounting",
        ISNUMBER(SEARCH("Abdullah Fahad for Accounting",M5)),"Accounting",
        ISNUMBER(SEARCH("Abdullah Rashid Shaikh",M5)),"Shareholder",
        ISNUMBER(SEARCH("Advanced Equipments",M5)),"Equipment Rental",
        ISNUMBER(SEARCH("Al Banuk Sana",M5)),"Telecom Company",
        ISNUMBER(SEARCH("Al Khaleefa Factory",M5)),"Manufacturer",
        ISNUMBER(SEARCH("Al Saadeh Trading",M5)),"Trading Company",
        ISNUMBER(SEARCH("Al Zaehaan",M5)),"Trading Company",
        ISNUMBER(SEARCH("Ali Abdullah K Al Darwish",M5)),"Airlines",
        ISNUMBER(SEARCH("Bupa Arabia",M5)),"Health Insurance",
        ISNUMBER(SEARCH("Dar Fahoosaat",M5)),"Consultant",
        ISNUMBER(SEARCH("General Authority of Zakat",M5)),"Tax Collection",
        ISNUMBER(SEARCH("Gulf Voyager",M5)),"Travel Agency",
        ISNUMBER(SEARCH("Hopeway Trading",M5)),"Trading Company",
        ISNUMBER(SEARCH("Interhealth Medical",M5)),"Medical Services",
        ISNUMBER(SEARCH("Ishaar",M5)),"Online Payment Service",
        ISNUMBER(SEARCH("ISO Arabia",M5)),"Certification",
        ISNUMBER(SEARCH("Khalid Saad Al Otaibi",M5)),"Trading Company",
        ISNUMBER(SEARCH("MERAS for Decoration",M5)),"Decor Company",
        ISNUMBER(SEARCH("Middle East Customs Clearance",M5)),"Customs",
        ISNUMBER(SEARCH("Ministry of Human Resources",M5)),"Government",
        ISNUMBER(SEARCH("My Business Services",M5)),"Service Provider",
        ISNUMBER(SEARCH("National Water Company",M5)),"Water Company",
        ISNUMBER(SEARCH("Rania Contracting",M5)),"Contracting",
        ISNUMBER(SEARCH("Rashid Ali Sheikh",M5)),"Shareholder",
        ISNUMBER(SEARCH("Sahab United Motors",M5)),"Car Show Room",
        ISNUMBER(SEARCH("Saud Mohammed Al Tamimi",M5)),"Shareholder",
        ISNUMBER(SEARCH("Saud Mohammed Tamimi",M5)),"Shareholder",
        ISNUMBER(SEARCH("Saudi Electric Company",M5)),"Electricity Company",
        ISNUMBER(SEARCH("Saudi Vetonit",M5)),"Building Materials",
        ISNUMBER(SEARCH("Shomoul Eng",M5)),"Safety",
        ISNUMBER(SEARCH("STC",M5)),"Telecom Company",
        ISNUMBER(SEARCH("The General Organization for Social Insurance",M5)),"Social Insurance Agency",
        ISNUMBER(SEARCH("TUV Rheinland",M5)),"Certification",
        ISNUMBER(SEARCH("Al Arabia Ceramic",M5)),"Building Materials",
        ISNUMBER(SEARCH("National Company for Building and Marketing",M5)),"Parent Company",
        ISNUMBER(SEARCH("Athraa Holding",M5)),"Holding Company",
        ISNUMBER(SEARCH("Al Rasan",M5)),"Contracting",
        ISNUMBER(SEARCH("Raboua Al Haid",M5)),"Trading Company",
        ISNUMBER(SEARCH("Al Jazeera Paint",M5)),"Manufacturer",
        ISNUMBER(SEARCH("Rania Works Contracting",M5)),"Contracting",
        ISNUMBER(SEARCH("Bandar Jarallah",M5)),"Trading Establishment",
        ISNUMBER(SEARCH("RS Infratec Saudi",M5)),"Same Company",
        ISNUMBER(SEARCH("Payroll",M5)),"Bank",
        ISNUMBER(SEARCH("Expatriate",M5)),"Government",
        ISNUMBER(SEARCH("Unknown Sender",M5)),"Unknown",
        TRUE,"Unknown"
    ),
    "-"
)</f>
        <v>Airlines</v>
      </c>
      <c r="AA5" s="25" t="str" cm="1">
        <f t="array" ref="AA5">_xlfn.IFNA(
    _xlfn.IFS(
        Z5="Lender","Financing",
        Z5="Accounting","Accounting",
        Z5="Shareholder","Individual",
        Z5="Equipment Rental","Equipment Rental",
        Z5="Telecom Company","Telecom",
        Z5="Manufacturer","Manufacturer",
        Z5="Trading Company","Trading And Transport",
        Z5="Trading Establishment","Trading",
        Z5="Airlines","Airlines",
        Z5="Health Insurance","Insurance",
        Z5="Consultant","Consultant",
        Z5="Tax Collection","Government",
        Z5="Travel Agency","Travel Agency",
        Z5="Medical Services","Medical Center",
        Z5="Online Payment Service","Payment Facilitator",
        Z5="Certification","Safety",
        Z5="Decor Company","Design",
        Z5="Customs","Customs",
        Z5="Government","Government",
        Z5="Service Provider","Service Provider",
        Z5="Water Company","Water Company",
        Z5="Contracting","Contracting",
        Z5="Car Show Room","Car Trader",
        Z5="Electricity Company","Electricity Company",
        Z5="Building Materials","Building Materials",
        Z5="Safety","Safety",
        Z5="Social Insurance Agency","Government Fund",
        Z5="Parent Company","Holding Company",
        Z5="Holding Company","Holding Company",
        Z5="Same Company","Construction",
        Z5="Bank","Bank",
        Z5="Unknown","Unknown",
        TRUE,"-"
    ),
    "-"
)</f>
        <v>Airlines</v>
      </c>
      <c r="AB5" s="25" t="str">
        <f t="shared" si="1"/>
        <v>-</v>
      </c>
      <c r="AC5" s="25" t="str" cm="1">
        <f t="array" ref="AC5">_xlfn.IFNA(
    _xlfn.IFS(
        Z5="Shareholder","Shareholder",
        Z5="Same Company","Same Company",
        Z5="Bank","Bank",
        Z5="Government","Government",
        Z5="Social Insurance Agency","Government",
        Z5="Parent Company","Customer",
        Z5="Lender","Lender",
        Z5="Unknown","Unknown",
        ISNUMBER(SEARCH("Abdullah Abdulkarim",M5)),"Service Provider",
        ISNUMBER(SEARCH("Abdullah Fahad",M5)),"Service Provider",
        ISNUMBER(SEARCH("Advanced Equipments",M5)),"Supplier",
        ISNUMBER(SEARCH("Al Banuk Sana",M5)),"Supplier",
        ISNUMBER(SEARCH("Al Khaleefa Factory",M5)),"Supplier",
        ISNUMBER(SEARCH("Al Saadeh Trading",M5)),"Supplier",
        ISNUMBER(SEARCH("Al Zaehaan",M5)),"Supplier",
        ISNUMBER(SEARCH("Ali Abdullah K Al Darwish",M5)),"Service Provider",
        ISNUMBER(SEARCH("Bupa Arabia",M5)),"Insurance Company",
        ISNUMBER(SEARCH("Dar Fahoosaat",M5)),"Service Provider",
        ISNUMBER(SEARCH("General Authority of Zakat",M5)),"Tax Authority",
        ISNUMBER(SEARCH("Gulf Voyager",M5)),"Service Provider",
        ISNUMBER(SEARCH("Hopeway Trading",M5)),"Supplier",
        ISNUMBER(SEARCH("Interhealth Medical",M5)),"Customer",
        ISNUMBER(SEARCH("Ishaar",M5)),"Service Provider",
        ISNUMBER(SEARCH("ISO Arabia",M5)),"Service Provider",
        ISNUMBER(SEARCH("Khalid Saad Al Otaibi",M5)),"Supplier",
        ISNUMBER(SEARCH("MERAS for Decoration",M5)),"Supplier",
        ISNUMBER(SEARCH("Middle East Customs Clearance",M5)),"Service Provider",
        ISNUMBER(SEARCH("Ministry of Human Resources",M5)),"Regulatory Agency",
        ISNUMBER(SEARCH("My Business Services",M5)),"Service Provider",
        ISNUMBER(SEARCH("National Water Company",M5)),"Utility Provider",
        ISNUMBER(SEARCH("Rania Contracting",M5)),"Supplier",
        ISNUMBER(SEARCH("Sahab United Motors",M5)),"Supplier",
        ISNUMBER(SEARCH("Saudi Electric Company",M5)),"Utility Provider",
        ISNUMBER(SEARCH("Saudi Vetonit",M5)),"Supplier",
        ISNUMBER(SEARCH("Shomoul Eng",M5)),"Service Provider",
        ISNUMBER(SEARCH("STC",M5)),"Utility Provider",
        ISNUMBER(SEARCH("The General Organization for Social Insurance",M5)),"Social Insurance Agency",
        ISNUMBER(SEARCH("TUV Rheinland",M5)),"Service Provider",
        ISNUMBER(SEARCH("Al Arabia Ceramic",M5)),"Supplier",
        ISNUMBER(SEARCH("National Company for Building",M5)),"Customer",
        ISNUMBER(SEARCH("Athraa Holding",M5)),"Customer",
        ISNUMBER(SEARCH("Al Rasan",M5)),"Supplier",
        ISNUMBER(SEARCH("Raboua Al Haid",M5)),"Customer",
        ISNUMBER(SEARCH("Al Jazeera Paint",M5)),"Supplier",
        ISNUMBER(SEARCH("Rania Works Contracting",M5)),"Supplier",
        ISNUMBER(SEARCH("Bandar Jarallah",M5)),"Supplier",
        TRUE,"Supplier"
    ),
    "-"
)</f>
        <v>Service Provider</v>
      </c>
      <c r="AD5" s="25" t="str" cm="1">
        <f t="array" ref="AD5">_xlfn.IFNA(
    _xlfn.IFS(
        AC5="Same Company","High",
        AC5="Shareholder","High",
        AC5="Government","High",
        AC5="Bank","High",
        AC5="Lender","High",
        AC5="Unknown","Low",
        AC5="-","Low",
        TRUE,"Medium"
    ),
    "-"
)</f>
        <v>Medium</v>
      </c>
      <c r="AE5" s="25" t="str">
        <f t="shared" si="2"/>
        <v>-</v>
      </c>
      <c r="AF5" s="25" t="str" cm="1">
        <f t="array" ref="AF5">_xlfn.IFNA(
    _xlfn.IFS(
        K5="Credit",
            _xlfn.IFS(
                OR(ISNUMBER(SEARCH("Rejected",L5)),ISNUMBER(SEARCH("Returned",L5))),"Other Income",
                TRUE,"Revenue"
            ),
        K5="Debit",
            _xlfn.IFS(
                ISNUMBER(SEARCH("Payroll",L5)),"OPEX",
                ISNUMBER(SEARCH("Expatriate",L5)),"OPEX",
                ISNUMBER(SEARCH("Zakat",M5)),"ZATCA",
                ISNUMBER(SEARCH("General Organization for Social Insurance",M5)),"OPEX",
                ISNUMBER(SEARCH("Saudi Electric",M5)),"OPEX",
                ISNUMBER(SEARCH("STC",M5)),"OPEX",
                ISNUMBER(SEARCH("National Water",M5)),"OPEX",
                ISNUMBER(SEARCH("Bupa",M5)),"OPEX",
                ISNUMBER(SEARCH("Abdullah Abdulkarim",M5)),"OPEX",
                ISNUMBER(SEARCH("Abdullah Fahad",M5)),"OPEX",
                ISNUMBER(SEARCH("ISO Arabia",M5)),"OPEX",
                ISNUMBER(SEARCH("Gulf Voyager",M5)),"OPEX",
                ISNUMBER(SEARCH("Ministry",M5)),"OPEX",
                ISNUMBER(SEARCH("General Authority of Zakat",M5)),"ZATCA",
                ISNUMBER(SEARCH("Rejected",L5)),"Other Income",
                TRUE,"COGS"
            ),
        TRUE,"-"
    ),
    "-"
)</f>
        <v>COGS</v>
      </c>
      <c r="AG5" s="25" t="str" cm="1">
        <f t="array" ref="AG5">_xlfn.IFNA(
    _xlfn.IFS(
        ISNUMBER(SEARCH("Payroll",L5)),"Payroll",
        ISNUMBER(SEARCH("Expatriate",L5)),"Government Fees",
        ISNUMBER(SEARCH("Zakat",M5)),"Zakat",
        ISNUMBER(SEARCH("Social Insurance",M5)),"Social Insurance",
        ISNUMBER(SEARCH("Saudi Electric",M5)),"Electricity",
        ISNUMBER(SEARCH("STC",M5)),"Telecom",
        ISNUMBER(SEARCH("National Water",M5)),"Water",
        ISNUMBER(SEARCH("Bupa",M5)),"Insurance",
        ISNUMBER(SEARCH("Gulf Voyager",M5)),"Travel",
        ISNUMBER(SEARCH("Ministry",M5)),"Government Fees",
        ISNUMBER(SEARCH("Abdullah Abdulkarim",M5)),"Consulting",
        ISNUMBER(SEARCH("Abdullah Fahad",M5)),"Accounting",
        ISNUMBER(SEARCH("ISO Arabia",M5)),"Consulting",
        ISNUMBER(SEARCH("Rejected",L5)),"Refund",
        AF5="COGS","Inventory Purchase",
        AF5="Revenue","Revenue",
        AF5="OPEX","Other",
        AF5="ZATCA","Zakat",
        TRUE,"-"
    ),
    "-"
)</f>
        <v>Inventory Purchase</v>
      </c>
      <c r="AH5" s="25" t="str" cm="1">
        <f t="array" ref="AH5">_xlfn.IFNA(
    _xlfn.IFS(
        AF5="-","Low",
        AF5="Other","Low",
        TRUE,"Medium"
    ),
    "-"
)</f>
        <v>Medium</v>
      </c>
      <c r="AI5" s="25" t="str">
        <f t="shared" si="3"/>
        <v>-</v>
      </c>
    </row>
    <row r="6" spans="1:35" x14ac:dyDescent="0.25">
      <c r="A6" s="10">
        <v>1</v>
      </c>
      <c r="B6" s="10" t="s">
        <v>35</v>
      </c>
      <c r="C6" s="10" t="s">
        <v>36</v>
      </c>
      <c r="D6" s="10" t="s">
        <v>37</v>
      </c>
      <c r="E6" s="10" t="s">
        <v>38</v>
      </c>
      <c r="F6" s="11" t="s">
        <v>39</v>
      </c>
      <c r="G6" s="11" t="s">
        <v>40</v>
      </c>
      <c r="H6" s="12">
        <v>45033</v>
      </c>
      <c r="I6" s="20">
        <v>55282.54</v>
      </c>
      <c r="J6" s="20">
        <v>104120.03</v>
      </c>
      <c r="K6" s="10" t="s">
        <v>41</v>
      </c>
      <c r="L6" s="9" t="s">
        <v>95</v>
      </c>
      <c r="M6" s="9" t="s">
        <v>96</v>
      </c>
      <c r="N6" s="9">
        <v>3501844</v>
      </c>
      <c r="O6" s="9" t="s">
        <v>44</v>
      </c>
      <c r="P6" s="15">
        <v>45033</v>
      </c>
      <c r="Q6" s="9" t="s">
        <v>97</v>
      </c>
      <c r="R6" s="16">
        <v>104120.03</v>
      </c>
      <c r="U6" s="9" t="s">
        <v>46</v>
      </c>
      <c r="V6" s="24" t="str" cm="1">
        <f t="array" ref="V6">_xlfn.IFNA(
    _xlfn.IFS(
        ISNUMBER(SEARCH("Fast Outgoing Transfer",L6)),"Transfer",
        ISNUMBER(SEARCH("Incoming Fast Transfer",L6)),"Transfer",
        ISNUMBER(SEARCH("Outgoing International Transfer",L6)),"Transfer",
        ISNUMBER(SEARCH("Bill Payment",L6)),"SADAD",
        ISNUMBER(SEARCH("Payroll",L6)),"Payroll",
        ISNUMBER(SEARCH("Cash Deposit",L6)),"Cash",
        ISNUMBER(SEARCH("Internal Transfer",L6)),"Transfer",
        ISNUMBER(SEARCH("Expatriate Services Payment",L6)),"SADAD",
        ISNUMBER(SEARCH("Rejected",L6)),"Transfer"
    ),
    "-"
)</f>
        <v>SADAD</v>
      </c>
      <c r="W6" s="25" t="str" cm="1">
        <f t="array" ref="W6">_xlfn.IFNA(
    _xlfn.IFS(
        AND(V6="Transfer",ISNUMBER(SEARCH("RIYAD BANK",L6))),"External FI",
        AND(V6="Transfer",ISNUMBER(SEARCH("Al Ahli",L6))),"External FI",
        AND(V6="Transfer",ISNUMBER(SEARCH("CIB via",L6))),"Local Transfer",
        AND(V6="Transfer",ISNUMBER(SEARCH("CIB)",L6))),"Local Transfer",
        AND(V6="Transfer",ISNUMBER(SEARCH("SMRT",L6))),"Local Transfer",
        AND(V6="Transfer",ISNUMBER(SEARCH("Al Murabba",L6))),"Local Transfer",
        AND(V6="Transfer",ISNUMBER(SEARCH("Internal Transfer",L6))),"Same FI",
        AND(V6="Transfer",ISNUMBER(SEARCH("Rejected",L6))),"Failed",
        V6="SADAD",
            _xlfn.IFS(
                ISNUMBER(SEARCH("Expatriate",L6)),"Expat Fees",
                TRUE,"Online Payment"
            ),
        V6="Payroll","Payroll",
        V6="Cash","Deposit",
        TRUE,"-"
    ),
    "-"
)</f>
        <v>Online Payment</v>
      </c>
      <c r="X6" s="25" t="str" cm="1">
        <f t="array" ref="X6">_xlfn.IFNA(
    _xlfn.IFS(
        V6="-","Low",
        W6="-","Low",
        TRUE,"High"
    ),
    "-"
)</f>
        <v>High</v>
      </c>
      <c r="Y6" s="25" t="str">
        <f t="shared" si="0"/>
        <v>-</v>
      </c>
      <c r="Z6" s="25" t="str" cm="1">
        <f t="array" ref="Z6">_xlfn.IFNA(
    _xlfn.IFS(
        ISNUMBER(SEARCH("Abdul Latif Jameel",M6)),"Lender",
        ISNUMBER(SEARCH("Abdullah Abdulkarim Al Sudais",M6)),"Accounting",
        ISNUMBER(SEARCH("Abdullah Fahad for Accounting",M6)),"Accounting",
        ISNUMBER(SEARCH("Abdullah Rashid Shaikh",M6)),"Shareholder",
        ISNUMBER(SEARCH("Advanced Equipments",M6)),"Equipment Rental",
        ISNUMBER(SEARCH("Al Banuk Sana",M6)),"Telecom Company",
        ISNUMBER(SEARCH("Al Khaleefa Factory",M6)),"Manufacturer",
        ISNUMBER(SEARCH("Al Saadeh Trading",M6)),"Trading Company",
        ISNUMBER(SEARCH("Al Zaehaan",M6)),"Trading Company",
        ISNUMBER(SEARCH("Ali Abdullah K Al Darwish",M6)),"Airlines",
        ISNUMBER(SEARCH("Bupa Arabia",M6)),"Health Insurance",
        ISNUMBER(SEARCH("Dar Fahoosaat",M6)),"Consultant",
        ISNUMBER(SEARCH("General Authority of Zakat",M6)),"Tax Collection",
        ISNUMBER(SEARCH("Gulf Voyager",M6)),"Travel Agency",
        ISNUMBER(SEARCH("Hopeway Trading",M6)),"Trading Company",
        ISNUMBER(SEARCH("Interhealth Medical",M6)),"Medical Services",
        ISNUMBER(SEARCH("Ishaar",M6)),"Online Payment Service",
        ISNUMBER(SEARCH("ISO Arabia",M6)),"Certification",
        ISNUMBER(SEARCH("Khalid Saad Al Otaibi",M6)),"Trading Company",
        ISNUMBER(SEARCH("MERAS for Decoration",M6)),"Decor Company",
        ISNUMBER(SEARCH("Middle East Customs Clearance",M6)),"Customs",
        ISNUMBER(SEARCH("Ministry of Human Resources",M6)),"Government",
        ISNUMBER(SEARCH("My Business Services",M6)),"Service Provider",
        ISNUMBER(SEARCH("National Water Company",M6)),"Water Company",
        ISNUMBER(SEARCH("Rania Contracting",M6)),"Contracting",
        ISNUMBER(SEARCH("Rashid Ali Sheikh",M6)),"Shareholder",
        ISNUMBER(SEARCH("Sahab United Motors",M6)),"Car Show Room",
        ISNUMBER(SEARCH("Saud Mohammed Al Tamimi",M6)),"Shareholder",
        ISNUMBER(SEARCH("Saud Mohammed Tamimi",M6)),"Shareholder",
        ISNUMBER(SEARCH("Saudi Electric Company",M6)),"Electricity Company",
        ISNUMBER(SEARCH("Saudi Vetonit",M6)),"Building Materials",
        ISNUMBER(SEARCH("Shomoul Eng",M6)),"Safety",
        ISNUMBER(SEARCH("STC",M6)),"Telecom Company",
        ISNUMBER(SEARCH("The General Organization for Social Insurance",M6)),"Social Insurance Agency",
        ISNUMBER(SEARCH("TUV Rheinland",M6)),"Certification",
        ISNUMBER(SEARCH("Al Arabia Ceramic",M6)),"Building Materials",
        ISNUMBER(SEARCH("National Company for Building and Marketing",M6)),"Parent Company",
        ISNUMBER(SEARCH("Athraa Holding",M6)),"Holding Company",
        ISNUMBER(SEARCH("Al Rasan",M6)),"Contracting",
        ISNUMBER(SEARCH("Raboua Al Haid",M6)),"Trading Company",
        ISNUMBER(SEARCH("Al Jazeera Paint",M6)),"Manufacturer",
        ISNUMBER(SEARCH("Rania Works Contracting",M6)),"Contracting",
        ISNUMBER(SEARCH("Bandar Jarallah",M6)),"Trading Establishment",
        ISNUMBER(SEARCH("RS Infratec Saudi",M6)),"Same Company",
        ISNUMBER(SEARCH("Payroll",M6)),"Bank",
        ISNUMBER(SEARCH("Expatriate",M6)),"Government",
        ISNUMBER(SEARCH("Unknown Sender",M6)),"Unknown",
        TRUE,"Unknown"
    ),
    "-"
)</f>
        <v>Health Insurance</v>
      </c>
      <c r="AA6" s="25" t="str" cm="1">
        <f t="array" ref="AA6">_xlfn.IFNA(
    _xlfn.IFS(
        Z6="Lender","Financing",
        Z6="Accounting","Accounting",
        Z6="Shareholder","Individual",
        Z6="Equipment Rental","Equipment Rental",
        Z6="Telecom Company","Telecom",
        Z6="Manufacturer","Manufacturer",
        Z6="Trading Company","Trading And Transport",
        Z6="Trading Establishment","Trading",
        Z6="Airlines","Airlines",
        Z6="Health Insurance","Insurance",
        Z6="Consultant","Consultant",
        Z6="Tax Collection","Government",
        Z6="Travel Agency","Travel Agency",
        Z6="Medical Services","Medical Center",
        Z6="Online Payment Service","Payment Facilitator",
        Z6="Certification","Safety",
        Z6="Decor Company","Design",
        Z6="Customs","Customs",
        Z6="Government","Government",
        Z6="Service Provider","Service Provider",
        Z6="Water Company","Water Company",
        Z6="Contracting","Contracting",
        Z6="Car Show Room","Car Trader",
        Z6="Electricity Company","Electricity Company",
        Z6="Building Materials","Building Materials",
        Z6="Safety","Safety",
        Z6="Social Insurance Agency","Government Fund",
        Z6="Parent Company","Holding Company",
        Z6="Holding Company","Holding Company",
        Z6="Same Company","Construction",
        Z6="Bank","Bank",
        Z6="Unknown","Unknown",
        TRUE,"-"
    ),
    "-"
)</f>
        <v>Insurance</v>
      </c>
      <c r="AB6" s="25" t="str">
        <f t="shared" si="1"/>
        <v>-</v>
      </c>
      <c r="AC6" s="25" t="str" cm="1">
        <f t="array" ref="AC6">_xlfn.IFNA(
    _xlfn.IFS(
        Z6="Shareholder","Shareholder",
        Z6="Same Company","Same Company",
        Z6="Bank","Bank",
        Z6="Government","Government",
        Z6="Social Insurance Agency","Government",
        Z6="Parent Company","Customer",
        Z6="Lender","Lender",
        Z6="Unknown","Unknown",
        ISNUMBER(SEARCH("Abdullah Abdulkarim",M6)),"Service Provider",
        ISNUMBER(SEARCH("Abdullah Fahad",M6)),"Service Provider",
        ISNUMBER(SEARCH("Advanced Equipments",M6)),"Supplier",
        ISNUMBER(SEARCH("Al Banuk Sana",M6)),"Supplier",
        ISNUMBER(SEARCH("Al Khaleefa Factory",M6)),"Supplier",
        ISNUMBER(SEARCH("Al Saadeh Trading",M6)),"Supplier",
        ISNUMBER(SEARCH("Al Zaehaan",M6)),"Supplier",
        ISNUMBER(SEARCH("Ali Abdullah K Al Darwish",M6)),"Service Provider",
        ISNUMBER(SEARCH("Bupa Arabia",M6)),"Insurance Company",
        ISNUMBER(SEARCH("Dar Fahoosaat",M6)),"Service Provider",
        ISNUMBER(SEARCH("General Authority of Zakat",M6)),"Tax Authority",
        ISNUMBER(SEARCH("Gulf Voyager",M6)),"Service Provider",
        ISNUMBER(SEARCH("Hopeway Trading",M6)),"Supplier",
        ISNUMBER(SEARCH("Interhealth Medical",M6)),"Customer",
        ISNUMBER(SEARCH("Ishaar",M6)),"Service Provider",
        ISNUMBER(SEARCH("ISO Arabia",M6)),"Service Provider",
        ISNUMBER(SEARCH("Khalid Saad Al Otaibi",M6)),"Supplier",
        ISNUMBER(SEARCH("MERAS for Decoration",M6)),"Supplier",
        ISNUMBER(SEARCH("Middle East Customs Clearance",M6)),"Service Provider",
        ISNUMBER(SEARCH("Ministry of Human Resources",M6)),"Regulatory Agency",
        ISNUMBER(SEARCH("My Business Services",M6)),"Service Provider",
        ISNUMBER(SEARCH("National Water Company",M6)),"Utility Provider",
        ISNUMBER(SEARCH("Rania Contracting",M6)),"Supplier",
        ISNUMBER(SEARCH("Sahab United Motors",M6)),"Supplier",
        ISNUMBER(SEARCH("Saudi Electric Company",M6)),"Utility Provider",
        ISNUMBER(SEARCH("Saudi Vetonit",M6)),"Supplier",
        ISNUMBER(SEARCH("Shomoul Eng",M6)),"Service Provider",
        ISNUMBER(SEARCH("STC",M6)),"Utility Provider",
        ISNUMBER(SEARCH("The General Organization for Social Insurance",M6)),"Social Insurance Agency",
        ISNUMBER(SEARCH("TUV Rheinland",M6)),"Service Provider",
        ISNUMBER(SEARCH("Al Arabia Ceramic",M6)),"Supplier",
        ISNUMBER(SEARCH("National Company for Building",M6)),"Customer",
        ISNUMBER(SEARCH("Athraa Holding",M6)),"Customer",
        ISNUMBER(SEARCH("Al Rasan",M6)),"Supplier",
        ISNUMBER(SEARCH("Raboua Al Haid",M6)),"Customer",
        ISNUMBER(SEARCH("Al Jazeera Paint",M6)),"Supplier",
        ISNUMBER(SEARCH("Rania Works Contracting",M6)),"Supplier",
        ISNUMBER(SEARCH("Bandar Jarallah",M6)),"Supplier",
        TRUE,"Supplier"
    ),
    "-"
)</f>
        <v>Insurance Company</v>
      </c>
      <c r="AD6" s="25" t="str" cm="1">
        <f t="array" ref="AD6">_xlfn.IFNA(
    _xlfn.IFS(
        AC6="Same Company","High",
        AC6="Shareholder","High",
        AC6="Government","High",
        AC6="Bank","High",
        AC6="Lender","High",
        AC6="Unknown","Low",
        AC6="-","Low",
        TRUE,"Medium"
    ),
    "-"
)</f>
        <v>Medium</v>
      </c>
      <c r="AE6" s="25" t="str">
        <f t="shared" si="2"/>
        <v>-</v>
      </c>
      <c r="AF6" s="25" t="str" cm="1">
        <f t="array" ref="AF6">_xlfn.IFNA(
    _xlfn.IFS(
        K6="Credit",
            _xlfn.IFS(
                OR(ISNUMBER(SEARCH("Rejected",L6)),ISNUMBER(SEARCH("Returned",L6))),"Other Income",
                TRUE,"Revenue"
            ),
        K6="Debit",
            _xlfn.IFS(
                ISNUMBER(SEARCH("Payroll",L6)),"OPEX",
                ISNUMBER(SEARCH("Expatriate",L6)),"OPEX",
                ISNUMBER(SEARCH("Zakat",M6)),"ZATCA",
                ISNUMBER(SEARCH("General Organization for Social Insurance",M6)),"OPEX",
                ISNUMBER(SEARCH("Saudi Electric",M6)),"OPEX",
                ISNUMBER(SEARCH("STC",M6)),"OPEX",
                ISNUMBER(SEARCH("National Water",M6)),"OPEX",
                ISNUMBER(SEARCH("Bupa",M6)),"OPEX",
                ISNUMBER(SEARCH("Abdullah Abdulkarim",M6)),"OPEX",
                ISNUMBER(SEARCH("Abdullah Fahad",M6)),"OPEX",
                ISNUMBER(SEARCH("ISO Arabia",M6)),"OPEX",
                ISNUMBER(SEARCH("Gulf Voyager",M6)),"OPEX",
                ISNUMBER(SEARCH("Ministry",M6)),"OPEX",
                ISNUMBER(SEARCH("General Authority of Zakat",M6)),"ZATCA",
                ISNUMBER(SEARCH("Rejected",L6)),"Other Income",
                TRUE,"COGS"
            ),
        TRUE,"-"
    ),
    "-"
)</f>
        <v>OPEX</v>
      </c>
      <c r="AG6" s="25" t="str" cm="1">
        <f t="array" ref="AG6">_xlfn.IFNA(
    _xlfn.IFS(
        ISNUMBER(SEARCH("Payroll",L6)),"Payroll",
        ISNUMBER(SEARCH("Expatriate",L6)),"Government Fees",
        ISNUMBER(SEARCH("Zakat",M6)),"Zakat",
        ISNUMBER(SEARCH("Social Insurance",M6)),"Social Insurance",
        ISNUMBER(SEARCH("Saudi Electric",M6)),"Electricity",
        ISNUMBER(SEARCH("STC",M6)),"Telecom",
        ISNUMBER(SEARCH("National Water",M6)),"Water",
        ISNUMBER(SEARCH("Bupa",M6)),"Insurance",
        ISNUMBER(SEARCH("Gulf Voyager",M6)),"Travel",
        ISNUMBER(SEARCH("Ministry",M6)),"Government Fees",
        ISNUMBER(SEARCH("Abdullah Abdulkarim",M6)),"Consulting",
        ISNUMBER(SEARCH("Abdullah Fahad",M6)),"Accounting",
        ISNUMBER(SEARCH("ISO Arabia",M6)),"Consulting",
        ISNUMBER(SEARCH("Rejected",L6)),"Refund",
        AF6="COGS","Inventory Purchase",
        AF6="Revenue","Revenue",
        AF6="OPEX","Other",
        AF6="ZATCA","Zakat",
        TRUE,"-"
    ),
    "-"
)</f>
        <v>Insurance</v>
      </c>
      <c r="AH6" s="25" t="str" cm="1">
        <f t="array" ref="AH6">_xlfn.IFNA(
    _xlfn.IFS(
        AF6="-","Low",
        AF6="Other","Low",
        TRUE,"Medium"
    ),
    "-"
)</f>
        <v>Medium</v>
      </c>
      <c r="AI6" s="25" t="str">
        <f t="shared" si="3"/>
        <v>-</v>
      </c>
    </row>
    <row r="7" spans="1:35" x14ac:dyDescent="0.25">
      <c r="A7" s="10">
        <v>1</v>
      </c>
      <c r="B7" s="10" t="s">
        <v>35</v>
      </c>
      <c r="C7" s="10" t="s">
        <v>36</v>
      </c>
      <c r="D7" s="10" t="s">
        <v>37</v>
      </c>
      <c r="E7" s="10" t="s">
        <v>38</v>
      </c>
      <c r="F7" s="11" t="s">
        <v>39</v>
      </c>
      <c r="G7" s="11" t="s">
        <v>40</v>
      </c>
      <c r="H7" s="12">
        <v>45022</v>
      </c>
      <c r="I7" s="20">
        <v>152826.98000000001</v>
      </c>
      <c r="J7" s="20">
        <v>5001.1499999999996</v>
      </c>
      <c r="K7" s="10" t="s">
        <v>41</v>
      </c>
      <c r="L7" s="9" t="s">
        <v>56</v>
      </c>
      <c r="M7" s="9" t="s">
        <v>112</v>
      </c>
      <c r="N7" s="9" t="s">
        <v>113</v>
      </c>
      <c r="O7" s="9" t="s">
        <v>114</v>
      </c>
      <c r="P7" s="15">
        <v>45022</v>
      </c>
      <c r="Q7" s="9" t="s">
        <v>115</v>
      </c>
      <c r="R7" s="16">
        <v>5000</v>
      </c>
      <c r="S7" s="18">
        <v>1</v>
      </c>
      <c r="T7" s="18">
        <v>0.15</v>
      </c>
      <c r="U7" s="9" t="s">
        <v>55</v>
      </c>
      <c r="V7" s="24" t="str" cm="1">
        <f t="array" ref="V7">_xlfn.IFNA(
    _xlfn.IFS(
        ISNUMBER(SEARCH("Fast Outgoing Transfer",L7)),"Transfer",
        ISNUMBER(SEARCH("Incoming Fast Transfer",L7)),"Transfer",
        ISNUMBER(SEARCH("Outgoing International Transfer",L7)),"Transfer",
        ISNUMBER(SEARCH("Bill Payment",L7)),"SADAD",
        ISNUMBER(SEARCH("Payroll",L7)),"Payroll",
        ISNUMBER(SEARCH("Cash Deposit",L7)),"Cash",
        ISNUMBER(SEARCH("Internal Transfer",L7)),"Transfer",
        ISNUMBER(SEARCH("Expatriate Services Payment",L7)),"SADAD",
        ISNUMBER(SEARCH("Rejected",L7)),"Transfer"
    ),
    "-"
)</f>
        <v>Transfer</v>
      </c>
      <c r="W7" s="25" t="str" cm="1">
        <f t="array" ref="W7">_xlfn.IFNA(
    _xlfn.IFS(
        AND(V7="Transfer",ISNUMBER(SEARCH("RIYAD BANK",L7))),"External FI",
        AND(V7="Transfer",ISNUMBER(SEARCH("Al Ahli",L7))),"External FI",
        AND(V7="Transfer",ISNUMBER(SEARCH("CIB via",L7))),"Local Transfer",
        AND(V7="Transfer",ISNUMBER(SEARCH("CIB)",L7))),"Local Transfer",
        AND(V7="Transfer",ISNUMBER(SEARCH("SMRT",L7))),"Local Transfer",
        AND(V7="Transfer",ISNUMBER(SEARCH("Al Murabba",L7))),"Local Transfer",
        AND(V7="Transfer",ISNUMBER(SEARCH("Internal Transfer",L7))),"Same FI",
        AND(V7="Transfer",ISNUMBER(SEARCH("Rejected",L7))),"Failed",
        V7="SADAD",
            _xlfn.IFS(
                ISNUMBER(SEARCH("Expatriate",L7)),"Expat Fees",
                TRUE,"Online Payment"
            ),
        V7="Payroll","Payroll",
        V7="Cash","Deposit",
        TRUE,"-"
    ),
    "-"
)</f>
        <v>Local Transfer</v>
      </c>
      <c r="X7" s="25" t="str" cm="1">
        <f t="array" ref="X7">_xlfn.IFNA(
    _xlfn.IFS(
        V7="-","Low",
        W7="-","Low",
        TRUE,"High"
    ),
    "-"
)</f>
        <v>High</v>
      </c>
      <c r="Y7" s="25" t="str">
        <f t="shared" si="0"/>
        <v>-</v>
      </c>
      <c r="Z7" s="25" t="str" cm="1">
        <f t="array" ref="Z7">_xlfn.IFNA(
    _xlfn.IFS(
        ISNUMBER(SEARCH("Abdul Latif Jameel",M7)),"Lender",
        ISNUMBER(SEARCH("Abdullah Abdulkarim Al Sudais",M7)),"Accounting",
        ISNUMBER(SEARCH("Abdullah Fahad for Accounting",M7)),"Accounting",
        ISNUMBER(SEARCH("Abdullah Rashid Shaikh",M7)),"Shareholder",
        ISNUMBER(SEARCH("Advanced Equipments",M7)),"Equipment Rental",
        ISNUMBER(SEARCH("Al Banuk Sana",M7)),"Telecom Company",
        ISNUMBER(SEARCH("Al Khaleefa Factory",M7)),"Manufacturer",
        ISNUMBER(SEARCH("Al Saadeh Trading",M7)),"Trading Company",
        ISNUMBER(SEARCH("Al Zaehaan",M7)),"Trading Company",
        ISNUMBER(SEARCH("Ali Abdullah K Al Darwish",M7)),"Airlines",
        ISNUMBER(SEARCH("Bupa Arabia",M7)),"Health Insurance",
        ISNUMBER(SEARCH("Dar Fahoosaat",M7)),"Consultant",
        ISNUMBER(SEARCH("General Authority of Zakat",M7)),"Tax Collection",
        ISNUMBER(SEARCH("Gulf Voyager",M7)),"Travel Agency",
        ISNUMBER(SEARCH("Hopeway Trading",M7)),"Trading Company",
        ISNUMBER(SEARCH("Interhealth Medical",M7)),"Medical Services",
        ISNUMBER(SEARCH("Ishaar",M7)),"Online Payment Service",
        ISNUMBER(SEARCH("ISO Arabia",M7)),"Certification",
        ISNUMBER(SEARCH("Khalid Saad Al Otaibi",M7)),"Trading Company",
        ISNUMBER(SEARCH("MERAS for Decoration",M7)),"Decor Company",
        ISNUMBER(SEARCH("Middle East Customs Clearance",M7)),"Customs",
        ISNUMBER(SEARCH("Ministry of Human Resources",M7)),"Government",
        ISNUMBER(SEARCH("My Business Services",M7)),"Service Provider",
        ISNUMBER(SEARCH("National Water Company",M7)),"Water Company",
        ISNUMBER(SEARCH("Rania Contracting",M7)),"Contracting",
        ISNUMBER(SEARCH("Rashid Ali Sheikh",M7)),"Shareholder",
        ISNUMBER(SEARCH("Sahab United Motors",M7)),"Car Show Room",
        ISNUMBER(SEARCH("Saud Mohammed Al Tamimi",M7)),"Shareholder",
        ISNUMBER(SEARCH("Saud Mohammed Tamimi",M7)),"Shareholder",
        ISNUMBER(SEARCH("Saudi Electric Company",M7)),"Electricity Company",
        ISNUMBER(SEARCH("Saudi Vetonit",M7)),"Building Materials",
        ISNUMBER(SEARCH("Shomoul Eng",M7)),"Safety",
        ISNUMBER(SEARCH("STC",M7)),"Telecom Company",
        ISNUMBER(SEARCH("The General Organization for Social Insurance",M7)),"Social Insurance Agency",
        ISNUMBER(SEARCH("TUV Rheinland",M7)),"Certification",
        ISNUMBER(SEARCH("Al Arabia Ceramic",M7)),"Building Materials",
        ISNUMBER(SEARCH("National Company for Building and Marketing",M7)),"Parent Company",
        ISNUMBER(SEARCH("Athraa Holding",M7)),"Holding Company",
        ISNUMBER(SEARCH("Al Rasan",M7)),"Contracting",
        ISNUMBER(SEARCH("Raboua Al Haid",M7)),"Trading Company",
        ISNUMBER(SEARCH("Al Jazeera Paint",M7)),"Manufacturer",
        ISNUMBER(SEARCH("Rania Works Contracting",M7)),"Contracting",
        ISNUMBER(SEARCH("Bandar Jarallah",M7)),"Trading Establishment",
        ISNUMBER(SEARCH("RS Infratec Saudi",M7)),"Same Company",
        ISNUMBER(SEARCH("Payroll",M7)),"Bank",
        ISNUMBER(SEARCH("Expatriate",M7)),"Government",
        ISNUMBER(SEARCH("Unknown Sender",M7)),"Unknown",
        TRUE,"Unknown"
    ),
    "-"
)</f>
        <v>Trading Company</v>
      </c>
      <c r="AA7" s="25" t="str" cm="1">
        <f t="array" ref="AA7">_xlfn.IFNA(
    _xlfn.IFS(
        Z7="Lender","Financing",
        Z7="Accounting","Accounting",
        Z7="Shareholder","Individual",
        Z7="Equipment Rental","Equipment Rental",
        Z7="Telecom Company","Telecom",
        Z7="Manufacturer","Manufacturer",
        Z7="Trading Company","Trading And Transport",
        Z7="Trading Establishment","Trading",
        Z7="Airlines","Airlines",
        Z7="Health Insurance","Insurance",
        Z7="Consultant","Consultant",
        Z7="Tax Collection","Government",
        Z7="Travel Agency","Travel Agency",
        Z7="Medical Services","Medical Center",
        Z7="Online Payment Service","Payment Facilitator",
        Z7="Certification","Safety",
        Z7="Decor Company","Design",
        Z7="Customs","Customs",
        Z7="Government","Government",
        Z7="Service Provider","Service Provider",
        Z7="Water Company","Water Company",
        Z7="Contracting","Contracting",
        Z7="Car Show Room","Car Trader",
        Z7="Electricity Company","Electricity Company",
        Z7="Building Materials","Building Materials",
        Z7="Safety","Safety",
        Z7="Social Insurance Agency","Government Fund",
        Z7="Parent Company","Holding Company",
        Z7="Holding Company","Holding Company",
        Z7="Same Company","Construction",
        Z7="Bank","Bank",
        Z7="Unknown","Unknown",
        TRUE,"-"
    ),
    "-"
)</f>
        <v>Trading And Transport</v>
      </c>
      <c r="AB7" s="25" t="str">
        <f t="shared" si="1"/>
        <v>-</v>
      </c>
      <c r="AC7" s="25" t="str" cm="1">
        <f t="array" ref="AC7">_xlfn.IFNA(
    _xlfn.IFS(
        Z7="Shareholder","Shareholder",
        Z7="Same Company","Same Company",
        Z7="Bank","Bank",
        Z7="Government","Government",
        Z7="Social Insurance Agency","Government",
        Z7="Parent Company","Customer",
        Z7="Lender","Lender",
        Z7="Unknown","Unknown",
        ISNUMBER(SEARCH("Abdullah Abdulkarim",M7)),"Service Provider",
        ISNUMBER(SEARCH("Abdullah Fahad",M7)),"Service Provider",
        ISNUMBER(SEARCH("Advanced Equipments",M7)),"Supplier",
        ISNUMBER(SEARCH("Al Banuk Sana",M7)),"Supplier",
        ISNUMBER(SEARCH("Al Khaleefa Factory",M7)),"Supplier",
        ISNUMBER(SEARCH("Al Saadeh Trading",M7)),"Supplier",
        ISNUMBER(SEARCH("Al Zaehaan",M7)),"Supplier",
        ISNUMBER(SEARCH("Ali Abdullah K Al Darwish",M7)),"Service Provider",
        ISNUMBER(SEARCH("Bupa Arabia",M7)),"Insurance Company",
        ISNUMBER(SEARCH("Dar Fahoosaat",M7)),"Service Provider",
        ISNUMBER(SEARCH("General Authority of Zakat",M7)),"Tax Authority",
        ISNUMBER(SEARCH("Gulf Voyager",M7)),"Service Provider",
        ISNUMBER(SEARCH("Hopeway Trading",M7)),"Supplier",
        ISNUMBER(SEARCH("Interhealth Medical",M7)),"Customer",
        ISNUMBER(SEARCH("Ishaar",M7)),"Service Provider",
        ISNUMBER(SEARCH("ISO Arabia",M7)),"Service Provider",
        ISNUMBER(SEARCH("Khalid Saad Al Otaibi",M7)),"Supplier",
        ISNUMBER(SEARCH("MERAS for Decoration",M7)),"Supplier",
        ISNUMBER(SEARCH("Middle East Customs Clearance",M7)),"Service Provider",
        ISNUMBER(SEARCH("Ministry of Human Resources",M7)),"Regulatory Agency",
        ISNUMBER(SEARCH("My Business Services",M7)),"Service Provider",
        ISNUMBER(SEARCH("National Water Company",M7)),"Utility Provider",
        ISNUMBER(SEARCH("Rania Contracting",M7)),"Supplier",
        ISNUMBER(SEARCH("Sahab United Motors",M7)),"Supplier",
        ISNUMBER(SEARCH("Saudi Electric Company",M7)),"Utility Provider",
        ISNUMBER(SEARCH("Saudi Vetonit",M7)),"Supplier",
        ISNUMBER(SEARCH("Shomoul Eng",M7)),"Service Provider",
        ISNUMBER(SEARCH("STC",M7)),"Utility Provider",
        ISNUMBER(SEARCH("The General Organization for Social Insurance",M7)),"Social Insurance Agency",
        ISNUMBER(SEARCH("TUV Rheinland",M7)),"Service Provider",
        ISNUMBER(SEARCH("Al Arabia Ceramic",M7)),"Supplier",
        ISNUMBER(SEARCH("National Company for Building",M7)),"Customer",
        ISNUMBER(SEARCH("Athraa Holding",M7)),"Customer",
        ISNUMBER(SEARCH("Al Rasan",M7)),"Supplier",
        ISNUMBER(SEARCH("Raboua Al Haid",M7)),"Customer",
        ISNUMBER(SEARCH("Al Jazeera Paint",M7)),"Supplier",
        ISNUMBER(SEARCH("Rania Works Contracting",M7)),"Supplier",
        ISNUMBER(SEARCH("Bandar Jarallah",M7)),"Supplier",
        TRUE,"Supplier"
    ),
    "-"
)</f>
        <v>Supplier</v>
      </c>
      <c r="AD7" s="25" t="str" cm="1">
        <f t="array" ref="AD7">_xlfn.IFNA(
    _xlfn.IFS(
        AC7="Same Company","High",
        AC7="Shareholder","High",
        AC7="Government","High",
        AC7="Bank","High",
        AC7="Lender","High",
        AC7="Unknown","Low",
        AC7="-","Low",
        TRUE,"Medium"
    ),
    "-"
)</f>
        <v>Medium</v>
      </c>
      <c r="AE7" s="25" t="str">
        <f t="shared" si="2"/>
        <v>-</v>
      </c>
      <c r="AF7" s="25" t="str" cm="1">
        <f t="array" ref="AF7">_xlfn.IFNA(
    _xlfn.IFS(
        K7="Credit",
            _xlfn.IFS(
                OR(ISNUMBER(SEARCH("Rejected",L7)),ISNUMBER(SEARCH("Returned",L7))),"Other Income",
                TRUE,"Revenue"
            ),
        K7="Debit",
            _xlfn.IFS(
                ISNUMBER(SEARCH("Payroll",L7)),"OPEX",
                ISNUMBER(SEARCH("Expatriate",L7)),"OPEX",
                ISNUMBER(SEARCH("Zakat",M7)),"ZATCA",
                ISNUMBER(SEARCH("General Organization for Social Insurance",M7)),"OPEX",
                ISNUMBER(SEARCH("Saudi Electric",M7)),"OPEX",
                ISNUMBER(SEARCH("STC",M7)),"OPEX",
                ISNUMBER(SEARCH("National Water",M7)),"OPEX",
                ISNUMBER(SEARCH("Bupa",M7)),"OPEX",
                ISNUMBER(SEARCH("Abdullah Abdulkarim",M7)),"OPEX",
                ISNUMBER(SEARCH("Abdullah Fahad",M7)),"OPEX",
                ISNUMBER(SEARCH("ISO Arabia",M7)),"OPEX",
                ISNUMBER(SEARCH("Gulf Voyager",M7)),"OPEX",
                ISNUMBER(SEARCH("Ministry",M7)),"OPEX",
                ISNUMBER(SEARCH("General Authority of Zakat",M7)),"ZATCA",
                ISNUMBER(SEARCH("Rejected",L7)),"Other Income",
                TRUE,"COGS"
            ),
        TRUE,"-"
    ),
    "-"
)</f>
        <v>COGS</v>
      </c>
      <c r="AG7" s="25" t="str" cm="1">
        <f t="array" ref="AG7">_xlfn.IFNA(
    _xlfn.IFS(
        ISNUMBER(SEARCH("Payroll",L7)),"Payroll",
        ISNUMBER(SEARCH("Expatriate",L7)),"Government Fees",
        ISNUMBER(SEARCH("Zakat",M7)),"Zakat",
        ISNUMBER(SEARCH("Social Insurance",M7)),"Social Insurance",
        ISNUMBER(SEARCH("Saudi Electric",M7)),"Electricity",
        ISNUMBER(SEARCH("STC",M7)),"Telecom",
        ISNUMBER(SEARCH("National Water",M7)),"Water",
        ISNUMBER(SEARCH("Bupa",M7)),"Insurance",
        ISNUMBER(SEARCH("Gulf Voyager",M7)),"Travel",
        ISNUMBER(SEARCH("Ministry",M7)),"Government Fees",
        ISNUMBER(SEARCH("Abdullah Abdulkarim",M7)),"Consulting",
        ISNUMBER(SEARCH("Abdullah Fahad",M7)),"Accounting",
        ISNUMBER(SEARCH("ISO Arabia",M7)),"Consulting",
        ISNUMBER(SEARCH("Rejected",L7)),"Refund",
        AF7="COGS","Inventory Purchase",
        AF7="Revenue","Revenue",
        AF7="OPEX","Other",
        AF7="ZATCA","Zakat",
        TRUE,"-"
    ),
    "-"
)</f>
        <v>Inventory Purchase</v>
      </c>
      <c r="AH7" s="25" t="str" cm="1">
        <f t="array" ref="AH7">_xlfn.IFNA(
    _xlfn.IFS(
        AF7="-","Low",
        AF7="Other","Low",
        TRUE,"Medium"
    ),
    "-"
)</f>
        <v>Medium</v>
      </c>
      <c r="AI7" s="25" t="str">
        <f t="shared" si="3"/>
        <v>-</v>
      </c>
    </row>
    <row r="8" spans="1:35" x14ac:dyDescent="0.25">
      <c r="A8" s="10">
        <v>1</v>
      </c>
      <c r="B8" s="10" t="s">
        <v>35</v>
      </c>
      <c r="C8" s="10" t="s">
        <v>36</v>
      </c>
      <c r="D8" s="10" t="s">
        <v>37</v>
      </c>
      <c r="E8" s="10" t="s">
        <v>38</v>
      </c>
      <c r="F8" s="11" t="s">
        <v>39</v>
      </c>
      <c r="G8" s="11" t="s">
        <v>40</v>
      </c>
      <c r="H8" s="12">
        <v>45041</v>
      </c>
      <c r="I8" s="20">
        <v>180582.81</v>
      </c>
      <c r="J8" s="20">
        <v>177615.2</v>
      </c>
      <c r="K8" s="10" t="s">
        <v>116</v>
      </c>
      <c r="L8" s="9" t="s">
        <v>117</v>
      </c>
      <c r="M8" s="9" t="s">
        <v>118</v>
      </c>
      <c r="N8" s="9" t="s">
        <v>119</v>
      </c>
      <c r="O8" s="9" t="s">
        <v>120</v>
      </c>
      <c r="P8" s="15">
        <v>45041</v>
      </c>
      <c r="Q8" s="9" t="s">
        <v>121</v>
      </c>
      <c r="R8" s="16">
        <v>177615.2</v>
      </c>
      <c r="U8" s="9" t="s">
        <v>55</v>
      </c>
      <c r="V8" s="24" t="str" cm="1">
        <f t="array" ref="V8">_xlfn.IFNA(
    _xlfn.IFS(
        ISNUMBER(SEARCH("Fast Outgoing Transfer",L8)),"Transfer",
        ISNUMBER(SEARCH("Incoming Fast Transfer",L8)),"Transfer",
        ISNUMBER(SEARCH("Outgoing International Transfer",L8)),"Transfer",
        ISNUMBER(SEARCH("Bill Payment",L8)),"SADAD",
        ISNUMBER(SEARCH("Payroll",L8)),"Payroll",
        ISNUMBER(SEARCH("Cash Deposit",L8)),"Cash",
        ISNUMBER(SEARCH("Internal Transfer",L8)),"Transfer",
        ISNUMBER(SEARCH("Expatriate Services Payment",L8)),"SADAD",
        ISNUMBER(SEARCH("Rejected",L8)),"Transfer"
    ),
    "-"
)</f>
        <v>Transfer</v>
      </c>
      <c r="W8" s="25" t="str" cm="1">
        <f t="array" ref="W8">_xlfn.IFNA(
    _xlfn.IFS(
        AND(V8="Transfer",ISNUMBER(SEARCH("RIYAD BANK",L8))),"External FI",
        AND(V8="Transfer",ISNUMBER(SEARCH("Al Ahli",L8))),"External FI",
        AND(V8="Transfer",ISNUMBER(SEARCH("CIB via",L8))),"Local Transfer",
        AND(V8="Transfer",ISNUMBER(SEARCH("CIB)",L8))),"Local Transfer",
        AND(V8="Transfer",ISNUMBER(SEARCH("SMRT",L8))),"Local Transfer",
        AND(V8="Transfer",ISNUMBER(SEARCH("Al Murabba",L8))),"Local Transfer",
        AND(V8="Transfer",ISNUMBER(SEARCH("Internal Transfer",L8))),"Same FI",
        AND(V8="Transfer",ISNUMBER(SEARCH("Rejected",L8))),"Failed",
        V8="SADAD",
            _xlfn.IFS(
                ISNUMBER(SEARCH("Expatriate",L8)),"Expat Fees",
                TRUE,"Online Payment"
            ),
        V8="Payroll","Payroll",
        V8="Cash","Deposit",
        TRUE,"-"
    ),
    "-"
)</f>
        <v>-</v>
      </c>
      <c r="X8" s="25" t="str" cm="1">
        <f t="array" ref="X8">_xlfn.IFNA(
    _xlfn.IFS(
        V8="-","Low",
        W8="-","Low",
        TRUE,"High"
    ),
    "-"
)</f>
        <v>Low</v>
      </c>
      <c r="Y8" s="25" t="str">
        <f t="shared" si="0"/>
        <v>-</v>
      </c>
      <c r="Z8" s="25" t="str" cm="1">
        <f t="array" ref="Z8">_xlfn.IFNA(
    _xlfn.IFS(
        ISNUMBER(SEARCH("Abdul Latif Jameel",M8)),"Lender",
        ISNUMBER(SEARCH("Abdullah Abdulkarim Al Sudais",M8)),"Accounting",
        ISNUMBER(SEARCH("Abdullah Fahad for Accounting",M8)),"Accounting",
        ISNUMBER(SEARCH("Abdullah Rashid Shaikh",M8)),"Shareholder",
        ISNUMBER(SEARCH("Advanced Equipments",M8)),"Equipment Rental",
        ISNUMBER(SEARCH("Al Banuk Sana",M8)),"Telecom Company",
        ISNUMBER(SEARCH("Al Khaleefa Factory",M8)),"Manufacturer",
        ISNUMBER(SEARCH("Al Saadeh Trading",M8)),"Trading Company",
        ISNUMBER(SEARCH("Al Zaehaan",M8)),"Trading Company",
        ISNUMBER(SEARCH("Ali Abdullah K Al Darwish",M8)),"Airlines",
        ISNUMBER(SEARCH("Bupa Arabia",M8)),"Health Insurance",
        ISNUMBER(SEARCH("Dar Fahoosaat",M8)),"Consultant",
        ISNUMBER(SEARCH("General Authority of Zakat",M8)),"Tax Collection",
        ISNUMBER(SEARCH("Gulf Voyager",M8)),"Travel Agency",
        ISNUMBER(SEARCH("Hopeway Trading",M8)),"Trading Company",
        ISNUMBER(SEARCH("Interhealth Medical",M8)),"Medical Services",
        ISNUMBER(SEARCH("Ishaar",M8)),"Online Payment Service",
        ISNUMBER(SEARCH("ISO Arabia",M8)),"Certification",
        ISNUMBER(SEARCH("Khalid Saad Al Otaibi",M8)),"Trading Company",
        ISNUMBER(SEARCH("MERAS for Decoration",M8)),"Decor Company",
        ISNUMBER(SEARCH("Middle East Customs Clearance",M8)),"Customs",
        ISNUMBER(SEARCH("Ministry of Human Resources",M8)),"Government",
        ISNUMBER(SEARCH("My Business Services",M8)),"Service Provider",
        ISNUMBER(SEARCH("National Water Company",M8)),"Water Company",
        ISNUMBER(SEARCH("Rania Contracting",M8)),"Contracting",
        ISNUMBER(SEARCH("Rashid Ali Sheikh",M8)),"Shareholder",
        ISNUMBER(SEARCH("Sahab United Motors",M8)),"Car Show Room",
        ISNUMBER(SEARCH("Saud Mohammed Al Tamimi",M8)),"Shareholder",
        ISNUMBER(SEARCH("Saud Mohammed Tamimi",M8)),"Shareholder",
        ISNUMBER(SEARCH("Saudi Electric Company",M8)),"Electricity Company",
        ISNUMBER(SEARCH("Saudi Vetonit",M8)),"Building Materials",
        ISNUMBER(SEARCH("Shomoul Eng",M8)),"Safety",
        ISNUMBER(SEARCH("STC",M8)),"Telecom Company",
        ISNUMBER(SEARCH("The General Organization for Social Insurance",M8)),"Social Insurance Agency",
        ISNUMBER(SEARCH("TUV Rheinland",M8)),"Certification",
        ISNUMBER(SEARCH("Al Arabia Ceramic",M8)),"Building Materials",
        ISNUMBER(SEARCH("National Company for Building and Marketing",M8)),"Parent Company",
        ISNUMBER(SEARCH("Athraa Holding",M8)),"Holding Company",
        ISNUMBER(SEARCH("Al Rasan",M8)),"Contracting",
        ISNUMBER(SEARCH("Raboua Al Haid",M8)),"Trading Company",
        ISNUMBER(SEARCH("Al Jazeera Paint",M8)),"Manufacturer",
        ISNUMBER(SEARCH("Rania Works Contracting",M8)),"Contracting",
        ISNUMBER(SEARCH("Bandar Jarallah",M8)),"Trading Establishment",
        ISNUMBER(SEARCH("RS Infratec Saudi",M8)),"Same Company",
        ISNUMBER(SEARCH("Payroll",M8)),"Bank",
        ISNUMBER(SEARCH("Expatriate",M8)),"Government",
        ISNUMBER(SEARCH("Unknown Sender",M8)),"Unknown",
        TRUE,"Unknown"
    ),
    "-"
)</f>
        <v>Medical Services</v>
      </c>
      <c r="AA8" s="25" t="str" cm="1">
        <f t="array" ref="AA8">_xlfn.IFNA(
    _xlfn.IFS(
        Z8="Lender","Financing",
        Z8="Accounting","Accounting",
        Z8="Shareholder","Individual",
        Z8="Equipment Rental","Equipment Rental",
        Z8="Telecom Company","Telecom",
        Z8="Manufacturer","Manufacturer",
        Z8="Trading Company","Trading And Transport",
        Z8="Trading Establishment","Trading",
        Z8="Airlines","Airlines",
        Z8="Health Insurance","Insurance",
        Z8="Consultant","Consultant",
        Z8="Tax Collection","Government",
        Z8="Travel Agency","Travel Agency",
        Z8="Medical Services","Medical Center",
        Z8="Online Payment Service","Payment Facilitator",
        Z8="Certification","Safety",
        Z8="Decor Company","Design",
        Z8="Customs","Customs",
        Z8="Government","Government",
        Z8="Service Provider","Service Provider",
        Z8="Water Company","Water Company",
        Z8="Contracting","Contracting",
        Z8="Car Show Room","Car Trader",
        Z8="Electricity Company","Electricity Company",
        Z8="Building Materials","Building Materials",
        Z8="Safety","Safety",
        Z8="Social Insurance Agency","Government Fund",
        Z8="Parent Company","Holding Company",
        Z8="Holding Company","Holding Company",
        Z8="Same Company","Construction",
        Z8="Bank","Bank",
        Z8="Unknown","Unknown",
        TRUE,"-"
    ),
    "-"
)</f>
        <v>Medical Center</v>
      </c>
      <c r="AB8" s="25" t="str">
        <f t="shared" si="1"/>
        <v>-</v>
      </c>
      <c r="AC8" s="25" t="str" cm="1">
        <f t="array" ref="AC8">_xlfn.IFNA(
    _xlfn.IFS(
        Z8="Shareholder","Shareholder",
        Z8="Same Company","Same Company",
        Z8="Bank","Bank",
        Z8="Government","Government",
        Z8="Social Insurance Agency","Government",
        Z8="Parent Company","Customer",
        Z8="Lender","Lender",
        Z8="Unknown","Unknown",
        ISNUMBER(SEARCH("Abdullah Abdulkarim",M8)),"Service Provider",
        ISNUMBER(SEARCH("Abdullah Fahad",M8)),"Service Provider",
        ISNUMBER(SEARCH("Advanced Equipments",M8)),"Supplier",
        ISNUMBER(SEARCH("Al Banuk Sana",M8)),"Supplier",
        ISNUMBER(SEARCH("Al Khaleefa Factory",M8)),"Supplier",
        ISNUMBER(SEARCH("Al Saadeh Trading",M8)),"Supplier",
        ISNUMBER(SEARCH("Al Zaehaan",M8)),"Supplier",
        ISNUMBER(SEARCH("Ali Abdullah K Al Darwish",M8)),"Service Provider",
        ISNUMBER(SEARCH("Bupa Arabia",M8)),"Insurance Company",
        ISNUMBER(SEARCH("Dar Fahoosaat",M8)),"Service Provider",
        ISNUMBER(SEARCH("General Authority of Zakat",M8)),"Tax Authority",
        ISNUMBER(SEARCH("Gulf Voyager",M8)),"Service Provider",
        ISNUMBER(SEARCH("Hopeway Trading",M8)),"Supplier",
        ISNUMBER(SEARCH("Interhealth Medical",M8)),"Customer",
        ISNUMBER(SEARCH("Ishaar",M8)),"Service Provider",
        ISNUMBER(SEARCH("ISO Arabia",M8)),"Service Provider",
        ISNUMBER(SEARCH("Khalid Saad Al Otaibi",M8)),"Supplier",
        ISNUMBER(SEARCH("MERAS for Decoration",M8)),"Supplier",
        ISNUMBER(SEARCH("Middle East Customs Clearance",M8)),"Service Provider",
        ISNUMBER(SEARCH("Ministry of Human Resources",M8)),"Regulatory Agency",
        ISNUMBER(SEARCH("My Business Services",M8)),"Service Provider",
        ISNUMBER(SEARCH("National Water Company",M8)),"Utility Provider",
        ISNUMBER(SEARCH("Rania Contracting",M8)),"Supplier",
        ISNUMBER(SEARCH("Sahab United Motors",M8)),"Supplier",
        ISNUMBER(SEARCH("Saudi Electric Company",M8)),"Utility Provider",
        ISNUMBER(SEARCH("Saudi Vetonit",M8)),"Supplier",
        ISNUMBER(SEARCH("Shomoul Eng",M8)),"Service Provider",
        ISNUMBER(SEARCH("STC",M8)),"Utility Provider",
        ISNUMBER(SEARCH("The General Organization for Social Insurance",M8)),"Social Insurance Agency",
        ISNUMBER(SEARCH("TUV Rheinland",M8)),"Service Provider",
        ISNUMBER(SEARCH("Al Arabia Ceramic",M8)),"Supplier",
        ISNUMBER(SEARCH("National Company for Building",M8)),"Customer",
        ISNUMBER(SEARCH("Athraa Holding",M8)),"Customer",
        ISNUMBER(SEARCH("Al Rasan",M8)),"Supplier",
        ISNUMBER(SEARCH("Raboua Al Haid",M8)),"Customer",
        ISNUMBER(SEARCH("Al Jazeera Paint",M8)),"Supplier",
        ISNUMBER(SEARCH("Rania Works Contracting",M8)),"Supplier",
        ISNUMBER(SEARCH("Bandar Jarallah",M8)),"Supplier",
        TRUE,"Supplier"
    ),
    "-"
)</f>
        <v>Customer</v>
      </c>
      <c r="AD8" s="25" t="str" cm="1">
        <f t="array" ref="AD8">_xlfn.IFNA(
    _xlfn.IFS(
        AC8="Same Company","High",
        AC8="Shareholder","High",
        AC8="Government","High",
        AC8="Bank","High",
        AC8="Lender","High",
        AC8="Unknown","Low",
        AC8="-","Low",
        TRUE,"Medium"
    ),
    "-"
)</f>
        <v>Medium</v>
      </c>
      <c r="AE8" s="25" t="str">
        <f t="shared" si="2"/>
        <v>-</v>
      </c>
      <c r="AF8" s="25" t="str" cm="1">
        <f t="array" ref="AF8">_xlfn.IFNA(
    _xlfn.IFS(
        K8="Credit",
            _xlfn.IFS(
                OR(ISNUMBER(SEARCH("Rejected",L8)),ISNUMBER(SEARCH("Returned",L8))),"Other Income",
                TRUE,"Revenue"
            ),
        K8="Debit",
            _xlfn.IFS(
                ISNUMBER(SEARCH("Payroll",L8)),"OPEX",
                ISNUMBER(SEARCH("Expatriate",L8)),"OPEX",
                ISNUMBER(SEARCH("Zakat",M8)),"ZATCA",
                ISNUMBER(SEARCH("General Organization for Social Insurance",M8)),"OPEX",
                ISNUMBER(SEARCH("Saudi Electric",M8)),"OPEX",
                ISNUMBER(SEARCH("STC",M8)),"OPEX",
                ISNUMBER(SEARCH("National Water",M8)),"OPEX",
                ISNUMBER(SEARCH("Bupa",M8)),"OPEX",
                ISNUMBER(SEARCH("Abdullah Abdulkarim",M8)),"OPEX",
                ISNUMBER(SEARCH("Abdullah Fahad",M8)),"OPEX",
                ISNUMBER(SEARCH("ISO Arabia",M8)),"OPEX",
                ISNUMBER(SEARCH("Gulf Voyager",M8)),"OPEX",
                ISNUMBER(SEARCH("Ministry",M8)),"OPEX",
                ISNUMBER(SEARCH("General Authority of Zakat",M8)),"ZATCA",
                ISNUMBER(SEARCH("Rejected",L8)),"Other Income",
                TRUE,"COGS"
            ),
        TRUE,"-"
    ),
    "-"
)</f>
        <v>Revenue</v>
      </c>
      <c r="AG8" s="25" t="str" cm="1">
        <f t="array" ref="AG8">_xlfn.IFNA(
    _xlfn.IFS(
        ISNUMBER(SEARCH("Payroll",L8)),"Payroll",
        ISNUMBER(SEARCH("Expatriate",L8)),"Government Fees",
        ISNUMBER(SEARCH("Zakat",M8)),"Zakat",
        ISNUMBER(SEARCH("Social Insurance",M8)),"Social Insurance",
        ISNUMBER(SEARCH("Saudi Electric",M8)),"Electricity",
        ISNUMBER(SEARCH("STC",M8)),"Telecom",
        ISNUMBER(SEARCH("National Water",M8)),"Water",
        ISNUMBER(SEARCH("Bupa",M8)),"Insurance",
        ISNUMBER(SEARCH("Gulf Voyager",M8)),"Travel",
        ISNUMBER(SEARCH("Ministry",M8)),"Government Fees",
        ISNUMBER(SEARCH("Abdullah Abdulkarim",M8)),"Consulting",
        ISNUMBER(SEARCH("Abdullah Fahad",M8)),"Accounting",
        ISNUMBER(SEARCH("ISO Arabia",M8)),"Consulting",
        ISNUMBER(SEARCH("Rejected",L8)),"Refund",
        AF8="COGS","Inventory Purchase",
        AF8="Revenue","Revenue",
        AF8="OPEX","Other",
        AF8="ZATCA","Zakat",
        TRUE,"-"
    ),
    "-"
)</f>
        <v>Revenue</v>
      </c>
      <c r="AH8" s="25" t="str" cm="1">
        <f t="array" ref="AH8">_xlfn.IFNA(
    _xlfn.IFS(
        AF8="-","Low",
        AF8="Other","Low",
        TRUE,"Medium"
    ),
    "-"
)</f>
        <v>Medium</v>
      </c>
      <c r="AI8" s="25" t="str">
        <f t="shared" si="3"/>
        <v>-</v>
      </c>
    </row>
    <row r="9" spans="1:35" x14ac:dyDescent="0.25">
      <c r="A9" s="10">
        <v>1</v>
      </c>
      <c r="B9" s="10" t="s">
        <v>35</v>
      </c>
      <c r="C9" s="10" t="s">
        <v>36</v>
      </c>
      <c r="D9" s="10" t="s">
        <v>37</v>
      </c>
      <c r="E9" s="10" t="s">
        <v>38</v>
      </c>
      <c r="F9" s="11" t="s">
        <v>39</v>
      </c>
      <c r="G9" s="11" t="s">
        <v>40</v>
      </c>
      <c r="H9" s="12">
        <v>45089</v>
      </c>
      <c r="I9" s="20">
        <v>96199.57</v>
      </c>
      <c r="J9" s="20">
        <v>3952.5</v>
      </c>
      <c r="K9" s="10" t="s">
        <v>41</v>
      </c>
      <c r="L9" s="9" t="s">
        <v>127</v>
      </c>
      <c r="M9" s="9" t="s">
        <v>128</v>
      </c>
      <c r="N9" s="9" t="s">
        <v>129</v>
      </c>
      <c r="O9" s="9" t="s">
        <v>130</v>
      </c>
      <c r="P9" s="15">
        <v>45089</v>
      </c>
      <c r="Q9" s="9" t="s">
        <v>131</v>
      </c>
      <c r="R9" s="16">
        <v>3788.91</v>
      </c>
      <c r="S9" s="18">
        <v>50</v>
      </c>
      <c r="T9" s="18">
        <v>7.5</v>
      </c>
      <c r="U9" s="9" t="s">
        <v>55</v>
      </c>
      <c r="V9" s="24" t="str" cm="1">
        <f t="array" ref="V9">_xlfn.IFNA(
    _xlfn.IFS(
        ISNUMBER(SEARCH("Fast Outgoing Transfer",L9)),"Transfer",
        ISNUMBER(SEARCH("Incoming Fast Transfer",L9)),"Transfer",
        ISNUMBER(SEARCH("Outgoing International Transfer",L9)),"Transfer",
        ISNUMBER(SEARCH("Bill Payment",L9)),"SADAD",
        ISNUMBER(SEARCH("Payroll",L9)),"Payroll",
        ISNUMBER(SEARCH("Cash Deposit",L9)),"Cash",
        ISNUMBER(SEARCH("Internal Transfer",L9)),"Transfer",
        ISNUMBER(SEARCH("Expatriate Services Payment",L9)),"SADAD",
        ISNUMBER(SEARCH("Rejected",L9)),"Transfer"
    ),
    "-"
)</f>
        <v>Transfer</v>
      </c>
      <c r="W9" s="25" t="str" cm="1">
        <f t="array" ref="W9">_xlfn.IFNA(
    _xlfn.IFS(
        AND(V9="Transfer",ISNUMBER(SEARCH("RIYAD BANK",L9))),"External FI",
        AND(V9="Transfer",ISNUMBER(SEARCH("Al Ahli",L9))),"External FI",
        AND(V9="Transfer",ISNUMBER(SEARCH("CIB via",L9))),"Local Transfer",
        AND(V9="Transfer",ISNUMBER(SEARCH("CIB)",L9))),"Local Transfer",
        AND(V9="Transfer",ISNUMBER(SEARCH("SMRT",L9))),"Local Transfer",
        AND(V9="Transfer",ISNUMBER(SEARCH("Al Murabba",L9))),"Local Transfer",
        AND(V9="Transfer",ISNUMBER(SEARCH("Internal Transfer",L9))),"Same FI",
        AND(V9="Transfer",ISNUMBER(SEARCH("Rejected",L9))),"Failed",
        V9="SADAD",
            _xlfn.IFS(
                ISNUMBER(SEARCH("Expatriate",L9)),"Expat Fees",
                TRUE,"Online Payment"
            ),
        V9="Payroll","Payroll",
        V9="Cash","Deposit",
        TRUE,"-"
    ),
    "-"
)</f>
        <v>Local Transfer</v>
      </c>
      <c r="X9" s="25" t="str" cm="1">
        <f t="array" ref="X9">_xlfn.IFNA(
    _xlfn.IFS(
        V9="-","Low",
        W9="-","Low",
        TRUE,"High"
    ),
    "-"
)</f>
        <v>High</v>
      </c>
      <c r="Y9" s="25" t="str">
        <f t="shared" si="0"/>
        <v>-</v>
      </c>
      <c r="Z9" s="25" t="str" cm="1">
        <f t="array" ref="Z9">_xlfn.IFNA(
    _xlfn.IFS(
        ISNUMBER(SEARCH("Abdul Latif Jameel",M9)),"Lender",
        ISNUMBER(SEARCH("Abdullah Abdulkarim Al Sudais",M9)),"Accounting",
        ISNUMBER(SEARCH("Abdullah Fahad for Accounting",M9)),"Accounting",
        ISNUMBER(SEARCH("Abdullah Rashid Shaikh",M9)),"Shareholder",
        ISNUMBER(SEARCH("Advanced Equipments",M9)),"Equipment Rental",
        ISNUMBER(SEARCH("Al Banuk Sana",M9)),"Telecom Company",
        ISNUMBER(SEARCH("Al Khaleefa Factory",M9)),"Manufacturer",
        ISNUMBER(SEARCH("Al Saadeh Trading",M9)),"Trading Company",
        ISNUMBER(SEARCH("Al Zaehaan",M9)),"Trading Company",
        ISNUMBER(SEARCH("Ali Abdullah K Al Darwish",M9)),"Airlines",
        ISNUMBER(SEARCH("Bupa Arabia",M9)),"Health Insurance",
        ISNUMBER(SEARCH("Dar Fahoosaat",M9)),"Consultant",
        ISNUMBER(SEARCH("General Authority of Zakat",M9)),"Tax Collection",
        ISNUMBER(SEARCH("Gulf Voyager",M9)),"Travel Agency",
        ISNUMBER(SEARCH("Hopeway Trading",M9)),"Trading Company",
        ISNUMBER(SEARCH("Interhealth Medical",M9)),"Medical Services",
        ISNUMBER(SEARCH("Ishaar",M9)),"Online Payment Service",
        ISNUMBER(SEARCH("ISO Arabia",M9)),"Certification",
        ISNUMBER(SEARCH("Khalid Saad Al Otaibi",M9)),"Trading Company",
        ISNUMBER(SEARCH("MERAS for Decoration",M9)),"Decor Company",
        ISNUMBER(SEARCH("Middle East Customs Clearance",M9)),"Customs",
        ISNUMBER(SEARCH("Ministry of Human Resources",M9)),"Government",
        ISNUMBER(SEARCH("My Business Services",M9)),"Service Provider",
        ISNUMBER(SEARCH("National Water Company",M9)),"Water Company",
        ISNUMBER(SEARCH("Rania Contracting",M9)),"Contracting",
        ISNUMBER(SEARCH("Rashid Ali Sheikh",M9)),"Shareholder",
        ISNUMBER(SEARCH("Sahab United Motors",M9)),"Car Show Room",
        ISNUMBER(SEARCH("Saud Mohammed Al Tamimi",M9)),"Shareholder",
        ISNUMBER(SEARCH("Saud Mohammed Tamimi",M9)),"Shareholder",
        ISNUMBER(SEARCH("Saudi Electric Company",M9)),"Electricity Company",
        ISNUMBER(SEARCH("Saudi Vetonit",M9)),"Building Materials",
        ISNUMBER(SEARCH("Shomoul Eng",M9)),"Safety",
        ISNUMBER(SEARCH("STC",M9)),"Telecom Company",
        ISNUMBER(SEARCH("The General Organization for Social Insurance",M9)),"Social Insurance Agency",
        ISNUMBER(SEARCH("TUV Rheinland",M9)),"Certification",
        ISNUMBER(SEARCH("Al Arabia Ceramic",M9)),"Building Materials",
        ISNUMBER(SEARCH("National Company for Building and Marketing",M9)),"Parent Company",
        ISNUMBER(SEARCH("Athraa Holding",M9)),"Holding Company",
        ISNUMBER(SEARCH("Al Rasan",M9)),"Contracting",
        ISNUMBER(SEARCH("Raboua Al Haid",M9)),"Trading Company",
        ISNUMBER(SEARCH("Al Jazeera Paint",M9)),"Manufacturer",
        ISNUMBER(SEARCH("Rania Works Contracting",M9)),"Contracting",
        ISNUMBER(SEARCH("Bandar Jarallah",M9)),"Trading Establishment",
        ISNUMBER(SEARCH("RS Infratec Saudi",M9)),"Same Company",
        ISNUMBER(SEARCH("Payroll",M9)),"Bank",
        ISNUMBER(SEARCH("Expatriate",M9)),"Government",
        ISNUMBER(SEARCH("Unknown Sender",M9)),"Unknown",
        TRUE,"Unknown"
    ),
    "-"
)</f>
        <v>Certification</v>
      </c>
      <c r="AA9" s="25" t="str" cm="1">
        <f t="array" ref="AA9">_xlfn.IFNA(
    _xlfn.IFS(
        Z9="Lender","Financing",
        Z9="Accounting","Accounting",
        Z9="Shareholder","Individual",
        Z9="Equipment Rental","Equipment Rental",
        Z9="Telecom Company","Telecom",
        Z9="Manufacturer","Manufacturer",
        Z9="Trading Company","Trading And Transport",
        Z9="Trading Establishment","Trading",
        Z9="Airlines","Airlines",
        Z9="Health Insurance","Insurance",
        Z9="Consultant","Consultant",
        Z9="Tax Collection","Government",
        Z9="Travel Agency","Travel Agency",
        Z9="Medical Services","Medical Center",
        Z9="Online Payment Service","Payment Facilitator",
        Z9="Certification","Safety",
        Z9="Decor Company","Design",
        Z9="Customs","Customs",
        Z9="Government","Government",
        Z9="Service Provider","Service Provider",
        Z9="Water Company","Water Company",
        Z9="Contracting","Contracting",
        Z9="Car Show Room","Car Trader",
        Z9="Electricity Company","Electricity Company",
        Z9="Building Materials","Building Materials",
        Z9="Safety","Safety",
        Z9="Social Insurance Agency","Government Fund",
        Z9="Parent Company","Holding Company",
        Z9="Holding Company","Holding Company",
        Z9="Same Company","Construction",
        Z9="Bank","Bank",
        Z9="Unknown","Unknown",
        TRUE,"-"
    ),
    "-"
)</f>
        <v>Safety</v>
      </c>
      <c r="AB9" s="25" t="str">
        <f t="shared" si="1"/>
        <v>-</v>
      </c>
      <c r="AC9" s="25" t="str" cm="1">
        <f t="array" ref="AC9">_xlfn.IFNA(
    _xlfn.IFS(
        Z9="Shareholder","Shareholder",
        Z9="Same Company","Same Company",
        Z9="Bank","Bank",
        Z9="Government","Government",
        Z9="Social Insurance Agency","Government",
        Z9="Parent Company","Customer",
        Z9="Lender","Lender",
        Z9="Unknown","Unknown",
        ISNUMBER(SEARCH("Abdullah Abdulkarim",M9)),"Service Provider",
        ISNUMBER(SEARCH("Abdullah Fahad",M9)),"Service Provider",
        ISNUMBER(SEARCH("Advanced Equipments",M9)),"Supplier",
        ISNUMBER(SEARCH("Al Banuk Sana",M9)),"Supplier",
        ISNUMBER(SEARCH("Al Khaleefa Factory",M9)),"Supplier",
        ISNUMBER(SEARCH("Al Saadeh Trading",M9)),"Supplier",
        ISNUMBER(SEARCH("Al Zaehaan",M9)),"Supplier",
        ISNUMBER(SEARCH("Ali Abdullah K Al Darwish",M9)),"Service Provider",
        ISNUMBER(SEARCH("Bupa Arabia",M9)),"Insurance Company",
        ISNUMBER(SEARCH("Dar Fahoosaat",M9)),"Service Provider",
        ISNUMBER(SEARCH("General Authority of Zakat",M9)),"Tax Authority",
        ISNUMBER(SEARCH("Gulf Voyager",M9)),"Service Provider",
        ISNUMBER(SEARCH("Hopeway Trading",M9)),"Supplier",
        ISNUMBER(SEARCH("Interhealth Medical",M9)),"Customer",
        ISNUMBER(SEARCH("Ishaar",M9)),"Service Provider",
        ISNUMBER(SEARCH("ISO Arabia",M9)),"Service Provider",
        ISNUMBER(SEARCH("Khalid Saad Al Otaibi",M9)),"Supplier",
        ISNUMBER(SEARCH("MERAS for Decoration",M9)),"Supplier",
        ISNUMBER(SEARCH("Middle East Customs Clearance",M9)),"Service Provider",
        ISNUMBER(SEARCH("Ministry of Human Resources",M9)),"Regulatory Agency",
        ISNUMBER(SEARCH("My Business Services",M9)),"Service Provider",
        ISNUMBER(SEARCH("National Water Company",M9)),"Utility Provider",
        ISNUMBER(SEARCH("Rania Contracting",M9)),"Supplier",
        ISNUMBER(SEARCH("Sahab United Motors",M9)),"Supplier",
        ISNUMBER(SEARCH("Saudi Electric Company",M9)),"Utility Provider",
        ISNUMBER(SEARCH("Saudi Vetonit",M9)),"Supplier",
        ISNUMBER(SEARCH("Shomoul Eng",M9)),"Service Provider",
        ISNUMBER(SEARCH("STC",M9)),"Utility Provider",
        ISNUMBER(SEARCH("The General Organization for Social Insurance",M9)),"Social Insurance Agency",
        ISNUMBER(SEARCH("TUV Rheinland",M9)),"Service Provider",
        ISNUMBER(SEARCH("Al Arabia Ceramic",M9)),"Supplier",
        ISNUMBER(SEARCH("National Company for Building",M9)),"Customer",
        ISNUMBER(SEARCH("Athraa Holding",M9)),"Customer",
        ISNUMBER(SEARCH("Al Rasan",M9)),"Supplier",
        ISNUMBER(SEARCH("Raboua Al Haid",M9)),"Customer",
        ISNUMBER(SEARCH("Al Jazeera Paint",M9)),"Supplier",
        ISNUMBER(SEARCH("Rania Works Contracting",M9)),"Supplier",
        ISNUMBER(SEARCH("Bandar Jarallah",M9)),"Supplier",
        TRUE,"Supplier"
    ),
    "-"
)</f>
        <v>Service Provider</v>
      </c>
      <c r="AD9" s="25" t="str" cm="1">
        <f t="array" ref="AD9">_xlfn.IFNA(
    _xlfn.IFS(
        AC9="Same Company","High",
        AC9="Shareholder","High",
        AC9="Government","High",
        AC9="Bank","High",
        AC9="Lender","High",
        AC9="Unknown","Low",
        AC9="-","Low",
        TRUE,"Medium"
    ),
    "-"
)</f>
        <v>Medium</v>
      </c>
      <c r="AE9" s="25" t="str">
        <f t="shared" si="2"/>
        <v>-</v>
      </c>
      <c r="AF9" s="25" t="str" cm="1">
        <f t="array" ref="AF9">_xlfn.IFNA(
    _xlfn.IFS(
        K9="Credit",
            _xlfn.IFS(
                OR(ISNUMBER(SEARCH("Rejected",L9)),ISNUMBER(SEARCH("Returned",L9))),"Other Income",
                TRUE,"Revenue"
            ),
        K9="Debit",
            _xlfn.IFS(
                ISNUMBER(SEARCH("Payroll",L9)),"OPEX",
                ISNUMBER(SEARCH("Expatriate",L9)),"OPEX",
                ISNUMBER(SEARCH("Zakat",M9)),"ZATCA",
                ISNUMBER(SEARCH("General Organization for Social Insurance",M9)),"OPEX",
                ISNUMBER(SEARCH("Saudi Electric",M9)),"OPEX",
                ISNUMBER(SEARCH("STC",M9)),"OPEX",
                ISNUMBER(SEARCH("National Water",M9)),"OPEX",
                ISNUMBER(SEARCH("Bupa",M9)),"OPEX",
                ISNUMBER(SEARCH("Abdullah Abdulkarim",M9)),"OPEX",
                ISNUMBER(SEARCH("Abdullah Fahad",M9)),"OPEX",
                ISNUMBER(SEARCH("ISO Arabia",M9)),"OPEX",
                ISNUMBER(SEARCH("Gulf Voyager",M9)),"OPEX",
                ISNUMBER(SEARCH("Ministry",M9)),"OPEX",
                ISNUMBER(SEARCH("General Authority of Zakat",M9)),"ZATCA",
                ISNUMBER(SEARCH("Rejected",L9)),"Other Income",
                TRUE,"COGS"
            ),
        TRUE,"-"
    ),
    "-"
)</f>
        <v>OPEX</v>
      </c>
      <c r="AG9" s="25" t="str" cm="1">
        <f t="array" ref="AG9">_xlfn.IFNA(
    _xlfn.IFS(
        ISNUMBER(SEARCH("Payroll",L9)),"Payroll",
        ISNUMBER(SEARCH("Expatriate",L9)),"Government Fees",
        ISNUMBER(SEARCH("Zakat",M9)),"Zakat",
        ISNUMBER(SEARCH("Social Insurance",M9)),"Social Insurance",
        ISNUMBER(SEARCH("Saudi Electric",M9)),"Electricity",
        ISNUMBER(SEARCH("STC",M9)),"Telecom",
        ISNUMBER(SEARCH("National Water",M9)),"Water",
        ISNUMBER(SEARCH("Bupa",M9)),"Insurance",
        ISNUMBER(SEARCH("Gulf Voyager",M9)),"Travel",
        ISNUMBER(SEARCH("Ministry",M9)),"Government Fees",
        ISNUMBER(SEARCH("Abdullah Abdulkarim",M9)),"Consulting",
        ISNUMBER(SEARCH("Abdullah Fahad",M9)),"Accounting",
        ISNUMBER(SEARCH("ISO Arabia",M9)),"Consulting",
        ISNUMBER(SEARCH("Rejected",L9)),"Refund",
        AF9="COGS","Inventory Purchase",
        AF9="Revenue","Revenue",
        AF9="OPEX","Other",
        AF9="ZATCA","Zakat",
        TRUE,"-"
    ),
    "-"
)</f>
        <v>Consulting</v>
      </c>
      <c r="AH9" s="25" t="str" cm="1">
        <f t="array" ref="AH9">_xlfn.IFNA(
    _xlfn.IFS(
        AF9="-","Low",
        AF9="Other","Low",
        TRUE,"Medium"
    ),
    "-"
)</f>
        <v>Medium</v>
      </c>
      <c r="AI9" s="25" t="str">
        <f t="shared" si="3"/>
        <v>-</v>
      </c>
    </row>
    <row r="10" spans="1:35" x14ac:dyDescent="0.25">
      <c r="A10" s="10">
        <v>1</v>
      </c>
      <c r="B10" s="10" t="s">
        <v>35</v>
      </c>
      <c r="C10" s="10" t="s">
        <v>36</v>
      </c>
      <c r="D10" s="10" t="s">
        <v>37</v>
      </c>
      <c r="E10" s="10" t="s">
        <v>38</v>
      </c>
      <c r="F10" s="11" t="s">
        <v>39</v>
      </c>
      <c r="G10" s="11" t="s">
        <v>40</v>
      </c>
      <c r="H10" s="12">
        <v>44945</v>
      </c>
      <c r="I10" s="20">
        <v>165742.98000000001</v>
      </c>
      <c r="J10" s="20">
        <v>56008.05</v>
      </c>
      <c r="K10" s="10" t="s">
        <v>41</v>
      </c>
      <c r="L10" s="9" t="s">
        <v>50</v>
      </c>
      <c r="M10" s="9" t="s">
        <v>178</v>
      </c>
      <c r="N10" s="9" t="s">
        <v>179</v>
      </c>
      <c r="O10" s="9" t="s">
        <v>59</v>
      </c>
      <c r="P10" s="15">
        <v>44945</v>
      </c>
      <c r="Q10" s="9" t="s">
        <v>180</v>
      </c>
      <c r="R10" s="16">
        <v>56000</v>
      </c>
      <c r="S10" s="18">
        <v>7</v>
      </c>
      <c r="T10" s="18">
        <v>1.05</v>
      </c>
      <c r="U10" s="9" t="s">
        <v>55</v>
      </c>
      <c r="V10" s="24" t="str" cm="1">
        <f t="array" ref="V10">_xlfn.IFNA(
    _xlfn.IFS(
        ISNUMBER(SEARCH("Fast Outgoing Transfer",L10)),"Transfer",
        ISNUMBER(SEARCH("Incoming Fast Transfer",L10)),"Transfer",
        ISNUMBER(SEARCH("Outgoing International Transfer",L10)),"Transfer",
        ISNUMBER(SEARCH("Bill Payment",L10)),"SADAD",
        ISNUMBER(SEARCH("Payroll",L10)),"Payroll",
        ISNUMBER(SEARCH("Cash Deposit",L10)),"Cash",
        ISNUMBER(SEARCH("Internal Transfer",L10)),"Transfer",
        ISNUMBER(SEARCH("Expatriate Services Payment",L10)),"SADAD",
        ISNUMBER(SEARCH("Rejected",L10)),"Transfer"
    ),
    "-"
)</f>
        <v>Transfer</v>
      </c>
      <c r="W10" s="25" t="str" cm="1">
        <f t="array" ref="W10">_xlfn.IFNA(
    _xlfn.IFS(
        AND(V10="Transfer",ISNUMBER(SEARCH("RIYAD BANK",L10))),"External FI",
        AND(V10="Transfer",ISNUMBER(SEARCH("Al Ahli",L10))),"External FI",
        AND(V10="Transfer",ISNUMBER(SEARCH("CIB via",L10))),"Local Transfer",
        AND(V10="Transfer",ISNUMBER(SEARCH("CIB)",L10))),"Local Transfer",
        AND(V10="Transfer",ISNUMBER(SEARCH("SMRT",L10))),"Local Transfer",
        AND(V10="Transfer",ISNUMBER(SEARCH("Al Murabba",L10))),"Local Transfer",
        AND(V10="Transfer",ISNUMBER(SEARCH("Internal Transfer",L10))),"Same FI",
        AND(V10="Transfer",ISNUMBER(SEARCH("Rejected",L10))),"Failed",
        V10="SADAD",
            _xlfn.IFS(
                ISNUMBER(SEARCH("Expatriate",L10)),"Expat Fees",
                TRUE,"Online Payment"
            ),
        V10="Payroll","Payroll",
        V10="Cash","Deposit",
        TRUE,"-"
    ),
    "-"
)</f>
        <v>Local Transfer</v>
      </c>
      <c r="X10" s="25" t="str" cm="1">
        <f t="array" ref="X10">_xlfn.IFNA(
    _xlfn.IFS(
        V10="-","Low",
        W10="-","Low",
        TRUE,"High"
    ),
    "-"
)</f>
        <v>High</v>
      </c>
      <c r="Y10" s="25" t="str">
        <f t="shared" si="0"/>
        <v>-</v>
      </c>
      <c r="Z10" s="25" t="str" cm="1">
        <f t="array" ref="Z10">_xlfn.IFNA(
    _xlfn.IFS(
        ISNUMBER(SEARCH("Abdul Latif Jameel",M10)),"Lender",
        ISNUMBER(SEARCH("Abdullah Abdulkarim Al Sudais",M10)),"Accounting",
        ISNUMBER(SEARCH("Abdullah Fahad for Accounting",M10)),"Accounting",
        ISNUMBER(SEARCH("Abdullah Rashid Shaikh",M10)),"Shareholder",
        ISNUMBER(SEARCH("Advanced Equipments",M10)),"Equipment Rental",
        ISNUMBER(SEARCH("Al Banuk Sana",M10)),"Telecom Company",
        ISNUMBER(SEARCH("Al Khaleefa Factory",M10)),"Manufacturer",
        ISNUMBER(SEARCH("Al Saadeh Trading",M10)),"Trading Company",
        ISNUMBER(SEARCH("Al Zaehaan",M10)),"Trading Company",
        ISNUMBER(SEARCH("Ali Abdullah K Al Darwish",M10)),"Airlines",
        ISNUMBER(SEARCH("Bupa Arabia",M10)),"Health Insurance",
        ISNUMBER(SEARCH("Dar Fahoosaat",M10)),"Consultant",
        ISNUMBER(SEARCH("General Authority of Zakat",M10)),"Tax Collection",
        ISNUMBER(SEARCH("Gulf Voyager",M10)),"Travel Agency",
        ISNUMBER(SEARCH("Hopeway Trading",M10)),"Trading Company",
        ISNUMBER(SEARCH("Interhealth Medical",M10)),"Medical Services",
        ISNUMBER(SEARCH("Ishaar",M10)),"Online Payment Service",
        ISNUMBER(SEARCH("ISO Arabia",M10)),"Certification",
        ISNUMBER(SEARCH("Khalid Saad Al Otaibi",M10)),"Trading Company",
        ISNUMBER(SEARCH("MERAS for Decoration",M10)),"Decor Company",
        ISNUMBER(SEARCH("Middle East Customs Clearance",M10)),"Customs",
        ISNUMBER(SEARCH("Ministry of Human Resources",M10)),"Government",
        ISNUMBER(SEARCH("My Business Services",M10)),"Service Provider",
        ISNUMBER(SEARCH("National Water Company",M10)),"Water Company",
        ISNUMBER(SEARCH("Rania Contracting",M10)),"Contracting",
        ISNUMBER(SEARCH("Rashid Ali Sheikh",M10)),"Shareholder",
        ISNUMBER(SEARCH("Sahab United Motors",M10)),"Car Show Room",
        ISNUMBER(SEARCH("Saud Mohammed Al Tamimi",M10)),"Shareholder",
        ISNUMBER(SEARCH("Saud Mohammed Tamimi",M10)),"Shareholder",
        ISNUMBER(SEARCH("Saudi Electric Company",M10)),"Electricity Company",
        ISNUMBER(SEARCH("Saudi Vetonit",M10)),"Building Materials",
        ISNUMBER(SEARCH("Shomoul Eng",M10)),"Safety",
        ISNUMBER(SEARCH("STC",M10)),"Telecom Company",
        ISNUMBER(SEARCH("The General Organization for Social Insurance",M10)),"Social Insurance Agency",
        ISNUMBER(SEARCH("TUV Rheinland",M10)),"Certification",
        ISNUMBER(SEARCH("Al Arabia Ceramic",M10)),"Building Materials",
        ISNUMBER(SEARCH("National Company for Building and Marketing",M10)),"Parent Company",
        ISNUMBER(SEARCH("Athraa Holding",M10)),"Holding Company",
        ISNUMBER(SEARCH("Al Rasan",M10)),"Contracting",
        ISNUMBER(SEARCH("Raboua Al Haid",M10)),"Trading Company",
        ISNUMBER(SEARCH("Al Jazeera Paint",M10)),"Manufacturer",
        ISNUMBER(SEARCH("Rania Works Contracting",M10)),"Contracting",
        ISNUMBER(SEARCH("Bandar Jarallah",M10)),"Trading Establishment",
        ISNUMBER(SEARCH("RS Infratec Saudi",M10)),"Same Company",
        ISNUMBER(SEARCH("Payroll",M10)),"Bank",
        ISNUMBER(SEARCH("Expatriate",M10)),"Government",
        ISNUMBER(SEARCH("Unknown Sender",M10)),"Unknown",
        TRUE,"Unknown"
    ),
    "-"
)</f>
        <v>Car Show Room</v>
      </c>
      <c r="AA10" s="25" t="str" cm="1">
        <f t="array" ref="AA10">_xlfn.IFNA(
    _xlfn.IFS(
        Z10="Lender","Financing",
        Z10="Accounting","Accounting",
        Z10="Shareholder","Individual",
        Z10="Equipment Rental","Equipment Rental",
        Z10="Telecom Company","Telecom",
        Z10="Manufacturer","Manufacturer",
        Z10="Trading Company","Trading And Transport",
        Z10="Trading Establishment","Trading",
        Z10="Airlines","Airlines",
        Z10="Health Insurance","Insurance",
        Z10="Consultant","Consultant",
        Z10="Tax Collection","Government",
        Z10="Travel Agency","Travel Agency",
        Z10="Medical Services","Medical Center",
        Z10="Online Payment Service","Payment Facilitator",
        Z10="Certification","Safety",
        Z10="Decor Company","Design",
        Z10="Customs","Customs",
        Z10="Government","Government",
        Z10="Service Provider","Service Provider",
        Z10="Water Company","Water Company",
        Z10="Contracting","Contracting",
        Z10="Car Show Room","Car Trader",
        Z10="Electricity Company","Electricity Company",
        Z10="Building Materials","Building Materials",
        Z10="Safety","Safety",
        Z10="Social Insurance Agency","Government Fund",
        Z10="Parent Company","Holding Company",
        Z10="Holding Company","Holding Company",
        Z10="Same Company","Construction",
        Z10="Bank","Bank",
        Z10="Unknown","Unknown",
        TRUE,"-"
    ),
    "-"
)</f>
        <v>Car Trader</v>
      </c>
      <c r="AB10" s="25" t="str">
        <f t="shared" si="1"/>
        <v>-</v>
      </c>
      <c r="AC10" s="25" t="str" cm="1">
        <f t="array" ref="AC10">_xlfn.IFNA(
    _xlfn.IFS(
        Z10="Shareholder","Shareholder",
        Z10="Same Company","Same Company",
        Z10="Bank","Bank",
        Z10="Government","Government",
        Z10="Social Insurance Agency","Government",
        Z10="Parent Company","Customer",
        Z10="Lender","Lender",
        Z10="Unknown","Unknown",
        ISNUMBER(SEARCH("Abdullah Abdulkarim",M10)),"Service Provider",
        ISNUMBER(SEARCH("Abdullah Fahad",M10)),"Service Provider",
        ISNUMBER(SEARCH("Advanced Equipments",M10)),"Supplier",
        ISNUMBER(SEARCH("Al Banuk Sana",M10)),"Supplier",
        ISNUMBER(SEARCH("Al Khaleefa Factory",M10)),"Supplier",
        ISNUMBER(SEARCH("Al Saadeh Trading",M10)),"Supplier",
        ISNUMBER(SEARCH("Al Zaehaan",M10)),"Supplier",
        ISNUMBER(SEARCH("Ali Abdullah K Al Darwish",M10)),"Service Provider",
        ISNUMBER(SEARCH("Bupa Arabia",M10)),"Insurance Company",
        ISNUMBER(SEARCH("Dar Fahoosaat",M10)),"Service Provider",
        ISNUMBER(SEARCH("General Authority of Zakat",M10)),"Tax Authority",
        ISNUMBER(SEARCH("Gulf Voyager",M10)),"Service Provider",
        ISNUMBER(SEARCH("Hopeway Trading",M10)),"Supplier",
        ISNUMBER(SEARCH("Interhealth Medical",M10)),"Customer",
        ISNUMBER(SEARCH("Ishaar",M10)),"Service Provider",
        ISNUMBER(SEARCH("ISO Arabia",M10)),"Service Provider",
        ISNUMBER(SEARCH("Khalid Saad Al Otaibi",M10)),"Supplier",
        ISNUMBER(SEARCH("MERAS for Decoration",M10)),"Supplier",
        ISNUMBER(SEARCH("Middle East Customs Clearance",M10)),"Service Provider",
        ISNUMBER(SEARCH("Ministry of Human Resources",M10)),"Regulatory Agency",
        ISNUMBER(SEARCH("My Business Services",M10)),"Service Provider",
        ISNUMBER(SEARCH("National Water Company",M10)),"Utility Provider",
        ISNUMBER(SEARCH("Rania Contracting",M10)),"Supplier",
        ISNUMBER(SEARCH("Sahab United Motors",M10)),"Supplier",
        ISNUMBER(SEARCH("Saudi Electric Company",M10)),"Utility Provider",
        ISNUMBER(SEARCH("Saudi Vetonit",M10)),"Supplier",
        ISNUMBER(SEARCH("Shomoul Eng",M10)),"Service Provider",
        ISNUMBER(SEARCH("STC",M10)),"Utility Provider",
        ISNUMBER(SEARCH("The General Organization for Social Insurance",M10)),"Social Insurance Agency",
        ISNUMBER(SEARCH("TUV Rheinland",M10)),"Service Provider",
        ISNUMBER(SEARCH("Al Arabia Ceramic",M10)),"Supplier",
        ISNUMBER(SEARCH("National Company for Building",M10)),"Customer",
        ISNUMBER(SEARCH("Athraa Holding",M10)),"Customer",
        ISNUMBER(SEARCH("Al Rasan",M10)),"Supplier",
        ISNUMBER(SEARCH("Raboua Al Haid",M10)),"Customer",
        ISNUMBER(SEARCH("Al Jazeera Paint",M10)),"Supplier",
        ISNUMBER(SEARCH("Rania Works Contracting",M10)),"Supplier",
        ISNUMBER(SEARCH("Bandar Jarallah",M10)),"Supplier",
        TRUE,"Supplier"
    ),
    "-"
)</f>
        <v>Supplier</v>
      </c>
      <c r="AD10" s="25" t="str" cm="1">
        <f t="array" ref="AD10">_xlfn.IFNA(
    _xlfn.IFS(
        AC10="Same Company","High",
        AC10="Shareholder","High",
        AC10="Government","High",
        AC10="Bank","High",
        AC10="Lender","High",
        AC10="Unknown","Low",
        AC10="-","Low",
        TRUE,"Medium"
    ),
    "-"
)</f>
        <v>Medium</v>
      </c>
      <c r="AE10" s="25" t="str">
        <f t="shared" si="2"/>
        <v>-</v>
      </c>
      <c r="AF10" s="25" t="str" cm="1">
        <f t="array" ref="AF10">_xlfn.IFNA(
    _xlfn.IFS(
        K10="Credit",
            _xlfn.IFS(
                OR(ISNUMBER(SEARCH("Rejected",L10)),ISNUMBER(SEARCH("Returned",L10))),"Other Income",
                TRUE,"Revenue"
            ),
        K10="Debit",
            _xlfn.IFS(
                ISNUMBER(SEARCH("Payroll",L10)),"OPEX",
                ISNUMBER(SEARCH("Expatriate",L10)),"OPEX",
                ISNUMBER(SEARCH("Zakat",M10)),"ZATCA",
                ISNUMBER(SEARCH("General Organization for Social Insurance",M10)),"OPEX",
                ISNUMBER(SEARCH("Saudi Electric",M10)),"OPEX",
                ISNUMBER(SEARCH("STC",M10)),"OPEX",
                ISNUMBER(SEARCH("National Water",M10)),"OPEX",
                ISNUMBER(SEARCH("Bupa",M10)),"OPEX",
                ISNUMBER(SEARCH("Abdullah Abdulkarim",M10)),"OPEX",
                ISNUMBER(SEARCH("Abdullah Fahad",M10)),"OPEX",
                ISNUMBER(SEARCH("ISO Arabia",M10)),"OPEX",
                ISNUMBER(SEARCH("Gulf Voyager",M10)),"OPEX",
                ISNUMBER(SEARCH("Ministry",M10)),"OPEX",
                ISNUMBER(SEARCH("General Authority of Zakat",M10)),"ZATCA",
                ISNUMBER(SEARCH("Rejected",L10)),"Other Income",
                TRUE,"COGS"
            ),
        TRUE,"-"
    ),
    "-"
)</f>
        <v>COGS</v>
      </c>
      <c r="AG10" s="25" t="str" cm="1">
        <f t="array" ref="AG10">_xlfn.IFNA(
    _xlfn.IFS(
        ISNUMBER(SEARCH("Payroll",L10)),"Payroll",
        ISNUMBER(SEARCH("Expatriate",L10)),"Government Fees",
        ISNUMBER(SEARCH("Zakat",M10)),"Zakat",
        ISNUMBER(SEARCH("Social Insurance",M10)),"Social Insurance",
        ISNUMBER(SEARCH("Saudi Electric",M10)),"Electricity",
        ISNUMBER(SEARCH("STC",M10)),"Telecom",
        ISNUMBER(SEARCH("National Water",M10)),"Water",
        ISNUMBER(SEARCH("Bupa",M10)),"Insurance",
        ISNUMBER(SEARCH("Gulf Voyager",M10)),"Travel",
        ISNUMBER(SEARCH("Ministry",M10)),"Government Fees",
        ISNUMBER(SEARCH("Abdullah Abdulkarim",M10)),"Consulting",
        ISNUMBER(SEARCH("Abdullah Fahad",M10)),"Accounting",
        ISNUMBER(SEARCH("ISO Arabia",M10)),"Consulting",
        ISNUMBER(SEARCH("Rejected",L10)),"Refund",
        AF10="COGS","Inventory Purchase",
        AF10="Revenue","Revenue",
        AF10="OPEX","Other",
        AF10="ZATCA","Zakat",
        TRUE,"-"
    ),
    "-"
)</f>
        <v>Inventory Purchase</v>
      </c>
      <c r="AH10" s="25" t="str" cm="1">
        <f t="array" ref="AH10">_xlfn.IFNA(
    _xlfn.IFS(
        AF10="-","Low",
        AF10="Other","Low",
        TRUE,"Medium"
    ),
    "-"
)</f>
        <v>Medium</v>
      </c>
      <c r="AI10" s="25" t="str">
        <f t="shared" si="3"/>
        <v>-</v>
      </c>
    </row>
    <row r="11" spans="1:35" x14ac:dyDescent="0.25">
      <c r="A11" s="10">
        <v>1</v>
      </c>
      <c r="B11" s="10" t="s">
        <v>35</v>
      </c>
      <c r="C11" s="10" t="s">
        <v>36</v>
      </c>
      <c r="D11" s="10" t="s">
        <v>37</v>
      </c>
      <c r="E11" s="10" t="s">
        <v>38</v>
      </c>
      <c r="F11" s="11" t="s">
        <v>39</v>
      </c>
      <c r="G11" s="11" t="s">
        <v>40</v>
      </c>
      <c r="H11" s="12">
        <v>45006</v>
      </c>
      <c r="I11" s="20">
        <v>159145.20000000001</v>
      </c>
      <c r="J11" s="20">
        <v>9201.15</v>
      </c>
      <c r="K11" s="10" t="s">
        <v>41</v>
      </c>
      <c r="L11" s="9" t="s">
        <v>56</v>
      </c>
      <c r="M11" s="9" t="s">
        <v>206</v>
      </c>
      <c r="N11" s="9" t="s">
        <v>207</v>
      </c>
      <c r="O11" s="9" t="s">
        <v>53</v>
      </c>
      <c r="P11" s="15">
        <v>45006</v>
      </c>
      <c r="Q11" s="9" t="s">
        <v>208</v>
      </c>
      <c r="R11" s="16">
        <v>9200</v>
      </c>
      <c r="S11" s="18">
        <v>1</v>
      </c>
      <c r="T11" s="18">
        <v>0.15</v>
      </c>
      <c r="U11" s="9" t="s">
        <v>55</v>
      </c>
      <c r="V11" s="24" t="str" cm="1">
        <f t="array" ref="V11">_xlfn.IFNA(
    _xlfn.IFS(
        ISNUMBER(SEARCH("Fast Outgoing Transfer",L11)),"Transfer",
        ISNUMBER(SEARCH("Incoming Fast Transfer",L11)),"Transfer",
        ISNUMBER(SEARCH("Outgoing International Transfer",L11)),"Transfer",
        ISNUMBER(SEARCH("Bill Payment",L11)),"SADAD",
        ISNUMBER(SEARCH("Payroll",L11)),"Payroll",
        ISNUMBER(SEARCH("Cash Deposit",L11)),"Cash",
        ISNUMBER(SEARCH("Internal Transfer",L11)),"Transfer",
        ISNUMBER(SEARCH("Expatriate Services Payment",L11)),"SADAD",
        ISNUMBER(SEARCH("Rejected",L11)),"Transfer"
    ),
    "-"
)</f>
        <v>Transfer</v>
      </c>
      <c r="W11" s="25" t="str" cm="1">
        <f t="array" ref="W11">_xlfn.IFNA(
    _xlfn.IFS(
        AND(V11="Transfer",ISNUMBER(SEARCH("RIYAD BANK",L11))),"External FI",
        AND(V11="Transfer",ISNUMBER(SEARCH("Al Ahli",L11))),"External FI",
        AND(V11="Transfer",ISNUMBER(SEARCH("CIB via",L11))),"Local Transfer",
        AND(V11="Transfer",ISNUMBER(SEARCH("CIB)",L11))),"Local Transfer",
        AND(V11="Transfer",ISNUMBER(SEARCH("SMRT",L11))),"Local Transfer",
        AND(V11="Transfer",ISNUMBER(SEARCH("Al Murabba",L11))),"Local Transfer",
        AND(V11="Transfer",ISNUMBER(SEARCH("Internal Transfer",L11))),"Same FI",
        AND(V11="Transfer",ISNUMBER(SEARCH("Rejected",L11))),"Failed",
        V11="SADAD",
            _xlfn.IFS(
                ISNUMBER(SEARCH("Expatriate",L11)),"Expat Fees",
                TRUE,"Online Payment"
            ),
        V11="Payroll","Payroll",
        V11="Cash","Deposit",
        TRUE,"-"
    ),
    "-"
)</f>
        <v>Local Transfer</v>
      </c>
      <c r="X11" s="25" t="str" cm="1">
        <f t="array" ref="X11">_xlfn.IFNA(
    _xlfn.IFS(
        V11="-","Low",
        W11="-","Low",
        TRUE,"High"
    ),
    "-"
)</f>
        <v>High</v>
      </c>
      <c r="Y11" s="25" t="str">
        <f t="shared" si="0"/>
        <v>-</v>
      </c>
      <c r="Z11" s="25" t="str" cm="1">
        <f t="array" ref="Z11">_xlfn.IFNA(
    _xlfn.IFS(
        ISNUMBER(SEARCH("Abdul Latif Jameel",M11)),"Lender",
        ISNUMBER(SEARCH("Abdullah Abdulkarim Al Sudais",M11)),"Accounting",
        ISNUMBER(SEARCH("Abdullah Fahad for Accounting",M11)),"Accounting",
        ISNUMBER(SEARCH("Abdullah Rashid Shaikh",M11)),"Shareholder",
        ISNUMBER(SEARCH("Advanced Equipments",M11)),"Equipment Rental",
        ISNUMBER(SEARCH("Al Banuk Sana",M11)),"Telecom Company",
        ISNUMBER(SEARCH("Al Khaleefa Factory",M11)),"Manufacturer",
        ISNUMBER(SEARCH("Al Saadeh Trading",M11)),"Trading Company",
        ISNUMBER(SEARCH("Al Zaehaan",M11)),"Trading Company",
        ISNUMBER(SEARCH("Ali Abdullah K Al Darwish",M11)),"Airlines",
        ISNUMBER(SEARCH("Bupa Arabia",M11)),"Health Insurance",
        ISNUMBER(SEARCH("Dar Fahoosaat",M11)),"Consultant",
        ISNUMBER(SEARCH("General Authority of Zakat",M11)),"Tax Collection",
        ISNUMBER(SEARCH("Gulf Voyager",M11)),"Travel Agency",
        ISNUMBER(SEARCH("Hopeway Trading",M11)),"Trading Company",
        ISNUMBER(SEARCH("Interhealth Medical",M11)),"Medical Services",
        ISNUMBER(SEARCH("Ishaar",M11)),"Online Payment Service",
        ISNUMBER(SEARCH("ISO Arabia",M11)),"Certification",
        ISNUMBER(SEARCH("Khalid Saad Al Otaibi",M11)),"Trading Company",
        ISNUMBER(SEARCH("MERAS for Decoration",M11)),"Decor Company",
        ISNUMBER(SEARCH("Middle East Customs Clearance",M11)),"Customs",
        ISNUMBER(SEARCH("Ministry of Human Resources",M11)),"Government",
        ISNUMBER(SEARCH("My Business Services",M11)),"Service Provider",
        ISNUMBER(SEARCH("National Water Company",M11)),"Water Company",
        ISNUMBER(SEARCH("Rania Contracting",M11)),"Contracting",
        ISNUMBER(SEARCH("Rashid Ali Sheikh",M11)),"Shareholder",
        ISNUMBER(SEARCH("Sahab United Motors",M11)),"Car Show Room",
        ISNUMBER(SEARCH("Saud Mohammed Al Tamimi",M11)),"Shareholder",
        ISNUMBER(SEARCH("Saud Mohammed Tamimi",M11)),"Shareholder",
        ISNUMBER(SEARCH("Saudi Electric Company",M11)),"Electricity Company",
        ISNUMBER(SEARCH("Saudi Vetonit",M11)),"Building Materials",
        ISNUMBER(SEARCH("Shomoul Eng",M11)),"Safety",
        ISNUMBER(SEARCH("STC",M11)),"Telecom Company",
        ISNUMBER(SEARCH("The General Organization for Social Insurance",M11)),"Social Insurance Agency",
        ISNUMBER(SEARCH("TUV Rheinland",M11)),"Certification",
        ISNUMBER(SEARCH("Al Arabia Ceramic",M11)),"Building Materials",
        ISNUMBER(SEARCH("National Company for Building and Marketing",M11)),"Parent Company",
        ISNUMBER(SEARCH("Athraa Holding",M11)),"Holding Company",
        ISNUMBER(SEARCH("Al Rasan",M11)),"Contracting",
        ISNUMBER(SEARCH("Raboua Al Haid",M11)),"Trading Company",
        ISNUMBER(SEARCH("Al Jazeera Paint",M11)),"Manufacturer",
        ISNUMBER(SEARCH("Rania Works Contracting",M11)),"Contracting",
        ISNUMBER(SEARCH("Bandar Jarallah",M11)),"Trading Establishment",
        ISNUMBER(SEARCH("RS Infratec Saudi",M11)),"Same Company",
        ISNUMBER(SEARCH("Payroll",M11)),"Bank",
        ISNUMBER(SEARCH("Expatriate",M11)),"Government",
        ISNUMBER(SEARCH("Unknown Sender",M11)),"Unknown",
        TRUE,"Unknown"
    ),
    "-"
)</f>
        <v>Safety</v>
      </c>
      <c r="AA11" s="25" t="str" cm="1">
        <f t="array" ref="AA11">_xlfn.IFNA(
    _xlfn.IFS(
        Z11="Lender","Financing",
        Z11="Accounting","Accounting",
        Z11="Shareholder","Individual",
        Z11="Equipment Rental","Equipment Rental",
        Z11="Telecom Company","Telecom",
        Z11="Manufacturer","Manufacturer",
        Z11="Trading Company","Trading And Transport",
        Z11="Trading Establishment","Trading",
        Z11="Airlines","Airlines",
        Z11="Health Insurance","Insurance",
        Z11="Consultant","Consultant",
        Z11="Tax Collection","Government",
        Z11="Travel Agency","Travel Agency",
        Z11="Medical Services","Medical Center",
        Z11="Online Payment Service","Payment Facilitator",
        Z11="Certification","Safety",
        Z11="Decor Company","Design",
        Z11="Customs","Customs",
        Z11="Government","Government",
        Z11="Service Provider","Service Provider",
        Z11="Water Company","Water Company",
        Z11="Contracting","Contracting",
        Z11="Car Show Room","Car Trader",
        Z11="Electricity Company","Electricity Company",
        Z11="Building Materials","Building Materials",
        Z11="Safety","Safety",
        Z11="Social Insurance Agency","Government Fund",
        Z11="Parent Company","Holding Company",
        Z11="Holding Company","Holding Company",
        Z11="Same Company","Construction",
        Z11="Bank","Bank",
        Z11="Unknown","Unknown",
        TRUE,"-"
    ),
    "-"
)</f>
        <v>Safety</v>
      </c>
      <c r="AB11" s="25" t="str">
        <f t="shared" si="1"/>
        <v>-</v>
      </c>
      <c r="AC11" s="25" t="str" cm="1">
        <f t="array" ref="AC11">_xlfn.IFNA(
    _xlfn.IFS(
        Z11="Shareholder","Shareholder",
        Z11="Same Company","Same Company",
        Z11="Bank","Bank",
        Z11="Government","Government",
        Z11="Social Insurance Agency","Government",
        Z11="Parent Company","Customer",
        Z11="Lender","Lender",
        Z11="Unknown","Unknown",
        ISNUMBER(SEARCH("Abdullah Abdulkarim",M11)),"Service Provider",
        ISNUMBER(SEARCH("Abdullah Fahad",M11)),"Service Provider",
        ISNUMBER(SEARCH("Advanced Equipments",M11)),"Supplier",
        ISNUMBER(SEARCH("Al Banuk Sana",M11)),"Supplier",
        ISNUMBER(SEARCH("Al Khaleefa Factory",M11)),"Supplier",
        ISNUMBER(SEARCH("Al Saadeh Trading",M11)),"Supplier",
        ISNUMBER(SEARCH("Al Zaehaan",M11)),"Supplier",
        ISNUMBER(SEARCH("Ali Abdullah K Al Darwish",M11)),"Service Provider",
        ISNUMBER(SEARCH("Bupa Arabia",M11)),"Insurance Company",
        ISNUMBER(SEARCH("Dar Fahoosaat",M11)),"Service Provider",
        ISNUMBER(SEARCH("General Authority of Zakat",M11)),"Tax Authority",
        ISNUMBER(SEARCH("Gulf Voyager",M11)),"Service Provider",
        ISNUMBER(SEARCH("Hopeway Trading",M11)),"Supplier",
        ISNUMBER(SEARCH("Interhealth Medical",M11)),"Customer",
        ISNUMBER(SEARCH("Ishaar",M11)),"Service Provider",
        ISNUMBER(SEARCH("ISO Arabia",M11)),"Service Provider",
        ISNUMBER(SEARCH("Khalid Saad Al Otaibi",M11)),"Supplier",
        ISNUMBER(SEARCH("MERAS for Decoration",M11)),"Supplier",
        ISNUMBER(SEARCH("Middle East Customs Clearance",M11)),"Service Provider",
        ISNUMBER(SEARCH("Ministry of Human Resources",M11)),"Regulatory Agency",
        ISNUMBER(SEARCH("My Business Services",M11)),"Service Provider",
        ISNUMBER(SEARCH("National Water Company",M11)),"Utility Provider",
        ISNUMBER(SEARCH("Rania Contracting",M11)),"Supplier",
        ISNUMBER(SEARCH("Sahab United Motors",M11)),"Supplier",
        ISNUMBER(SEARCH("Saudi Electric Company",M11)),"Utility Provider",
        ISNUMBER(SEARCH("Saudi Vetonit",M11)),"Supplier",
        ISNUMBER(SEARCH("Shomoul Eng",M11)),"Service Provider",
        ISNUMBER(SEARCH("STC",M11)),"Utility Provider",
        ISNUMBER(SEARCH("The General Organization for Social Insurance",M11)),"Social Insurance Agency",
        ISNUMBER(SEARCH("TUV Rheinland",M11)),"Service Provider",
        ISNUMBER(SEARCH("Al Arabia Ceramic",M11)),"Supplier",
        ISNUMBER(SEARCH("National Company for Building",M11)),"Customer",
        ISNUMBER(SEARCH("Athraa Holding",M11)),"Customer",
        ISNUMBER(SEARCH("Al Rasan",M11)),"Supplier",
        ISNUMBER(SEARCH("Raboua Al Haid",M11)),"Customer",
        ISNUMBER(SEARCH("Al Jazeera Paint",M11)),"Supplier",
        ISNUMBER(SEARCH("Rania Works Contracting",M11)),"Supplier",
        ISNUMBER(SEARCH("Bandar Jarallah",M11)),"Supplier",
        TRUE,"Supplier"
    ),
    "-"
)</f>
        <v>Service Provider</v>
      </c>
      <c r="AD11" s="25" t="str" cm="1">
        <f t="array" ref="AD11">_xlfn.IFNA(
    _xlfn.IFS(
        AC11="Same Company","High",
        AC11="Shareholder","High",
        AC11="Government","High",
        AC11="Bank","High",
        AC11="Lender","High",
        AC11="Unknown","Low",
        AC11="-","Low",
        TRUE,"Medium"
    ),
    "-"
)</f>
        <v>Medium</v>
      </c>
      <c r="AE11" s="25" t="str">
        <f t="shared" si="2"/>
        <v>-</v>
      </c>
      <c r="AF11" s="25" t="str" cm="1">
        <f t="array" ref="AF11">_xlfn.IFNA(
    _xlfn.IFS(
        K11="Credit",
            _xlfn.IFS(
                OR(ISNUMBER(SEARCH("Rejected",L11)),ISNUMBER(SEARCH("Returned",L11))),"Other Income",
                TRUE,"Revenue"
            ),
        K11="Debit",
            _xlfn.IFS(
                ISNUMBER(SEARCH("Payroll",L11)),"OPEX",
                ISNUMBER(SEARCH("Expatriate",L11)),"OPEX",
                ISNUMBER(SEARCH("Zakat",M11)),"ZATCA",
                ISNUMBER(SEARCH("General Organization for Social Insurance",M11)),"OPEX",
                ISNUMBER(SEARCH("Saudi Electric",M11)),"OPEX",
                ISNUMBER(SEARCH("STC",M11)),"OPEX",
                ISNUMBER(SEARCH("National Water",M11)),"OPEX",
                ISNUMBER(SEARCH("Bupa",M11)),"OPEX",
                ISNUMBER(SEARCH("Abdullah Abdulkarim",M11)),"OPEX",
                ISNUMBER(SEARCH("Abdullah Fahad",M11)),"OPEX",
                ISNUMBER(SEARCH("ISO Arabia",M11)),"OPEX",
                ISNUMBER(SEARCH("Gulf Voyager",M11)),"OPEX",
                ISNUMBER(SEARCH("Ministry",M11)),"OPEX",
                ISNUMBER(SEARCH("General Authority of Zakat",M11)),"ZATCA",
                ISNUMBER(SEARCH("Rejected",L11)),"Other Income",
                TRUE,"COGS"
            ),
        TRUE,"-"
    ),
    "-"
)</f>
        <v>COGS</v>
      </c>
      <c r="AG11" s="25" t="str" cm="1">
        <f t="array" ref="AG11">_xlfn.IFNA(
    _xlfn.IFS(
        ISNUMBER(SEARCH("Payroll",L11)),"Payroll",
        ISNUMBER(SEARCH("Expatriate",L11)),"Government Fees",
        ISNUMBER(SEARCH("Zakat",M11)),"Zakat",
        ISNUMBER(SEARCH("Social Insurance",M11)),"Social Insurance",
        ISNUMBER(SEARCH("Saudi Electric",M11)),"Electricity",
        ISNUMBER(SEARCH("STC",M11)),"Telecom",
        ISNUMBER(SEARCH("National Water",M11)),"Water",
        ISNUMBER(SEARCH("Bupa",M11)),"Insurance",
        ISNUMBER(SEARCH("Gulf Voyager",M11)),"Travel",
        ISNUMBER(SEARCH("Ministry",M11)),"Government Fees",
        ISNUMBER(SEARCH("Abdullah Abdulkarim",M11)),"Consulting",
        ISNUMBER(SEARCH("Abdullah Fahad",M11)),"Accounting",
        ISNUMBER(SEARCH("ISO Arabia",M11)),"Consulting",
        ISNUMBER(SEARCH("Rejected",L11)),"Refund",
        AF11="COGS","Inventory Purchase",
        AF11="Revenue","Revenue",
        AF11="OPEX","Other",
        AF11="ZATCA","Zakat",
        TRUE,"-"
    ),
    "-"
)</f>
        <v>Inventory Purchase</v>
      </c>
      <c r="AH11" s="25" t="str" cm="1">
        <f t="array" ref="AH11">_xlfn.IFNA(
    _xlfn.IFS(
        AF11="-","Low",
        AF11="Other","Low",
        TRUE,"Medium"
    ),
    "-"
)</f>
        <v>Medium</v>
      </c>
      <c r="AI11" s="25" t="str">
        <f t="shared" si="3"/>
        <v>-</v>
      </c>
    </row>
    <row r="12" spans="1:35" x14ac:dyDescent="0.25">
      <c r="A12" s="10">
        <v>1</v>
      </c>
      <c r="B12" s="10" t="s">
        <v>35</v>
      </c>
      <c r="C12" s="10" t="s">
        <v>36</v>
      </c>
      <c r="D12" s="10" t="s">
        <v>37</v>
      </c>
      <c r="E12" s="10" t="s">
        <v>38</v>
      </c>
      <c r="F12" s="11" t="s">
        <v>39</v>
      </c>
      <c r="G12" s="11" t="s">
        <v>40</v>
      </c>
      <c r="H12" s="12">
        <v>45078</v>
      </c>
      <c r="I12" s="20">
        <v>73353.440000000002</v>
      </c>
      <c r="J12" s="20">
        <v>2301.15</v>
      </c>
      <c r="K12" s="10" t="s">
        <v>41</v>
      </c>
      <c r="L12" s="9" t="s">
        <v>56</v>
      </c>
      <c r="M12" s="9" t="s">
        <v>220</v>
      </c>
      <c r="N12" s="9" t="s">
        <v>221</v>
      </c>
      <c r="O12" s="9" t="s">
        <v>222</v>
      </c>
      <c r="P12" s="15">
        <v>45078</v>
      </c>
      <c r="Q12" s="9" t="s">
        <v>223</v>
      </c>
      <c r="R12" s="16">
        <v>2300</v>
      </c>
      <c r="S12" s="18">
        <v>1</v>
      </c>
      <c r="T12" s="18">
        <v>0.15</v>
      </c>
      <c r="U12" s="9" t="s">
        <v>55</v>
      </c>
      <c r="V12" s="24" t="str" cm="1">
        <f t="array" ref="V12">_xlfn.IFNA(
    _xlfn.IFS(
        ISNUMBER(SEARCH("Fast Outgoing Transfer",L12)),"Transfer",
        ISNUMBER(SEARCH("Incoming Fast Transfer",L12)),"Transfer",
        ISNUMBER(SEARCH("Outgoing International Transfer",L12)),"Transfer",
        ISNUMBER(SEARCH("Bill Payment",L12)),"SADAD",
        ISNUMBER(SEARCH("Payroll",L12)),"Payroll",
        ISNUMBER(SEARCH("Cash Deposit",L12)),"Cash",
        ISNUMBER(SEARCH("Internal Transfer",L12)),"Transfer",
        ISNUMBER(SEARCH("Expatriate Services Payment",L12)),"SADAD",
        ISNUMBER(SEARCH("Rejected",L12)),"Transfer"
    ),
    "-"
)</f>
        <v>Transfer</v>
      </c>
      <c r="W12" s="25" t="str" cm="1">
        <f t="array" ref="W12">_xlfn.IFNA(
    _xlfn.IFS(
        AND(V12="Transfer",ISNUMBER(SEARCH("RIYAD BANK",L12))),"External FI",
        AND(V12="Transfer",ISNUMBER(SEARCH("Al Ahli",L12))),"External FI",
        AND(V12="Transfer",ISNUMBER(SEARCH("CIB via",L12))),"Local Transfer",
        AND(V12="Transfer",ISNUMBER(SEARCH("CIB)",L12))),"Local Transfer",
        AND(V12="Transfer",ISNUMBER(SEARCH("SMRT",L12))),"Local Transfer",
        AND(V12="Transfer",ISNUMBER(SEARCH("Al Murabba",L12))),"Local Transfer",
        AND(V12="Transfer",ISNUMBER(SEARCH("Internal Transfer",L12))),"Same FI",
        AND(V12="Transfer",ISNUMBER(SEARCH("Rejected",L12))),"Failed",
        V12="SADAD",
            _xlfn.IFS(
                ISNUMBER(SEARCH("Expatriate",L12)),"Expat Fees",
                TRUE,"Online Payment"
            ),
        V12="Payroll","Payroll",
        V12="Cash","Deposit",
        TRUE,"-"
    ),
    "-"
)</f>
        <v>Local Transfer</v>
      </c>
      <c r="X12" s="25" t="str" cm="1">
        <f t="array" ref="X12">_xlfn.IFNA(
    _xlfn.IFS(
        V12="-","Low",
        W12="-","Low",
        TRUE,"High"
    ),
    "-"
)</f>
        <v>High</v>
      </c>
      <c r="Y12" s="25" t="str">
        <f t="shared" si="0"/>
        <v>-</v>
      </c>
      <c r="Z12" s="25" t="str" cm="1">
        <f t="array" ref="Z12">_xlfn.IFNA(
    _xlfn.IFS(
        ISNUMBER(SEARCH("Abdul Latif Jameel",M12)),"Lender",
        ISNUMBER(SEARCH("Abdullah Abdulkarim Al Sudais",M12)),"Accounting",
        ISNUMBER(SEARCH("Abdullah Fahad for Accounting",M12)),"Accounting",
        ISNUMBER(SEARCH("Abdullah Rashid Shaikh",M12)),"Shareholder",
        ISNUMBER(SEARCH("Advanced Equipments",M12)),"Equipment Rental",
        ISNUMBER(SEARCH("Al Banuk Sana",M12)),"Telecom Company",
        ISNUMBER(SEARCH("Al Khaleefa Factory",M12)),"Manufacturer",
        ISNUMBER(SEARCH("Al Saadeh Trading",M12)),"Trading Company",
        ISNUMBER(SEARCH("Al Zaehaan",M12)),"Trading Company",
        ISNUMBER(SEARCH("Ali Abdullah K Al Darwish",M12)),"Airlines",
        ISNUMBER(SEARCH("Bupa Arabia",M12)),"Health Insurance",
        ISNUMBER(SEARCH("Dar Fahoosaat",M12)),"Consultant",
        ISNUMBER(SEARCH("General Authority of Zakat",M12)),"Tax Collection",
        ISNUMBER(SEARCH("Gulf Voyager",M12)),"Travel Agency",
        ISNUMBER(SEARCH("Hopeway Trading",M12)),"Trading Company",
        ISNUMBER(SEARCH("Interhealth Medical",M12)),"Medical Services",
        ISNUMBER(SEARCH("Ishaar",M12)),"Online Payment Service",
        ISNUMBER(SEARCH("ISO Arabia",M12)),"Certification",
        ISNUMBER(SEARCH("Khalid Saad Al Otaibi",M12)),"Trading Company",
        ISNUMBER(SEARCH("MERAS for Decoration",M12)),"Decor Company",
        ISNUMBER(SEARCH("Middle East Customs Clearance",M12)),"Customs",
        ISNUMBER(SEARCH("Ministry of Human Resources",M12)),"Government",
        ISNUMBER(SEARCH("My Business Services",M12)),"Service Provider",
        ISNUMBER(SEARCH("National Water Company",M12)),"Water Company",
        ISNUMBER(SEARCH("Rania Contracting",M12)),"Contracting",
        ISNUMBER(SEARCH("Rashid Ali Sheikh",M12)),"Shareholder",
        ISNUMBER(SEARCH("Sahab United Motors",M12)),"Car Show Room",
        ISNUMBER(SEARCH("Saud Mohammed Al Tamimi",M12)),"Shareholder",
        ISNUMBER(SEARCH("Saud Mohammed Tamimi",M12)),"Shareholder",
        ISNUMBER(SEARCH("Saudi Electric Company",M12)),"Electricity Company",
        ISNUMBER(SEARCH("Saudi Vetonit",M12)),"Building Materials",
        ISNUMBER(SEARCH("Shomoul Eng",M12)),"Safety",
        ISNUMBER(SEARCH("STC",M12)),"Telecom Company",
        ISNUMBER(SEARCH("The General Organization for Social Insurance",M12)),"Social Insurance Agency",
        ISNUMBER(SEARCH("TUV Rheinland",M12)),"Certification",
        ISNUMBER(SEARCH("Al Arabia Ceramic",M12)),"Building Materials",
        ISNUMBER(SEARCH("National Company for Building and Marketing",M12)),"Parent Company",
        ISNUMBER(SEARCH("Athraa Holding",M12)),"Holding Company",
        ISNUMBER(SEARCH("Al Rasan",M12)),"Contracting",
        ISNUMBER(SEARCH("Raboua Al Haid",M12)),"Trading Company",
        ISNUMBER(SEARCH("Al Jazeera Paint",M12)),"Manufacturer",
        ISNUMBER(SEARCH("Rania Works Contracting",M12)),"Contracting",
        ISNUMBER(SEARCH("Bandar Jarallah",M12)),"Trading Establishment",
        ISNUMBER(SEARCH("RS Infratec Saudi",M12)),"Same Company",
        ISNUMBER(SEARCH("Payroll",M12)),"Bank",
        ISNUMBER(SEARCH("Expatriate",M12)),"Government",
        ISNUMBER(SEARCH("Unknown Sender",M12)),"Unknown",
        TRUE,"Unknown"
    ),
    "-"
)</f>
        <v>Certification</v>
      </c>
      <c r="AA12" s="25" t="str" cm="1">
        <f t="array" ref="AA12">_xlfn.IFNA(
    _xlfn.IFS(
        Z12="Lender","Financing",
        Z12="Accounting","Accounting",
        Z12="Shareholder","Individual",
        Z12="Equipment Rental","Equipment Rental",
        Z12="Telecom Company","Telecom",
        Z12="Manufacturer","Manufacturer",
        Z12="Trading Company","Trading And Transport",
        Z12="Trading Establishment","Trading",
        Z12="Airlines","Airlines",
        Z12="Health Insurance","Insurance",
        Z12="Consultant","Consultant",
        Z12="Tax Collection","Government",
        Z12="Travel Agency","Travel Agency",
        Z12="Medical Services","Medical Center",
        Z12="Online Payment Service","Payment Facilitator",
        Z12="Certification","Safety",
        Z12="Decor Company","Design",
        Z12="Customs","Customs",
        Z12="Government","Government",
        Z12="Service Provider","Service Provider",
        Z12="Water Company","Water Company",
        Z12="Contracting","Contracting",
        Z12="Car Show Room","Car Trader",
        Z12="Electricity Company","Electricity Company",
        Z12="Building Materials","Building Materials",
        Z12="Safety","Safety",
        Z12="Social Insurance Agency","Government Fund",
        Z12="Parent Company","Holding Company",
        Z12="Holding Company","Holding Company",
        Z12="Same Company","Construction",
        Z12="Bank","Bank",
        Z12="Unknown","Unknown",
        TRUE,"-"
    ),
    "-"
)</f>
        <v>Safety</v>
      </c>
      <c r="AB12" s="25" t="str">
        <f t="shared" si="1"/>
        <v>-</v>
      </c>
      <c r="AC12" s="25" t="str" cm="1">
        <f t="array" ref="AC12">_xlfn.IFNA(
    _xlfn.IFS(
        Z12="Shareholder","Shareholder",
        Z12="Same Company","Same Company",
        Z12="Bank","Bank",
        Z12="Government","Government",
        Z12="Social Insurance Agency","Government",
        Z12="Parent Company","Customer",
        Z12="Lender","Lender",
        Z12="Unknown","Unknown",
        ISNUMBER(SEARCH("Abdullah Abdulkarim",M12)),"Service Provider",
        ISNUMBER(SEARCH("Abdullah Fahad",M12)),"Service Provider",
        ISNUMBER(SEARCH("Advanced Equipments",M12)),"Supplier",
        ISNUMBER(SEARCH("Al Banuk Sana",M12)),"Supplier",
        ISNUMBER(SEARCH("Al Khaleefa Factory",M12)),"Supplier",
        ISNUMBER(SEARCH("Al Saadeh Trading",M12)),"Supplier",
        ISNUMBER(SEARCH("Al Zaehaan",M12)),"Supplier",
        ISNUMBER(SEARCH("Ali Abdullah K Al Darwish",M12)),"Service Provider",
        ISNUMBER(SEARCH("Bupa Arabia",M12)),"Insurance Company",
        ISNUMBER(SEARCH("Dar Fahoosaat",M12)),"Service Provider",
        ISNUMBER(SEARCH("General Authority of Zakat",M12)),"Tax Authority",
        ISNUMBER(SEARCH("Gulf Voyager",M12)),"Service Provider",
        ISNUMBER(SEARCH("Hopeway Trading",M12)),"Supplier",
        ISNUMBER(SEARCH("Interhealth Medical",M12)),"Customer",
        ISNUMBER(SEARCH("Ishaar",M12)),"Service Provider",
        ISNUMBER(SEARCH("ISO Arabia",M12)),"Service Provider",
        ISNUMBER(SEARCH("Khalid Saad Al Otaibi",M12)),"Supplier",
        ISNUMBER(SEARCH("MERAS for Decoration",M12)),"Supplier",
        ISNUMBER(SEARCH("Middle East Customs Clearance",M12)),"Service Provider",
        ISNUMBER(SEARCH("Ministry of Human Resources",M12)),"Regulatory Agency",
        ISNUMBER(SEARCH("My Business Services",M12)),"Service Provider",
        ISNUMBER(SEARCH("National Water Company",M12)),"Utility Provider",
        ISNUMBER(SEARCH("Rania Contracting",M12)),"Supplier",
        ISNUMBER(SEARCH("Sahab United Motors",M12)),"Supplier",
        ISNUMBER(SEARCH("Saudi Electric Company",M12)),"Utility Provider",
        ISNUMBER(SEARCH("Saudi Vetonit",M12)),"Supplier",
        ISNUMBER(SEARCH("Shomoul Eng",M12)),"Service Provider",
        ISNUMBER(SEARCH("STC",M12)),"Utility Provider",
        ISNUMBER(SEARCH("The General Organization for Social Insurance",M12)),"Social Insurance Agency",
        ISNUMBER(SEARCH("TUV Rheinland",M12)),"Service Provider",
        ISNUMBER(SEARCH("Al Arabia Ceramic",M12)),"Supplier",
        ISNUMBER(SEARCH("National Company for Building",M12)),"Customer",
        ISNUMBER(SEARCH("Athraa Holding",M12)),"Customer",
        ISNUMBER(SEARCH("Al Rasan",M12)),"Supplier",
        ISNUMBER(SEARCH("Raboua Al Haid",M12)),"Customer",
        ISNUMBER(SEARCH("Al Jazeera Paint",M12)),"Supplier",
        ISNUMBER(SEARCH("Rania Works Contracting",M12)),"Supplier",
        ISNUMBER(SEARCH("Bandar Jarallah",M12)),"Supplier",
        TRUE,"Supplier"
    ),
    "-"
)</f>
        <v>Service Provider</v>
      </c>
      <c r="AD12" s="25" t="str" cm="1">
        <f t="array" ref="AD12">_xlfn.IFNA(
    _xlfn.IFS(
        AC12="Same Company","High",
        AC12="Shareholder","High",
        AC12="Government","High",
        AC12="Bank","High",
        AC12="Lender","High",
        AC12="Unknown","Low",
        AC12="-","Low",
        TRUE,"Medium"
    ),
    "-"
)</f>
        <v>Medium</v>
      </c>
      <c r="AE12" s="25" t="str">
        <f t="shared" si="2"/>
        <v>-</v>
      </c>
      <c r="AF12" s="25" t="str" cm="1">
        <f t="array" ref="AF12">_xlfn.IFNA(
    _xlfn.IFS(
        K12="Credit",
            _xlfn.IFS(
                OR(ISNUMBER(SEARCH("Rejected",L12)),ISNUMBER(SEARCH("Returned",L12))),"Other Income",
                TRUE,"Revenue"
            ),
        K12="Debit",
            _xlfn.IFS(
                ISNUMBER(SEARCH("Payroll",L12)),"OPEX",
                ISNUMBER(SEARCH("Expatriate",L12)),"OPEX",
                ISNUMBER(SEARCH("Zakat",M12)),"ZATCA",
                ISNUMBER(SEARCH("General Organization for Social Insurance",M12)),"OPEX",
                ISNUMBER(SEARCH("Saudi Electric",M12)),"OPEX",
                ISNUMBER(SEARCH("STC",M12)),"OPEX",
                ISNUMBER(SEARCH("National Water",M12)),"OPEX",
                ISNUMBER(SEARCH("Bupa",M12)),"OPEX",
                ISNUMBER(SEARCH("Abdullah Abdulkarim",M12)),"OPEX",
                ISNUMBER(SEARCH("Abdullah Fahad",M12)),"OPEX",
                ISNUMBER(SEARCH("ISO Arabia",M12)),"OPEX",
                ISNUMBER(SEARCH("Gulf Voyager",M12)),"OPEX",
                ISNUMBER(SEARCH("Ministry",M12)),"OPEX",
                ISNUMBER(SEARCH("General Authority of Zakat",M12)),"ZATCA",
                ISNUMBER(SEARCH("Rejected",L12)),"Other Income",
                TRUE,"COGS"
            ),
        TRUE,"-"
    ),
    "-"
)</f>
        <v>COGS</v>
      </c>
      <c r="AG12" s="25" t="str" cm="1">
        <f t="array" ref="AG12">_xlfn.IFNA(
    _xlfn.IFS(
        ISNUMBER(SEARCH("Payroll",L12)),"Payroll",
        ISNUMBER(SEARCH("Expatriate",L12)),"Government Fees",
        ISNUMBER(SEARCH("Zakat",M12)),"Zakat",
        ISNUMBER(SEARCH("Social Insurance",M12)),"Social Insurance",
        ISNUMBER(SEARCH("Saudi Electric",M12)),"Electricity",
        ISNUMBER(SEARCH("STC",M12)),"Telecom",
        ISNUMBER(SEARCH("National Water",M12)),"Water",
        ISNUMBER(SEARCH("Bupa",M12)),"Insurance",
        ISNUMBER(SEARCH("Gulf Voyager",M12)),"Travel",
        ISNUMBER(SEARCH("Ministry",M12)),"Government Fees",
        ISNUMBER(SEARCH("Abdullah Abdulkarim",M12)),"Consulting",
        ISNUMBER(SEARCH("Abdullah Fahad",M12)),"Accounting",
        ISNUMBER(SEARCH("ISO Arabia",M12)),"Consulting",
        ISNUMBER(SEARCH("Rejected",L12)),"Refund",
        AF12="COGS","Inventory Purchase",
        AF12="Revenue","Revenue",
        AF12="OPEX","Other",
        AF12="ZATCA","Zakat",
        TRUE,"-"
    ),
    "-"
)</f>
        <v>Inventory Purchase</v>
      </c>
      <c r="AH12" s="25" t="str" cm="1">
        <f t="array" ref="AH12">_xlfn.IFNA(
    _xlfn.IFS(
        AF12="-","Low",
        AF12="Other","Low",
        TRUE,"Medium"
    ),
    "-"
)</f>
        <v>Medium</v>
      </c>
      <c r="AI12" s="25" t="str">
        <f t="shared" si="3"/>
        <v>-</v>
      </c>
    </row>
    <row r="13" spans="1:35" x14ac:dyDescent="0.25">
      <c r="A13" s="10">
        <v>1</v>
      </c>
      <c r="B13" s="10" t="s">
        <v>35</v>
      </c>
      <c r="C13" s="10" t="s">
        <v>36</v>
      </c>
      <c r="D13" s="10" t="s">
        <v>37</v>
      </c>
      <c r="E13" s="10" t="s">
        <v>38</v>
      </c>
      <c r="F13" s="11" t="s">
        <v>39</v>
      </c>
      <c r="G13" s="11" t="s">
        <v>40</v>
      </c>
      <c r="H13" s="12">
        <v>45078</v>
      </c>
      <c r="I13" s="20">
        <v>51854.74</v>
      </c>
      <c r="J13" s="20">
        <v>50000</v>
      </c>
      <c r="K13" s="10" t="s">
        <v>116</v>
      </c>
      <c r="L13" s="9" t="s">
        <v>224</v>
      </c>
      <c r="M13" s="9" t="s">
        <v>295</v>
      </c>
      <c r="O13" s="9" t="s">
        <v>226</v>
      </c>
      <c r="P13" s="15">
        <v>45078</v>
      </c>
      <c r="Q13" s="9" t="s">
        <v>296</v>
      </c>
      <c r="R13" s="16">
        <v>50000</v>
      </c>
      <c r="U13" s="9" t="s">
        <v>55</v>
      </c>
      <c r="V13" s="24" t="str" cm="1">
        <f t="array" ref="V13">_xlfn.IFNA(
    _xlfn.IFS(
        ISNUMBER(SEARCH("Fast Outgoing Transfer",L13)),"Transfer",
        ISNUMBER(SEARCH("Incoming Fast Transfer",L13)),"Transfer",
        ISNUMBER(SEARCH("Outgoing International Transfer",L13)),"Transfer",
        ISNUMBER(SEARCH("Bill Payment",L13)),"SADAD",
        ISNUMBER(SEARCH("Payroll",L13)),"Payroll",
        ISNUMBER(SEARCH("Cash Deposit",L13)),"Cash",
        ISNUMBER(SEARCH("Internal Transfer",L13)),"Transfer",
        ISNUMBER(SEARCH("Expatriate Services Payment",L13)),"SADAD",
        ISNUMBER(SEARCH("Rejected",L13)),"Transfer"
    ),
    "-"
)</f>
        <v>Transfer</v>
      </c>
      <c r="W13" s="25" t="str" cm="1">
        <f t="array" ref="W13">_xlfn.IFNA(
    _xlfn.IFS(
        AND(V13="Transfer",ISNUMBER(SEARCH("RIYAD BANK",L13))),"External FI",
        AND(V13="Transfer",ISNUMBER(SEARCH("Al Ahli",L13))),"External FI",
        AND(V13="Transfer",ISNUMBER(SEARCH("CIB via",L13))),"Local Transfer",
        AND(V13="Transfer",ISNUMBER(SEARCH("CIB)",L13))),"Local Transfer",
        AND(V13="Transfer",ISNUMBER(SEARCH("SMRT",L13))),"Local Transfer",
        AND(V13="Transfer",ISNUMBER(SEARCH("Al Murabba",L13))),"Local Transfer",
        AND(V13="Transfer",ISNUMBER(SEARCH("Internal Transfer",L13))),"Same FI",
        AND(V13="Transfer",ISNUMBER(SEARCH("Rejected",L13))),"Failed",
        V13="SADAD",
            _xlfn.IFS(
                ISNUMBER(SEARCH("Expatriate",L13)),"Expat Fees",
                TRUE,"Online Payment"
            ),
        V13="Payroll","Payroll",
        V13="Cash","Deposit",
        TRUE,"-"
    ),
    "-"
)</f>
        <v>Local Transfer</v>
      </c>
      <c r="X13" s="25" t="str" cm="1">
        <f t="array" ref="X13">_xlfn.IFNA(
    _xlfn.IFS(
        V13="-","Low",
        W13="-","Low",
        TRUE,"High"
    ),
    "-"
)</f>
        <v>High</v>
      </c>
      <c r="Y13" s="25" t="str">
        <f t="shared" si="0"/>
        <v>-</v>
      </c>
      <c r="Z13" s="25" t="str" cm="1">
        <f t="array" ref="Z13">_xlfn.IFNA(
    _xlfn.IFS(
        ISNUMBER(SEARCH("Abdul Latif Jameel",M13)),"Lender",
        ISNUMBER(SEARCH("Abdullah Abdulkarim Al Sudais",M13)),"Accounting",
        ISNUMBER(SEARCH("Abdullah Fahad for Accounting",M13)),"Accounting",
        ISNUMBER(SEARCH("Abdullah Rashid Shaikh",M13)),"Shareholder",
        ISNUMBER(SEARCH("Advanced Equipments",M13)),"Equipment Rental",
        ISNUMBER(SEARCH("Al Banuk Sana",M13)),"Telecom Company",
        ISNUMBER(SEARCH("Al Khaleefa Factory",M13)),"Manufacturer",
        ISNUMBER(SEARCH("Al Saadeh Trading",M13)),"Trading Company",
        ISNUMBER(SEARCH("Al Zaehaan",M13)),"Trading Company",
        ISNUMBER(SEARCH("Ali Abdullah K Al Darwish",M13)),"Airlines",
        ISNUMBER(SEARCH("Bupa Arabia",M13)),"Health Insurance",
        ISNUMBER(SEARCH("Dar Fahoosaat",M13)),"Consultant",
        ISNUMBER(SEARCH("General Authority of Zakat",M13)),"Tax Collection",
        ISNUMBER(SEARCH("Gulf Voyager",M13)),"Travel Agency",
        ISNUMBER(SEARCH("Hopeway Trading",M13)),"Trading Company",
        ISNUMBER(SEARCH("Interhealth Medical",M13)),"Medical Services",
        ISNUMBER(SEARCH("Ishaar",M13)),"Online Payment Service",
        ISNUMBER(SEARCH("ISO Arabia",M13)),"Certification",
        ISNUMBER(SEARCH("Khalid Saad Al Otaibi",M13)),"Trading Company",
        ISNUMBER(SEARCH("MERAS for Decoration",M13)),"Decor Company",
        ISNUMBER(SEARCH("Middle East Customs Clearance",M13)),"Customs",
        ISNUMBER(SEARCH("Ministry of Human Resources",M13)),"Government",
        ISNUMBER(SEARCH("My Business Services",M13)),"Service Provider",
        ISNUMBER(SEARCH("National Water Company",M13)),"Water Company",
        ISNUMBER(SEARCH("Rania Contracting",M13)),"Contracting",
        ISNUMBER(SEARCH("Rashid Ali Sheikh",M13)),"Shareholder",
        ISNUMBER(SEARCH("Sahab United Motors",M13)),"Car Show Room",
        ISNUMBER(SEARCH("Saud Mohammed Al Tamimi",M13)),"Shareholder",
        ISNUMBER(SEARCH("Saud Mohammed Tamimi",M13)),"Shareholder",
        ISNUMBER(SEARCH("Saudi Electric Company",M13)),"Electricity Company",
        ISNUMBER(SEARCH("Saudi Vetonit",M13)),"Building Materials",
        ISNUMBER(SEARCH("Shomoul Eng",M13)),"Safety",
        ISNUMBER(SEARCH("STC",M13)),"Telecom Company",
        ISNUMBER(SEARCH("The General Organization for Social Insurance",M13)),"Social Insurance Agency",
        ISNUMBER(SEARCH("TUV Rheinland",M13)),"Certification",
        ISNUMBER(SEARCH("Al Arabia Ceramic",M13)),"Building Materials",
        ISNUMBER(SEARCH("National Company for Building and Marketing",M13)),"Parent Company",
        ISNUMBER(SEARCH("Athraa Holding",M13)),"Holding Company",
        ISNUMBER(SEARCH("Al Rasan",M13)),"Contracting",
        ISNUMBER(SEARCH("Raboua Al Haid",M13)),"Trading Company",
        ISNUMBER(SEARCH("Al Jazeera Paint",M13)),"Manufacturer",
        ISNUMBER(SEARCH("Rania Works Contracting",M13)),"Contracting",
        ISNUMBER(SEARCH("Bandar Jarallah",M13)),"Trading Establishment",
        ISNUMBER(SEARCH("RS Infratec Saudi",M13)),"Same Company",
        ISNUMBER(SEARCH("Payroll",M13)),"Bank",
        ISNUMBER(SEARCH("Expatriate",M13)),"Government",
        ISNUMBER(SEARCH("Unknown Sender",M13)),"Unknown",
        TRUE,"Unknown"
    ),
    "-"
)</f>
        <v>Holding Company</v>
      </c>
      <c r="AA13" s="25" t="str" cm="1">
        <f t="array" ref="AA13">_xlfn.IFNA(
    _xlfn.IFS(
        Z13="Lender","Financing",
        Z13="Accounting","Accounting",
        Z13="Shareholder","Individual",
        Z13="Equipment Rental","Equipment Rental",
        Z13="Telecom Company","Telecom",
        Z13="Manufacturer","Manufacturer",
        Z13="Trading Company","Trading And Transport",
        Z13="Trading Establishment","Trading",
        Z13="Airlines","Airlines",
        Z13="Health Insurance","Insurance",
        Z13="Consultant","Consultant",
        Z13="Tax Collection","Government",
        Z13="Travel Agency","Travel Agency",
        Z13="Medical Services","Medical Center",
        Z13="Online Payment Service","Payment Facilitator",
        Z13="Certification","Safety",
        Z13="Decor Company","Design",
        Z13="Customs","Customs",
        Z13="Government","Government",
        Z13="Service Provider","Service Provider",
        Z13="Water Company","Water Company",
        Z13="Contracting","Contracting",
        Z13="Car Show Room","Car Trader",
        Z13="Electricity Company","Electricity Company",
        Z13="Building Materials","Building Materials",
        Z13="Safety","Safety",
        Z13="Social Insurance Agency","Government Fund",
        Z13="Parent Company","Holding Company",
        Z13="Holding Company","Holding Company",
        Z13="Same Company","Construction",
        Z13="Bank","Bank",
        Z13="Unknown","Unknown",
        TRUE,"-"
    ),
    "-"
)</f>
        <v>Holding Company</v>
      </c>
      <c r="AB13" s="25" t="str">
        <f t="shared" si="1"/>
        <v>-</v>
      </c>
      <c r="AC13" s="25" t="str" cm="1">
        <f t="array" ref="AC13">_xlfn.IFNA(
    _xlfn.IFS(
        Z13="Shareholder","Shareholder",
        Z13="Same Company","Same Company",
        Z13="Bank","Bank",
        Z13="Government","Government",
        Z13="Social Insurance Agency","Government",
        Z13="Parent Company","Customer",
        Z13="Lender","Lender",
        Z13="Unknown","Unknown",
        ISNUMBER(SEARCH("Abdullah Abdulkarim",M13)),"Service Provider",
        ISNUMBER(SEARCH("Abdullah Fahad",M13)),"Service Provider",
        ISNUMBER(SEARCH("Advanced Equipments",M13)),"Supplier",
        ISNUMBER(SEARCH("Al Banuk Sana",M13)),"Supplier",
        ISNUMBER(SEARCH("Al Khaleefa Factory",M13)),"Supplier",
        ISNUMBER(SEARCH("Al Saadeh Trading",M13)),"Supplier",
        ISNUMBER(SEARCH("Al Zaehaan",M13)),"Supplier",
        ISNUMBER(SEARCH("Ali Abdullah K Al Darwish",M13)),"Service Provider",
        ISNUMBER(SEARCH("Bupa Arabia",M13)),"Insurance Company",
        ISNUMBER(SEARCH("Dar Fahoosaat",M13)),"Service Provider",
        ISNUMBER(SEARCH("General Authority of Zakat",M13)),"Tax Authority",
        ISNUMBER(SEARCH("Gulf Voyager",M13)),"Service Provider",
        ISNUMBER(SEARCH("Hopeway Trading",M13)),"Supplier",
        ISNUMBER(SEARCH("Interhealth Medical",M13)),"Customer",
        ISNUMBER(SEARCH("Ishaar",M13)),"Service Provider",
        ISNUMBER(SEARCH("ISO Arabia",M13)),"Service Provider",
        ISNUMBER(SEARCH("Khalid Saad Al Otaibi",M13)),"Supplier",
        ISNUMBER(SEARCH("MERAS for Decoration",M13)),"Supplier",
        ISNUMBER(SEARCH("Middle East Customs Clearance",M13)),"Service Provider",
        ISNUMBER(SEARCH("Ministry of Human Resources",M13)),"Regulatory Agency",
        ISNUMBER(SEARCH("My Business Services",M13)),"Service Provider",
        ISNUMBER(SEARCH("National Water Company",M13)),"Utility Provider",
        ISNUMBER(SEARCH("Rania Contracting",M13)),"Supplier",
        ISNUMBER(SEARCH("Sahab United Motors",M13)),"Supplier",
        ISNUMBER(SEARCH("Saudi Electric Company",M13)),"Utility Provider",
        ISNUMBER(SEARCH("Saudi Vetonit",M13)),"Supplier",
        ISNUMBER(SEARCH("Shomoul Eng",M13)),"Service Provider",
        ISNUMBER(SEARCH("STC",M13)),"Utility Provider",
        ISNUMBER(SEARCH("The General Organization for Social Insurance",M13)),"Social Insurance Agency",
        ISNUMBER(SEARCH("TUV Rheinland",M13)),"Service Provider",
        ISNUMBER(SEARCH("Al Arabia Ceramic",M13)),"Supplier",
        ISNUMBER(SEARCH("National Company for Building",M13)),"Customer",
        ISNUMBER(SEARCH("Athraa Holding",M13)),"Customer",
        ISNUMBER(SEARCH("Al Rasan",M13)),"Supplier",
        ISNUMBER(SEARCH("Raboua Al Haid",M13)),"Customer",
        ISNUMBER(SEARCH("Al Jazeera Paint",M13)),"Supplier",
        ISNUMBER(SEARCH("Rania Works Contracting",M13)),"Supplier",
        ISNUMBER(SEARCH("Bandar Jarallah",M13)),"Supplier",
        TRUE,"Supplier"
    ),
    "-"
)</f>
        <v>Customer</v>
      </c>
      <c r="AD13" s="25" t="str" cm="1">
        <f t="array" ref="AD13">_xlfn.IFNA(
    _xlfn.IFS(
        AC13="Same Company","High",
        AC13="Shareholder","High",
        AC13="Government","High",
        AC13="Bank","High",
        AC13="Lender","High",
        AC13="Unknown","Low",
        AC13="-","Low",
        TRUE,"Medium"
    ),
    "-"
)</f>
        <v>Medium</v>
      </c>
      <c r="AE13" s="25" t="str">
        <f t="shared" si="2"/>
        <v>-</v>
      </c>
      <c r="AF13" s="25" t="str" cm="1">
        <f t="array" ref="AF13">_xlfn.IFNA(
    _xlfn.IFS(
        K13="Credit",
            _xlfn.IFS(
                OR(ISNUMBER(SEARCH("Rejected",L13)),ISNUMBER(SEARCH("Returned",L13))),"Other Income",
                TRUE,"Revenue"
            ),
        K13="Debit",
            _xlfn.IFS(
                ISNUMBER(SEARCH("Payroll",L13)),"OPEX",
                ISNUMBER(SEARCH("Expatriate",L13)),"OPEX",
                ISNUMBER(SEARCH("Zakat",M13)),"ZATCA",
                ISNUMBER(SEARCH("General Organization for Social Insurance",M13)),"OPEX",
                ISNUMBER(SEARCH("Saudi Electric",M13)),"OPEX",
                ISNUMBER(SEARCH("STC",M13)),"OPEX",
                ISNUMBER(SEARCH("National Water",M13)),"OPEX",
                ISNUMBER(SEARCH("Bupa",M13)),"OPEX",
                ISNUMBER(SEARCH("Abdullah Abdulkarim",M13)),"OPEX",
                ISNUMBER(SEARCH("Abdullah Fahad",M13)),"OPEX",
                ISNUMBER(SEARCH("ISO Arabia",M13)),"OPEX",
                ISNUMBER(SEARCH("Gulf Voyager",M13)),"OPEX",
                ISNUMBER(SEARCH("Ministry",M13)),"OPEX",
                ISNUMBER(SEARCH("General Authority of Zakat",M13)),"ZATCA",
                ISNUMBER(SEARCH("Rejected",L13)),"Other Income",
                TRUE,"COGS"
            ),
        TRUE,"-"
    ),
    "-"
)</f>
        <v>Revenue</v>
      </c>
      <c r="AG13" s="25" t="str" cm="1">
        <f t="array" ref="AG13">_xlfn.IFNA(
    _xlfn.IFS(
        ISNUMBER(SEARCH("Payroll",L13)),"Payroll",
        ISNUMBER(SEARCH("Expatriate",L13)),"Government Fees",
        ISNUMBER(SEARCH("Zakat",M13)),"Zakat",
        ISNUMBER(SEARCH("Social Insurance",M13)),"Social Insurance",
        ISNUMBER(SEARCH("Saudi Electric",M13)),"Electricity",
        ISNUMBER(SEARCH("STC",M13)),"Telecom",
        ISNUMBER(SEARCH("National Water",M13)),"Water",
        ISNUMBER(SEARCH("Bupa",M13)),"Insurance",
        ISNUMBER(SEARCH("Gulf Voyager",M13)),"Travel",
        ISNUMBER(SEARCH("Ministry",M13)),"Government Fees",
        ISNUMBER(SEARCH("Abdullah Abdulkarim",M13)),"Consulting",
        ISNUMBER(SEARCH("Abdullah Fahad",M13)),"Accounting",
        ISNUMBER(SEARCH("ISO Arabia",M13)),"Consulting",
        ISNUMBER(SEARCH("Rejected",L13)),"Refund",
        AF13="COGS","Inventory Purchase",
        AF13="Revenue","Revenue",
        AF13="OPEX","Other",
        AF13="ZATCA","Zakat",
        TRUE,"-"
    ),
    "-"
)</f>
        <v>Revenue</v>
      </c>
      <c r="AH13" s="25" t="str" cm="1">
        <f t="array" ref="AH13">_xlfn.IFNA(
    _xlfn.IFS(
        AF13="-","Low",
        AF13="Other","Low",
        TRUE,"Medium"
    ),
    "-"
)</f>
        <v>Medium</v>
      </c>
      <c r="AI13" s="25" t="str">
        <f t="shared" si="3"/>
        <v>-</v>
      </c>
    </row>
    <row r="14" spans="1:35" x14ac:dyDescent="0.25">
      <c r="A14" s="10">
        <v>1</v>
      </c>
      <c r="B14" s="10" t="s">
        <v>35</v>
      </c>
      <c r="C14" s="10" t="s">
        <v>36</v>
      </c>
      <c r="D14" s="10" t="s">
        <v>37</v>
      </c>
      <c r="E14" s="10" t="s">
        <v>38</v>
      </c>
      <c r="F14" s="11" t="s">
        <v>39</v>
      </c>
      <c r="G14" s="11" t="s">
        <v>40</v>
      </c>
      <c r="H14" s="12">
        <v>45084</v>
      </c>
      <c r="I14" s="20">
        <v>26134.98</v>
      </c>
      <c r="J14" s="20">
        <v>596</v>
      </c>
      <c r="K14" s="10" t="s">
        <v>116</v>
      </c>
      <c r="L14" s="9" t="s">
        <v>304</v>
      </c>
      <c r="M14" s="9" t="s">
        <v>305</v>
      </c>
      <c r="N14" s="9" t="s">
        <v>306</v>
      </c>
      <c r="O14" s="9" t="s">
        <v>307</v>
      </c>
      <c r="P14" s="15">
        <v>45084</v>
      </c>
      <c r="Q14" s="9" t="s">
        <v>308</v>
      </c>
      <c r="R14" s="16">
        <v>596</v>
      </c>
      <c r="U14" s="9" t="s">
        <v>55</v>
      </c>
      <c r="V14" s="24" t="str" cm="1">
        <f t="array" ref="V14">_xlfn.IFNA(
    _xlfn.IFS(
        ISNUMBER(SEARCH("Fast Outgoing Transfer",L14)),"Transfer",
        ISNUMBER(SEARCH("Incoming Fast Transfer",L14)),"Transfer",
        ISNUMBER(SEARCH("Outgoing International Transfer",L14)),"Transfer",
        ISNUMBER(SEARCH("Bill Payment",L14)),"SADAD",
        ISNUMBER(SEARCH("Payroll",L14)),"Payroll",
        ISNUMBER(SEARCH("Cash Deposit",L14)),"Cash",
        ISNUMBER(SEARCH("Internal Transfer",L14)),"Transfer",
        ISNUMBER(SEARCH("Expatriate Services Payment",L14)),"SADAD",
        ISNUMBER(SEARCH("Rejected",L14)),"Transfer"
    ),
    "-"
)</f>
        <v>Transfer</v>
      </c>
      <c r="W14" s="25" t="str" cm="1">
        <f t="array" ref="W14">_xlfn.IFNA(
    _xlfn.IFS(
        AND(V14="Transfer",ISNUMBER(SEARCH("RIYAD BANK",L14))),"External FI",
        AND(V14="Transfer",ISNUMBER(SEARCH("Al Ahli",L14))),"External FI",
        AND(V14="Transfer",ISNUMBER(SEARCH("CIB via",L14))),"Local Transfer",
        AND(V14="Transfer",ISNUMBER(SEARCH("CIB)",L14))),"Local Transfer",
        AND(V14="Transfer",ISNUMBER(SEARCH("SMRT",L14))),"Local Transfer",
        AND(V14="Transfer",ISNUMBER(SEARCH("Al Murabba",L14))),"Local Transfer",
        AND(V14="Transfer",ISNUMBER(SEARCH("Internal Transfer",L14))),"Same FI",
        AND(V14="Transfer",ISNUMBER(SEARCH("Rejected",L14))),"Failed",
        V14="SADAD",
            _xlfn.IFS(
                ISNUMBER(SEARCH("Expatriate",L14)),"Expat Fees",
                TRUE,"Online Payment"
            ),
        V14="Payroll","Payroll",
        V14="Cash","Deposit",
        TRUE,"-"
    ),
    "-"
)</f>
        <v>External FI</v>
      </c>
      <c r="X14" s="25" t="str" cm="1">
        <f t="array" ref="X14">_xlfn.IFNA(
    _xlfn.IFS(
        V14="-","Low",
        W14="-","Low",
        TRUE,"High"
    ),
    "-"
)</f>
        <v>High</v>
      </c>
      <c r="Y14" s="25" t="str">
        <f t="shared" si="0"/>
        <v>-</v>
      </c>
      <c r="Z14" s="25" t="str" cm="1">
        <f t="array" ref="Z14">_xlfn.IFNA(
    _xlfn.IFS(
        ISNUMBER(SEARCH("Abdul Latif Jameel",M14)),"Lender",
        ISNUMBER(SEARCH("Abdullah Abdulkarim Al Sudais",M14)),"Accounting",
        ISNUMBER(SEARCH("Abdullah Fahad for Accounting",M14)),"Accounting",
        ISNUMBER(SEARCH("Abdullah Rashid Shaikh",M14)),"Shareholder",
        ISNUMBER(SEARCH("Advanced Equipments",M14)),"Equipment Rental",
        ISNUMBER(SEARCH("Al Banuk Sana",M14)),"Telecom Company",
        ISNUMBER(SEARCH("Al Khaleefa Factory",M14)),"Manufacturer",
        ISNUMBER(SEARCH("Al Saadeh Trading",M14)),"Trading Company",
        ISNUMBER(SEARCH("Al Zaehaan",M14)),"Trading Company",
        ISNUMBER(SEARCH("Ali Abdullah K Al Darwish",M14)),"Airlines",
        ISNUMBER(SEARCH("Bupa Arabia",M14)),"Health Insurance",
        ISNUMBER(SEARCH("Dar Fahoosaat",M14)),"Consultant",
        ISNUMBER(SEARCH("General Authority of Zakat",M14)),"Tax Collection",
        ISNUMBER(SEARCH("Gulf Voyager",M14)),"Travel Agency",
        ISNUMBER(SEARCH("Hopeway Trading",M14)),"Trading Company",
        ISNUMBER(SEARCH("Interhealth Medical",M14)),"Medical Services",
        ISNUMBER(SEARCH("Ishaar",M14)),"Online Payment Service",
        ISNUMBER(SEARCH("ISO Arabia",M14)),"Certification",
        ISNUMBER(SEARCH("Khalid Saad Al Otaibi",M14)),"Trading Company",
        ISNUMBER(SEARCH("MERAS for Decoration",M14)),"Decor Company",
        ISNUMBER(SEARCH("Middle East Customs Clearance",M14)),"Customs",
        ISNUMBER(SEARCH("Ministry of Human Resources",M14)),"Government",
        ISNUMBER(SEARCH("My Business Services",M14)),"Service Provider",
        ISNUMBER(SEARCH("National Water Company",M14)),"Water Company",
        ISNUMBER(SEARCH("Rania Contracting",M14)),"Contracting",
        ISNUMBER(SEARCH("Rashid Ali Sheikh",M14)),"Shareholder",
        ISNUMBER(SEARCH("Sahab United Motors",M14)),"Car Show Room",
        ISNUMBER(SEARCH("Saud Mohammed Al Tamimi",M14)),"Shareholder",
        ISNUMBER(SEARCH("Saud Mohammed Tamimi",M14)),"Shareholder",
        ISNUMBER(SEARCH("Saudi Electric Company",M14)),"Electricity Company",
        ISNUMBER(SEARCH("Saudi Vetonit",M14)),"Building Materials",
        ISNUMBER(SEARCH("Shomoul Eng",M14)),"Safety",
        ISNUMBER(SEARCH("STC",M14)),"Telecom Company",
        ISNUMBER(SEARCH("The General Organization for Social Insurance",M14)),"Social Insurance Agency",
        ISNUMBER(SEARCH("TUV Rheinland",M14)),"Certification",
        ISNUMBER(SEARCH("Al Arabia Ceramic",M14)),"Building Materials",
        ISNUMBER(SEARCH("National Company for Building and Marketing",M14)),"Parent Company",
        ISNUMBER(SEARCH("Athraa Holding",M14)),"Holding Company",
        ISNUMBER(SEARCH("Al Rasan",M14)),"Contracting",
        ISNUMBER(SEARCH("Raboua Al Haid",M14)),"Trading Company",
        ISNUMBER(SEARCH("Al Jazeera Paint",M14)),"Manufacturer",
        ISNUMBER(SEARCH("Rania Works Contracting",M14)),"Contracting",
        ISNUMBER(SEARCH("Bandar Jarallah",M14)),"Trading Establishment",
        ISNUMBER(SEARCH("RS Infratec Saudi",M14)),"Same Company",
        ISNUMBER(SEARCH("Payroll",M14)),"Bank",
        ISNUMBER(SEARCH("Expatriate",M14)),"Government",
        ISNUMBER(SEARCH("Unknown Sender",M14)),"Unknown",
        TRUE,"Unknown"
    ),
    "-"
)</f>
        <v>Trading Company</v>
      </c>
      <c r="AA14" s="25" t="str" cm="1">
        <f t="array" ref="AA14">_xlfn.IFNA(
    _xlfn.IFS(
        Z14="Lender","Financing",
        Z14="Accounting","Accounting",
        Z14="Shareholder","Individual",
        Z14="Equipment Rental","Equipment Rental",
        Z14="Telecom Company","Telecom",
        Z14="Manufacturer","Manufacturer",
        Z14="Trading Company","Trading And Transport",
        Z14="Trading Establishment","Trading",
        Z14="Airlines","Airlines",
        Z14="Health Insurance","Insurance",
        Z14="Consultant","Consultant",
        Z14="Tax Collection","Government",
        Z14="Travel Agency","Travel Agency",
        Z14="Medical Services","Medical Center",
        Z14="Online Payment Service","Payment Facilitator",
        Z14="Certification","Safety",
        Z14="Decor Company","Design",
        Z14="Customs","Customs",
        Z14="Government","Government",
        Z14="Service Provider","Service Provider",
        Z14="Water Company","Water Company",
        Z14="Contracting","Contracting",
        Z14="Car Show Room","Car Trader",
        Z14="Electricity Company","Electricity Company",
        Z14="Building Materials","Building Materials",
        Z14="Safety","Safety",
        Z14="Social Insurance Agency","Government Fund",
        Z14="Parent Company","Holding Company",
        Z14="Holding Company","Holding Company",
        Z14="Same Company","Construction",
        Z14="Bank","Bank",
        Z14="Unknown","Unknown",
        TRUE,"-"
    ),
    "-"
)</f>
        <v>Trading And Transport</v>
      </c>
      <c r="AB14" s="25" t="str">
        <f t="shared" si="1"/>
        <v>-</v>
      </c>
      <c r="AC14" s="25" t="str" cm="1">
        <f t="array" ref="AC14">_xlfn.IFNA(
    _xlfn.IFS(
        Z14="Shareholder","Shareholder",
        Z14="Same Company","Same Company",
        Z14="Bank","Bank",
        Z14="Government","Government",
        Z14="Social Insurance Agency","Government",
        Z14="Parent Company","Customer",
        Z14="Lender","Lender",
        Z14="Unknown","Unknown",
        ISNUMBER(SEARCH("Abdullah Abdulkarim",M14)),"Service Provider",
        ISNUMBER(SEARCH("Abdullah Fahad",M14)),"Service Provider",
        ISNUMBER(SEARCH("Advanced Equipments",M14)),"Supplier",
        ISNUMBER(SEARCH("Al Banuk Sana",M14)),"Supplier",
        ISNUMBER(SEARCH("Al Khaleefa Factory",M14)),"Supplier",
        ISNUMBER(SEARCH("Al Saadeh Trading",M14)),"Supplier",
        ISNUMBER(SEARCH("Al Zaehaan",M14)),"Supplier",
        ISNUMBER(SEARCH("Ali Abdullah K Al Darwish",M14)),"Service Provider",
        ISNUMBER(SEARCH("Bupa Arabia",M14)),"Insurance Company",
        ISNUMBER(SEARCH("Dar Fahoosaat",M14)),"Service Provider",
        ISNUMBER(SEARCH("General Authority of Zakat",M14)),"Tax Authority",
        ISNUMBER(SEARCH("Gulf Voyager",M14)),"Service Provider",
        ISNUMBER(SEARCH("Hopeway Trading",M14)),"Supplier",
        ISNUMBER(SEARCH("Interhealth Medical",M14)),"Customer",
        ISNUMBER(SEARCH("Ishaar",M14)),"Service Provider",
        ISNUMBER(SEARCH("ISO Arabia",M14)),"Service Provider",
        ISNUMBER(SEARCH("Khalid Saad Al Otaibi",M14)),"Supplier",
        ISNUMBER(SEARCH("MERAS for Decoration",M14)),"Supplier",
        ISNUMBER(SEARCH("Middle East Customs Clearance",M14)),"Service Provider",
        ISNUMBER(SEARCH("Ministry of Human Resources",M14)),"Regulatory Agency",
        ISNUMBER(SEARCH("My Business Services",M14)),"Service Provider",
        ISNUMBER(SEARCH("National Water Company",M14)),"Utility Provider",
        ISNUMBER(SEARCH("Rania Contracting",M14)),"Supplier",
        ISNUMBER(SEARCH("Sahab United Motors",M14)),"Supplier",
        ISNUMBER(SEARCH("Saudi Electric Company",M14)),"Utility Provider",
        ISNUMBER(SEARCH("Saudi Vetonit",M14)),"Supplier",
        ISNUMBER(SEARCH("Shomoul Eng",M14)),"Service Provider",
        ISNUMBER(SEARCH("STC",M14)),"Utility Provider",
        ISNUMBER(SEARCH("The General Organization for Social Insurance",M14)),"Social Insurance Agency",
        ISNUMBER(SEARCH("TUV Rheinland",M14)),"Service Provider",
        ISNUMBER(SEARCH("Al Arabia Ceramic",M14)),"Supplier",
        ISNUMBER(SEARCH("National Company for Building",M14)),"Customer",
        ISNUMBER(SEARCH("Athraa Holding",M14)),"Customer",
        ISNUMBER(SEARCH("Al Rasan",M14)),"Supplier",
        ISNUMBER(SEARCH("Raboua Al Haid",M14)),"Customer",
        ISNUMBER(SEARCH("Al Jazeera Paint",M14)),"Supplier",
        ISNUMBER(SEARCH("Rania Works Contracting",M14)),"Supplier",
        ISNUMBER(SEARCH("Bandar Jarallah",M14)),"Supplier",
        TRUE,"Supplier"
    ),
    "-"
)</f>
        <v>Customer</v>
      </c>
      <c r="AD14" s="25" t="str" cm="1">
        <f t="array" ref="AD14">_xlfn.IFNA(
    _xlfn.IFS(
        AC14="Same Company","High",
        AC14="Shareholder","High",
        AC14="Government","High",
        AC14="Bank","High",
        AC14="Lender","High",
        AC14="Unknown","Low",
        AC14="-","Low",
        TRUE,"Medium"
    ),
    "-"
)</f>
        <v>Medium</v>
      </c>
      <c r="AE14" s="25" t="str">
        <f t="shared" si="2"/>
        <v>-</v>
      </c>
      <c r="AF14" s="25" t="str" cm="1">
        <f t="array" ref="AF14">_xlfn.IFNA(
    _xlfn.IFS(
        K14="Credit",
            _xlfn.IFS(
                OR(ISNUMBER(SEARCH("Rejected",L14)),ISNUMBER(SEARCH("Returned",L14))),"Other Income",
                TRUE,"Revenue"
            ),
        K14="Debit",
            _xlfn.IFS(
                ISNUMBER(SEARCH("Payroll",L14)),"OPEX",
                ISNUMBER(SEARCH("Expatriate",L14)),"OPEX",
                ISNUMBER(SEARCH("Zakat",M14)),"ZATCA",
                ISNUMBER(SEARCH("General Organization for Social Insurance",M14)),"OPEX",
                ISNUMBER(SEARCH("Saudi Electric",M14)),"OPEX",
                ISNUMBER(SEARCH("STC",M14)),"OPEX",
                ISNUMBER(SEARCH("National Water",M14)),"OPEX",
                ISNUMBER(SEARCH("Bupa",M14)),"OPEX",
                ISNUMBER(SEARCH("Abdullah Abdulkarim",M14)),"OPEX",
                ISNUMBER(SEARCH("Abdullah Fahad",M14)),"OPEX",
                ISNUMBER(SEARCH("ISO Arabia",M14)),"OPEX",
                ISNUMBER(SEARCH("Gulf Voyager",M14)),"OPEX",
                ISNUMBER(SEARCH("Ministry",M14)),"OPEX",
                ISNUMBER(SEARCH("General Authority of Zakat",M14)),"ZATCA",
                ISNUMBER(SEARCH("Rejected",L14)),"Other Income",
                TRUE,"COGS"
            ),
        TRUE,"-"
    ),
    "-"
)</f>
        <v>Revenue</v>
      </c>
      <c r="AG14" s="25" t="str" cm="1">
        <f t="array" ref="AG14">_xlfn.IFNA(
    _xlfn.IFS(
        ISNUMBER(SEARCH("Payroll",L14)),"Payroll",
        ISNUMBER(SEARCH("Expatriate",L14)),"Government Fees",
        ISNUMBER(SEARCH("Zakat",M14)),"Zakat",
        ISNUMBER(SEARCH("Social Insurance",M14)),"Social Insurance",
        ISNUMBER(SEARCH("Saudi Electric",M14)),"Electricity",
        ISNUMBER(SEARCH("STC",M14)),"Telecom",
        ISNUMBER(SEARCH("National Water",M14)),"Water",
        ISNUMBER(SEARCH("Bupa",M14)),"Insurance",
        ISNUMBER(SEARCH("Gulf Voyager",M14)),"Travel",
        ISNUMBER(SEARCH("Ministry",M14)),"Government Fees",
        ISNUMBER(SEARCH("Abdullah Abdulkarim",M14)),"Consulting",
        ISNUMBER(SEARCH("Abdullah Fahad",M14)),"Accounting",
        ISNUMBER(SEARCH("ISO Arabia",M14)),"Consulting",
        ISNUMBER(SEARCH("Rejected",L14)),"Refund",
        AF14="COGS","Inventory Purchase",
        AF14="Revenue","Revenue",
        AF14="OPEX","Other",
        AF14="ZATCA","Zakat",
        TRUE,"-"
    ),
    "-"
)</f>
        <v>Revenue</v>
      </c>
      <c r="AH14" s="25" t="str" cm="1">
        <f t="array" ref="AH14">_xlfn.IFNA(
    _xlfn.IFS(
        AF14="-","Low",
        AF14="Other","Low",
        TRUE,"Medium"
    ),
    "-"
)</f>
        <v>Medium</v>
      </c>
      <c r="AI14" s="25" t="str">
        <f t="shared" si="3"/>
        <v>-</v>
      </c>
    </row>
    <row r="15" spans="1:35" x14ac:dyDescent="0.25">
      <c r="A15" s="10">
        <v>2</v>
      </c>
      <c r="B15" s="10" t="s">
        <v>35</v>
      </c>
      <c r="C15" s="10" t="s">
        <v>36</v>
      </c>
      <c r="D15" s="10" t="s">
        <v>37</v>
      </c>
      <c r="E15" s="10" t="s">
        <v>38</v>
      </c>
      <c r="F15" s="11" t="s">
        <v>39</v>
      </c>
      <c r="G15" s="11" t="s">
        <v>40</v>
      </c>
      <c r="H15" s="12">
        <v>45049</v>
      </c>
      <c r="I15" s="20">
        <v>75661.83</v>
      </c>
      <c r="J15" s="20">
        <v>248.58</v>
      </c>
      <c r="K15" s="10" t="s">
        <v>41</v>
      </c>
      <c r="L15" s="9" t="s">
        <v>56</v>
      </c>
      <c r="M15" s="9" t="s">
        <v>66</v>
      </c>
      <c r="N15" s="9" t="s">
        <v>67</v>
      </c>
      <c r="O15" s="9" t="s">
        <v>59</v>
      </c>
      <c r="P15" s="15">
        <v>45049</v>
      </c>
      <c r="Q15" s="9" t="s">
        <v>68</v>
      </c>
      <c r="R15" s="16">
        <v>248</v>
      </c>
      <c r="S15" s="18">
        <v>0.5</v>
      </c>
      <c r="T15" s="18">
        <v>0.08</v>
      </c>
      <c r="U15" s="9" t="s">
        <v>55</v>
      </c>
      <c r="V15" s="24" t="str" cm="1">
        <f t="array" ref="V15">_xlfn.IFNA(
    _xlfn.IFS(
        ISNUMBER(SEARCH("Fast Outgoing Transfer",L15)),"Transfer",
        ISNUMBER(SEARCH("Incoming Fast Transfer",L15)),"Transfer",
        ISNUMBER(SEARCH("Outgoing International Transfer",L15)),"Transfer",
        ISNUMBER(SEARCH("Bill Payment",L15)),"SADAD",
        ISNUMBER(SEARCH("Payroll",L15)),"Payroll",
        ISNUMBER(SEARCH("Cash Deposit",L15)),"Cash",
        ISNUMBER(SEARCH("Internal Transfer",L15)),"Transfer",
        ISNUMBER(SEARCH("Expatriate Services Payment",L15)),"SADAD",
        ISNUMBER(SEARCH("Rejected",L15)),"Transfer"
    ),
    "-"
)</f>
        <v>Transfer</v>
      </c>
      <c r="W15" s="25" t="str" cm="1">
        <f t="array" ref="W15">_xlfn.IFNA(
    _xlfn.IFS(
        AND(V15="Transfer",ISNUMBER(SEARCH("RIYAD BANK",L15))),"External FI",
        AND(V15="Transfer",ISNUMBER(SEARCH("Al Ahli",L15))),"External FI",
        AND(V15="Transfer",ISNUMBER(SEARCH("CIB via",L15))),"Local Transfer",
        AND(V15="Transfer",ISNUMBER(SEARCH("CIB)",L15))),"Local Transfer",
        AND(V15="Transfer",ISNUMBER(SEARCH("SMRT",L15))),"Local Transfer",
        AND(V15="Transfer",ISNUMBER(SEARCH("Al Murabba",L15))),"Local Transfer",
        AND(V15="Transfer",ISNUMBER(SEARCH("Internal Transfer",L15))),"Same FI",
        AND(V15="Transfer",ISNUMBER(SEARCH("Rejected",L15))),"Failed",
        V15="SADAD",
            _xlfn.IFS(
                ISNUMBER(SEARCH("Expatriate",L15)),"Expat Fees",
                TRUE,"Online Payment"
            ),
        V15="Payroll","Payroll",
        V15="Cash","Deposit",
        TRUE,"-"
    ),
    "-"
)</f>
        <v>Local Transfer</v>
      </c>
      <c r="X15" s="25" t="str" cm="1">
        <f t="array" ref="X15">_xlfn.IFNA(
    _xlfn.IFS(
        V15="-","Low",
        W15="-","Low",
        TRUE,"High"
    ),
    "-"
)</f>
        <v>High</v>
      </c>
      <c r="Y15" s="25" t="str">
        <f t="shared" si="0"/>
        <v>-</v>
      </c>
      <c r="Z15" s="25" t="str" cm="1">
        <f t="array" ref="Z15">_xlfn.IFNA(
    _xlfn.IFS(
        ISNUMBER(SEARCH("Abdul Latif Jameel",M15)),"Lender",
        ISNUMBER(SEARCH("Abdullah Abdulkarim Al Sudais",M15)),"Accounting",
        ISNUMBER(SEARCH("Abdullah Fahad for Accounting",M15)),"Accounting",
        ISNUMBER(SEARCH("Abdullah Rashid Shaikh",M15)),"Shareholder",
        ISNUMBER(SEARCH("Advanced Equipments",M15)),"Equipment Rental",
        ISNUMBER(SEARCH("Al Banuk Sana",M15)),"Telecom Company",
        ISNUMBER(SEARCH("Al Khaleefa Factory",M15)),"Manufacturer",
        ISNUMBER(SEARCH("Al Saadeh Trading",M15)),"Trading Company",
        ISNUMBER(SEARCH("Al Zaehaan",M15)),"Trading Company",
        ISNUMBER(SEARCH("Ali Abdullah K Al Darwish",M15)),"Airlines",
        ISNUMBER(SEARCH("Bupa Arabia",M15)),"Health Insurance",
        ISNUMBER(SEARCH("Dar Fahoosaat",M15)),"Consultant",
        ISNUMBER(SEARCH("General Authority of Zakat",M15)),"Tax Collection",
        ISNUMBER(SEARCH("Gulf Voyager",M15)),"Travel Agency",
        ISNUMBER(SEARCH("Hopeway Trading",M15)),"Trading Company",
        ISNUMBER(SEARCH("Interhealth Medical",M15)),"Medical Services",
        ISNUMBER(SEARCH("Ishaar",M15)),"Online Payment Service",
        ISNUMBER(SEARCH("ISO Arabia",M15)),"Certification",
        ISNUMBER(SEARCH("Khalid Saad Al Otaibi",M15)),"Trading Company",
        ISNUMBER(SEARCH("MERAS for Decoration",M15)),"Decor Company",
        ISNUMBER(SEARCH("Middle East Customs Clearance",M15)),"Customs",
        ISNUMBER(SEARCH("Ministry of Human Resources",M15)),"Government",
        ISNUMBER(SEARCH("My Business Services",M15)),"Service Provider",
        ISNUMBER(SEARCH("National Water Company",M15)),"Water Company",
        ISNUMBER(SEARCH("Rania Contracting",M15)),"Contracting",
        ISNUMBER(SEARCH("Rashid Ali Sheikh",M15)),"Shareholder",
        ISNUMBER(SEARCH("Sahab United Motors",M15)),"Car Show Room",
        ISNUMBER(SEARCH("Saud Mohammed Al Tamimi",M15)),"Shareholder",
        ISNUMBER(SEARCH("Saud Mohammed Tamimi",M15)),"Shareholder",
        ISNUMBER(SEARCH("Saudi Electric Company",M15)),"Electricity Company",
        ISNUMBER(SEARCH("Saudi Vetonit",M15)),"Building Materials",
        ISNUMBER(SEARCH("Shomoul Eng",M15)),"Safety",
        ISNUMBER(SEARCH("STC",M15)),"Telecom Company",
        ISNUMBER(SEARCH("The General Organization for Social Insurance",M15)),"Social Insurance Agency",
        ISNUMBER(SEARCH("TUV Rheinland",M15)),"Certification",
        ISNUMBER(SEARCH("Al Arabia Ceramic",M15)),"Building Materials",
        ISNUMBER(SEARCH("National Company for Building and Marketing",M15)),"Parent Company",
        ISNUMBER(SEARCH("Athraa Holding",M15)),"Holding Company",
        ISNUMBER(SEARCH("Al Rasan",M15)),"Contracting",
        ISNUMBER(SEARCH("Raboua Al Haid",M15)),"Trading Company",
        ISNUMBER(SEARCH("Al Jazeera Paint",M15)),"Manufacturer",
        ISNUMBER(SEARCH("Rania Works Contracting",M15)),"Contracting",
        ISNUMBER(SEARCH("Bandar Jarallah",M15)),"Trading Establishment",
        ISNUMBER(SEARCH("RS Infratec Saudi",M15)),"Same Company",
        ISNUMBER(SEARCH("Payroll",M15)),"Bank",
        ISNUMBER(SEARCH("Expatriate",M15)),"Government",
        ISNUMBER(SEARCH("Unknown Sender",M15)),"Unknown",
        TRUE,"Unknown"
    ),
    "-"
)</f>
        <v>Shareholder</v>
      </c>
      <c r="AA15" s="25" t="str" cm="1">
        <f t="array" ref="AA15">_xlfn.IFNA(
    _xlfn.IFS(
        Z15="Lender","Financing",
        Z15="Accounting","Accounting",
        Z15="Shareholder","Individual",
        Z15="Equipment Rental","Equipment Rental",
        Z15="Telecom Company","Telecom",
        Z15="Manufacturer","Manufacturer",
        Z15="Trading Company","Trading And Transport",
        Z15="Trading Establishment","Trading",
        Z15="Airlines","Airlines",
        Z15="Health Insurance","Insurance",
        Z15="Consultant","Consultant",
        Z15="Tax Collection","Government",
        Z15="Travel Agency","Travel Agency",
        Z15="Medical Services","Medical Center",
        Z15="Online Payment Service","Payment Facilitator",
        Z15="Certification","Safety",
        Z15="Decor Company","Design",
        Z15="Customs","Customs",
        Z15="Government","Government",
        Z15="Service Provider","Service Provider",
        Z15="Water Company","Water Company",
        Z15="Contracting","Contracting",
        Z15="Car Show Room","Car Trader",
        Z15="Electricity Company","Electricity Company",
        Z15="Building Materials","Building Materials",
        Z15="Safety","Safety",
        Z15="Social Insurance Agency","Government Fund",
        Z15="Parent Company","Holding Company",
        Z15="Holding Company","Holding Company",
        Z15="Same Company","Construction",
        Z15="Bank","Bank",
        Z15="Unknown","Unknown",
        TRUE,"-"
    ),
    "-"
)</f>
        <v>Individual</v>
      </c>
      <c r="AB15" s="25" t="str">
        <f t="shared" si="1"/>
        <v>-</v>
      </c>
      <c r="AC15" s="25" t="str" cm="1">
        <f t="array" ref="AC15">_xlfn.IFNA(
    _xlfn.IFS(
        Z15="Shareholder","Shareholder",
        Z15="Same Company","Same Company",
        Z15="Bank","Bank",
        Z15="Government","Government",
        Z15="Social Insurance Agency","Government",
        Z15="Parent Company","Customer",
        Z15="Lender","Lender",
        Z15="Unknown","Unknown",
        ISNUMBER(SEARCH("Abdullah Abdulkarim",M15)),"Service Provider",
        ISNUMBER(SEARCH("Abdullah Fahad",M15)),"Service Provider",
        ISNUMBER(SEARCH("Advanced Equipments",M15)),"Supplier",
        ISNUMBER(SEARCH("Al Banuk Sana",M15)),"Supplier",
        ISNUMBER(SEARCH("Al Khaleefa Factory",M15)),"Supplier",
        ISNUMBER(SEARCH("Al Saadeh Trading",M15)),"Supplier",
        ISNUMBER(SEARCH("Al Zaehaan",M15)),"Supplier",
        ISNUMBER(SEARCH("Ali Abdullah K Al Darwish",M15)),"Service Provider",
        ISNUMBER(SEARCH("Bupa Arabia",M15)),"Insurance Company",
        ISNUMBER(SEARCH("Dar Fahoosaat",M15)),"Service Provider",
        ISNUMBER(SEARCH("General Authority of Zakat",M15)),"Tax Authority",
        ISNUMBER(SEARCH("Gulf Voyager",M15)),"Service Provider",
        ISNUMBER(SEARCH("Hopeway Trading",M15)),"Supplier",
        ISNUMBER(SEARCH("Interhealth Medical",M15)),"Customer",
        ISNUMBER(SEARCH("Ishaar",M15)),"Service Provider",
        ISNUMBER(SEARCH("ISO Arabia",M15)),"Service Provider",
        ISNUMBER(SEARCH("Khalid Saad Al Otaibi",M15)),"Supplier",
        ISNUMBER(SEARCH("MERAS for Decoration",M15)),"Supplier",
        ISNUMBER(SEARCH("Middle East Customs Clearance",M15)),"Service Provider",
        ISNUMBER(SEARCH("Ministry of Human Resources",M15)),"Regulatory Agency",
        ISNUMBER(SEARCH("My Business Services",M15)),"Service Provider",
        ISNUMBER(SEARCH("National Water Company",M15)),"Utility Provider",
        ISNUMBER(SEARCH("Rania Contracting",M15)),"Supplier",
        ISNUMBER(SEARCH("Sahab United Motors",M15)),"Supplier",
        ISNUMBER(SEARCH("Saudi Electric Company",M15)),"Utility Provider",
        ISNUMBER(SEARCH("Saudi Vetonit",M15)),"Supplier",
        ISNUMBER(SEARCH("Shomoul Eng",M15)),"Service Provider",
        ISNUMBER(SEARCH("STC",M15)),"Utility Provider",
        ISNUMBER(SEARCH("The General Organization for Social Insurance",M15)),"Social Insurance Agency",
        ISNUMBER(SEARCH("TUV Rheinland",M15)),"Service Provider",
        ISNUMBER(SEARCH("Al Arabia Ceramic",M15)),"Supplier",
        ISNUMBER(SEARCH("National Company for Building",M15)),"Customer",
        ISNUMBER(SEARCH("Athraa Holding",M15)),"Customer",
        ISNUMBER(SEARCH("Al Rasan",M15)),"Supplier",
        ISNUMBER(SEARCH("Raboua Al Haid",M15)),"Customer",
        ISNUMBER(SEARCH("Al Jazeera Paint",M15)),"Supplier",
        ISNUMBER(SEARCH("Rania Works Contracting",M15)),"Supplier",
        ISNUMBER(SEARCH("Bandar Jarallah",M15)),"Supplier",
        TRUE,"Supplier"
    ),
    "-"
)</f>
        <v>Shareholder</v>
      </c>
      <c r="AD15" s="25" t="str" cm="1">
        <f t="array" ref="AD15">_xlfn.IFNA(
    _xlfn.IFS(
        AC15="Same Company","High",
        AC15="Shareholder","High",
        AC15="Government","High",
        AC15="Bank","High",
        AC15="Lender","High",
        AC15="Unknown","Low",
        AC15="-","Low",
        TRUE,"Medium"
    ),
    "-"
)</f>
        <v>High</v>
      </c>
      <c r="AE15" s="25" t="str">
        <f t="shared" si="2"/>
        <v>-</v>
      </c>
      <c r="AF15" s="25" t="str" cm="1">
        <f t="array" ref="AF15">_xlfn.IFNA(
    _xlfn.IFS(
        K15="Credit",
            _xlfn.IFS(
                OR(ISNUMBER(SEARCH("Rejected",L15)),ISNUMBER(SEARCH("Returned",L15))),"Other Income",
                TRUE,"Revenue"
            ),
        K15="Debit",
            _xlfn.IFS(
                ISNUMBER(SEARCH("Payroll",L15)),"OPEX",
                ISNUMBER(SEARCH("Expatriate",L15)),"OPEX",
                ISNUMBER(SEARCH("Zakat",M15)),"ZATCA",
                ISNUMBER(SEARCH("General Organization for Social Insurance",M15)),"OPEX",
                ISNUMBER(SEARCH("Saudi Electric",M15)),"OPEX",
                ISNUMBER(SEARCH("STC",M15)),"OPEX",
                ISNUMBER(SEARCH("National Water",M15)),"OPEX",
                ISNUMBER(SEARCH("Bupa",M15)),"OPEX",
                ISNUMBER(SEARCH("Abdullah Abdulkarim",M15)),"OPEX",
                ISNUMBER(SEARCH("Abdullah Fahad",M15)),"OPEX",
                ISNUMBER(SEARCH("ISO Arabia",M15)),"OPEX",
                ISNUMBER(SEARCH("Gulf Voyager",M15)),"OPEX",
                ISNUMBER(SEARCH("Ministry",M15)),"OPEX",
                ISNUMBER(SEARCH("General Authority of Zakat",M15)),"ZATCA",
                ISNUMBER(SEARCH("Rejected",L15)),"Other Income",
                TRUE,"COGS"
            ),
        TRUE,"-"
    ),
    "-"
)</f>
        <v>COGS</v>
      </c>
      <c r="AG15" s="25" t="str" cm="1">
        <f t="array" ref="AG15">_xlfn.IFNA(
    _xlfn.IFS(
        ISNUMBER(SEARCH("Payroll",L15)),"Payroll",
        ISNUMBER(SEARCH("Expatriate",L15)),"Government Fees",
        ISNUMBER(SEARCH("Zakat",M15)),"Zakat",
        ISNUMBER(SEARCH("Social Insurance",M15)),"Social Insurance",
        ISNUMBER(SEARCH("Saudi Electric",M15)),"Electricity",
        ISNUMBER(SEARCH("STC",M15)),"Telecom",
        ISNUMBER(SEARCH("National Water",M15)),"Water",
        ISNUMBER(SEARCH("Bupa",M15)),"Insurance",
        ISNUMBER(SEARCH("Gulf Voyager",M15)),"Travel",
        ISNUMBER(SEARCH("Ministry",M15)),"Government Fees",
        ISNUMBER(SEARCH("Abdullah Abdulkarim",M15)),"Consulting",
        ISNUMBER(SEARCH("Abdullah Fahad",M15)),"Accounting",
        ISNUMBER(SEARCH("ISO Arabia",M15)),"Consulting",
        ISNUMBER(SEARCH("Rejected",L15)),"Refund",
        AF15="COGS","Inventory Purchase",
        AF15="Revenue","Revenue",
        AF15="OPEX","Other",
        AF15="ZATCA","Zakat",
        TRUE,"-"
    ),
    "-"
)</f>
        <v>Inventory Purchase</v>
      </c>
      <c r="AH15" s="25" t="str" cm="1">
        <f t="array" ref="AH15">_xlfn.IFNA(
    _xlfn.IFS(
        AF15="-","Low",
        AF15="Other","Low",
        TRUE,"Medium"
    ),
    "-"
)</f>
        <v>Medium</v>
      </c>
      <c r="AI15" s="25" t="str">
        <f t="shared" si="3"/>
        <v>-</v>
      </c>
    </row>
    <row r="16" spans="1:35" x14ac:dyDescent="0.25">
      <c r="A16" s="10">
        <v>2</v>
      </c>
      <c r="B16" s="10" t="s">
        <v>35</v>
      </c>
      <c r="C16" s="10" t="s">
        <v>36</v>
      </c>
      <c r="D16" s="13" t="s">
        <v>37</v>
      </c>
      <c r="E16" s="10" t="s">
        <v>38</v>
      </c>
      <c r="F16" s="11" t="s">
        <v>39</v>
      </c>
      <c r="G16" s="11" t="s">
        <v>40</v>
      </c>
      <c r="H16" s="12">
        <v>45082</v>
      </c>
      <c r="I16" s="20">
        <v>17630.68</v>
      </c>
      <c r="J16" s="20">
        <v>278.58</v>
      </c>
      <c r="K16" s="10" t="s">
        <v>41</v>
      </c>
      <c r="L16" s="9" t="s">
        <v>56</v>
      </c>
      <c r="M16" s="9" t="s">
        <v>66</v>
      </c>
      <c r="N16" s="9" t="s">
        <v>67</v>
      </c>
      <c r="O16" s="9" t="s">
        <v>59</v>
      </c>
      <c r="P16" s="15">
        <v>45082</v>
      </c>
      <c r="Q16" s="9" t="s">
        <v>69</v>
      </c>
      <c r="R16" s="16">
        <v>278</v>
      </c>
      <c r="S16" s="18">
        <v>0.5</v>
      </c>
      <c r="T16" s="18">
        <v>0.08</v>
      </c>
      <c r="U16" s="9" t="s">
        <v>55</v>
      </c>
      <c r="V16" s="24" t="str" cm="1">
        <f t="array" ref="V16">_xlfn.IFNA(
    _xlfn.IFS(
        ISNUMBER(SEARCH("Fast Outgoing Transfer",L16)),"Transfer",
        ISNUMBER(SEARCH("Incoming Fast Transfer",L16)),"Transfer",
        ISNUMBER(SEARCH("Outgoing International Transfer",L16)),"Transfer",
        ISNUMBER(SEARCH("Bill Payment",L16)),"SADAD",
        ISNUMBER(SEARCH("Payroll",L16)),"Payroll",
        ISNUMBER(SEARCH("Cash Deposit",L16)),"Cash",
        ISNUMBER(SEARCH("Internal Transfer",L16)),"Transfer",
        ISNUMBER(SEARCH("Expatriate Services Payment",L16)),"SADAD",
        ISNUMBER(SEARCH("Rejected",L16)),"Transfer"
    ),
    "-"
)</f>
        <v>Transfer</v>
      </c>
      <c r="W16" s="25" t="str" cm="1">
        <f t="array" ref="W16">_xlfn.IFNA(
    _xlfn.IFS(
        AND(V16="Transfer",ISNUMBER(SEARCH("RIYAD BANK",L16))),"External FI",
        AND(V16="Transfer",ISNUMBER(SEARCH("Al Ahli",L16))),"External FI",
        AND(V16="Transfer",ISNUMBER(SEARCH("CIB via",L16))),"Local Transfer",
        AND(V16="Transfer",ISNUMBER(SEARCH("CIB)",L16))),"Local Transfer",
        AND(V16="Transfer",ISNUMBER(SEARCH("SMRT",L16))),"Local Transfer",
        AND(V16="Transfer",ISNUMBER(SEARCH("Al Murabba",L16))),"Local Transfer",
        AND(V16="Transfer",ISNUMBER(SEARCH("Internal Transfer",L16))),"Same FI",
        AND(V16="Transfer",ISNUMBER(SEARCH("Rejected",L16))),"Failed",
        V16="SADAD",
            _xlfn.IFS(
                ISNUMBER(SEARCH("Expatriate",L16)),"Expat Fees",
                TRUE,"Online Payment"
            ),
        V16="Payroll","Payroll",
        V16="Cash","Deposit",
        TRUE,"-"
    ),
    "-"
)</f>
        <v>Local Transfer</v>
      </c>
      <c r="X16" s="25" t="str" cm="1">
        <f t="array" ref="X16">_xlfn.IFNA(
    _xlfn.IFS(
        V16="-","Low",
        W16="-","Low",
        TRUE,"High"
    ),
    "-"
)</f>
        <v>High</v>
      </c>
      <c r="Y16" s="25" t="str">
        <f t="shared" si="0"/>
        <v>-</v>
      </c>
      <c r="Z16" s="25" t="str" cm="1">
        <f t="array" ref="Z16">_xlfn.IFNA(
    _xlfn.IFS(
        ISNUMBER(SEARCH("Abdul Latif Jameel",M16)),"Lender",
        ISNUMBER(SEARCH("Abdullah Abdulkarim Al Sudais",M16)),"Accounting",
        ISNUMBER(SEARCH("Abdullah Fahad for Accounting",M16)),"Accounting",
        ISNUMBER(SEARCH("Abdullah Rashid Shaikh",M16)),"Shareholder",
        ISNUMBER(SEARCH("Advanced Equipments",M16)),"Equipment Rental",
        ISNUMBER(SEARCH("Al Banuk Sana",M16)),"Telecom Company",
        ISNUMBER(SEARCH("Al Khaleefa Factory",M16)),"Manufacturer",
        ISNUMBER(SEARCH("Al Saadeh Trading",M16)),"Trading Company",
        ISNUMBER(SEARCH("Al Zaehaan",M16)),"Trading Company",
        ISNUMBER(SEARCH("Ali Abdullah K Al Darwish",M16)),"Airlines",
        ISNUMBER(SEARCH("Bupa Arabia",M16)),"Health Insurance",
        ISNUMBER(SEARCH("Dar Fahoosaat",M16)),"Consultant",
        ISNUMBER(SEARCH("General Authority of Zakat",M16)),"Tax Collection",
        ISNUMBER(SEARCH("Gulf Voyager",M16)),"Travel Agency",
        ISNUMBER(SEARCH("Hopeway Trading",M16)),"Trading Company",
        ISNUMBER(SEARCH("Interhealth Medical",M16)),"Medical Services",
        ISNUMBER(SEARCH("Ishaar",M16)),"Online Payment Service",
        ISNUMBER(SEARCH("ISO Arabia",M16)),"Certification",
        ISNUMBER(SEARCH("Khalid Saad Al Otaibi",M16)),"Trading Company",
        ISNUMBER(SEARCH("MERAS for Decoration",M16)),"Decor Company",
        ISNUMBER(SEARCH("Middle East Customs Clearance",M16)),"Customs",
        ISNUMBER(SEARCH("Ministry of Human Resources",M16)),"Government",
        ISNUMBER(SEARCH("My Business Services",M16)),"Service Provider",
        ISNUMBER(SEARCH("National Water Company",M16)),"Water Company",
        ISNUMBER(SEARCH("Rania Contracting",M16)),"Contracting",
        ISNUMBER(SEARCH("Rashid Ali Sheikh",M16)),"Shareholder",
        ISNUMBER(SEARCH("Sahab United Motors",M16)),"Car Show Room",
        ISNUMBER(SEARCH("Saud Mohammed Al Tamimi",M16)),"Shareholder",
        ISNUMBER(SEARCH("Saud Mohammed Tamimi",M16)),"Shareholder",
        ISNUMBER(SEARCH("Saudi Electric Company",M16)),"Electricity Company",
        ISNUMBER(SEARCH("Saudi Vetonit",M16)),"Building Materials",
        ISNUMBER(SEARCH("Shomoul Eng",M16)),"Safety",
        ISNUMBER(SEARCH("STC",M16)),"Telecom Company",
        ISNUMBER(SEARCH("The General Organization for Social Insurance",M16)),"Social Insurance Agency",
        ISNUMBER(SEARCH("TUV Rheinland",M16)),"Certification",
        ISNUMBER(SEARCH("Al Arabia Ceramic",M16)),"Building Materials",
        ISNUMBER(SEARCH("National Company for Building and Marketing",M16)),"Parent Company",
        ISNUMBER(SEARCH("Athraa Holding",M16)),"Holding Company",
        ISNUMBER(SEARCH("Al Rasan",M16)),"Contracting",
        ISNUMBER(SEARCH("Raboua Al Haid",M16)),"Trading Company",
        ISNUMBER(SEARCH("Al Jazeera Paint",M16)),"Manufacturer",
        ISNUMBER(SEARCH("Rania Works Contracting",M16)),"Contracting",
        ISNUMBER(SEARCH("Bandar Jarallah",M16)),"Trading Establishment",
        ISNUMBER(SEARCH("RS Infratec Saudi",M16)),"Same Company",
        ISNUMBER(SEARCH("Payroll",M16)),"Bank",
        ISNUMBER(SEARCH("Expatriate",M16)),"Government",
        ISNUMBER(SEARCH("Unknown Sender",M16)),"Unknown",
        TRUE,"Unknown"
    ),
    "-"
)</f>
        <v>Shareholder</v>
      </c>
      <c r="AA16" s="25" t="str" cm="1">
        <f t="array" ref="AA16">_xlfn.IFNA(
    _xlfn.IFS(
        Z16="Lender","Financing",
        Z16="Accounting","Accounting",
        Z16="Shareholder","Individual",
        Z16="Equipment Rental","Equipment Rental",
        Z16="Telecom Company","Telecom",
        Z16="Manufacturer","Manufacturer",
        Z16="Trading Company","Trading And Transport",
        Z16="Trading Establishment","Trading",
        Z16="Airlines","Airlines",
        Z16="Health Insurance","Insurance",
        Z16="Consultant","Consultant",
        Z16="Tax Collection","Government",
        Z16="Travel Agency","Travel Agency",
        Z16="Medical Services","Medical Center",
        Z16="Online Payment Service","Payment Facilitator",
        Z16="Certification","Safety",
        Z16="Decor Company","Design",
        Z16="Customs","Customs",
        Z16="Government","Government",
        Z16="Service Provider","Service Provider",
        Z16="Water Company","Water Company",
        Z16="Contracting","Contracting",
        Z16="Car Show Room","Car Trader",
        Z16="Electricity Company","Electricity Company",
        Z16="Building Materials","Building Materials",
        Z16="Safety","Safety",
        Z16="Social Insurance Agency","Government Fund",
        Z16="Parent Company","Holding Company",
        Z16="Holding Company","Holding Company",
        Z16="Same Company","Construction",
        Z16="Bank","Bank",
        Z16="Unknown","Unknown",
        TRUE,"-"
    ),
    "-"
)</f>
        <v>Individual</v>
      </c>
      <c r="AB16" s="25" t="str">
        <f t="shared" si="1"/>
        <v>-</v>
      </c>
      <c r="AC16" s="25" t="str" cm="1">
        <f t="array" ref="AC16">_xlfn.IFNA(
    _xlfn.IFS(
        Z16="Shareholder","Shareholder",
        Z16="Same Company","Same Company",
        Z16="Bank","Bank",
        Z16="Government","Government",
        Z16="Social Insurance Agency","Government",
        Z16="Parent Company","Customer",
        Z16="Lender","Lender",
        Z16="Unknown","Unknown",
        ISNUMBER(SEARCH("Abdullah Abdulkarim",M16)),"Service Provider",
        ISNUMBER(SEARCH("Abdullah Fahad",M16)),"Service Provider",
        ISNUMBER(SEARCH("Advanced Equipments",M16)),"Supplier",
        ISNUMBER(SEARCH("Al Banuk Sana",M16)),"Supplier",
        ISNUMBER(SEARCH("Al Khaleefa Factory",M16)),"Supplier",
        ISNUMBER(SEARCH("Al Saadeh Trading",M16)),"Supplier",
        ISNUMBER(SEARCH("Al Zaehaan",M16)),"Supplier",
        ISNUMBER(SEARCH("Ali Abdullah K Al Darwish",M16)),"Service Provider",
        ISNUMBER(SEARCH("Bupa Arabia",M16)),"Insurance Company",
        ISNUMBER(SEARCH("Dar Fahoosaat",M16)),"Service Provider",
        ISNUMBER(SEARCH("General Authority of Zakat",M16)),"Tax Authority",
        ISNUMBER(SEARCH("Gulf Voyager",M16)),"Service Provider",
        ISNUMBER(SEARCH("Hopeway Trading",M16)),"Supplier",
        ISNUMBER(SEARCH("Interhealth Medical",M16)),"Customer",
        ISNUMBER(SEARCH("Ishaar",M16)),"Service Provider",
        ISNUMBER(SEARCH("ISO Arabia",M16)),"Service Provider",
        ISNUMBER(SEARCH("Khalid Saad Al Otaibi",M16)),"Supplier",
        ISNUMBER(SEARCH("MERAS for Decoration",M16)),"Supplier",
        ISNUMBER(SEARCH("Middle East Customs Clearance",M16)),"Service Provider",
        ISNUMBER(SEARCH("Ministry of Human Resources",M16)),"Regulatory Agency",
        ISNUMBER(SEARCH("My Business Services",M16)),"Service Provider",
        ISNUMBER(SEARCH("National Water Company",M16)),"Utility Provider",
        ISNUMBER(SEARCH("Rania Contracting",M16)),"Supplier",
        ISNUMBER(SEARCH("Sahab United Motors",M16)),"Supplier",
        ISNUMBER(SEARCH("Saudi Electric Company",M16)),"Utility Provider",
        ISNUMBER(SEARCH("Saudi Vetonit",M16)),"Supplier",
        ISNUMBER(SEARCH("Shomoul Eng",M16)),"Service Provider",
        ISNUMBER(SEARCH("STC",M16)),"Utility Provider",
        ISNUMBER(SEARCH("The General Organization for Social Insurance",M16)),"Social Insurance Agency",
        ISNUMBER(SEARCH("TUV Rheinland",M16)),"Service Provider",
        ISNUMBER(SEARCH("Al Arabia Ceramic",M16)),"Supplier",
        ISNUMBER(SEARCH("National Company for Building",M16)),"Customer",
        ISNUMBER(SEARCH("Athraa Holding",M16)),"Customer",
        ISNUMBER(SEARCH("Al Rasan",M16)),"Supplier",
        ISNUMBER(SEARCH("Raboua Al Haid",M16)),"Customer",
        ISNUMBER(SEARCH("Al Jazeera Paint",M16)),"Supplier",
        ISNUMBER(SEARCH("Rania Works Contracting",M16)),"Supplier",
        ISNUMBER(SEARCH("Bandar Jarallah",M16)),"Supplier",
        TRUE,"Supplier"
    ),
    "-"
)</f>
        <v>Shareholder</v>
      </c>
      <c r="AD16" s="25" t="str" cm="1">
        <f t="array" ref="AD16">_xlfn.IFNA(
    _xlfn.IFS(
        AC16="Same Company","High",
        AC16="Shareholder","High",
        AC16="Government","High",
        AC16="Bank","High",
        AC16="Lender","High",
        AC16="Unknown","Low",
        AC16="-","Low",
        TRUE,"Medium"
    ),
    "-"
)</f>
        <v>High</v>
      </c>
      <c r="AE16" s="25" t="str">
        <f t="shared" si="2"/>
        <v>-</v>
      </c>
      <c r="AF16" s="25" t="str" cm="1">
        <f t="array" ref="AF16">_xlfn.IFNA(
    _xlfn.IFS(
        K16="Credit",
            _xlfn.IFS(
                OR(ISNUMBER(SEARCH("Rejected",L16)),ISNUMBER(SEARCH("Returned",L16))),"Other Income",
                TRUE,"Revenue"
            ),
        K16="Debit",
            _xlfn.IFS(
                ISNUMBER(SEARCH("Payroll",L16)),"OPEX",
                ISNUMBER(SEARCH("Expatriate",L16)),"OPEX",
                ISNUMBER(SEARCH("Zakat",M16)),"ZATCA",
                ISNUMBER(SEARCH("General Organization for Social Insurance",M16)),"OPEX",
                ISNUMBER(SEARCH("Saudi Electric",M16)),"OPEX",
                ISNUMBER(SEARCH("STC",M16)),"OPEX",
                ISNUMBER(SEARCH("National Water",M16)),"OPEX",
                ISNUMBER(SEARCH("Bupa",M16)),"OPEX",
                ISNUMBER(SEARCH("Abdullah Abdulkarim",M16)),"OPEX",
                ISNUMBER(SEARCH("Abdullah Fahad",M16)),"OPEX",
                ISNUMBER(SEARCH("ISO Arabia",M16)),"OPEX",
                ISNUMBER(SEARCH("Gulf Voyager",M16)),"OPEX",
                ISNUMBER(SEARCH("Ministry",M16)),"OPEX",
                ISNUMBER(SEARCH("General Authority of Zakat",M16)),"ZATCA",
                ISNUMBER(SEARCH("Rejected",L16)),"Other Income",
                TRUE,"COGS"
            ),
        TRUE,"-"
    ),
    "-"
)</f>
        <v>COGS</v>
      </c>
      <c r="AG16" s="25" t="str" cm="1">
        <f t="array" ref="AG16">_xlfn.IFNA(
    _xlfn.IFS(
        ISNUMBER(SEARCH("Payroll",L16)),"Payroll",
        ISNUMBER(SEARCH("Expatriate",L16)),"Government Fees",
        ISNUMBER(SEARCH("Zakat",M16)),"Zakat",
        ISNUMBER(SEARCH("Social Insurance",M16)),"Social Insurance",
        ISNUMBER(SEARCH("Saudi Electric",M16)),"Electricity",
        ISNUMBER(SEARCH("STC",M16)),"Telecom",
        ISNUMBER(SEARCH("National Water",M16)),"Water",
        ISNUMBER(SEARCH("Bupa",M16)),"Insurance",
        ISNUMBER(SEARCH("Gulf Voyager",M16)),"Travel",
        ISNUMBER(SEARCH("Ministry",M16)),"Government Fees",
        ISNUMBER(SEARCH("Abdullah Abdulkarim",M16)),"Consulting",
        ISNUMBER(SEARCH("Abdullah Fahad",M16)),"Accounting",
        ISNUMBER(SEARCH("ISO Arabia",M16)),"Consulting",
        ISNUMBER(SEARCH("Rejected",L16)),"Refund",
        AF16="COGS","Inventory Purchase",
        AF16="Revenue","Revenue",
        AF16="OPEX","Other",
        AF16="ZATCA","Zakat",
        TRUE,"-"
    ),
    "-"
)</f>
        <v>Inventory Purchase</v>
      </c>
      <c r="AH16" s="25" t="str" cm="1">
        <f t="array" ref="AH16">_xlfn.IFNA(
    _xlfn.IFS(
        AF16="-","Low",
        AF16="Other","Low",
        TRUE,"Medium"
    ),
    "-"
)</f>
        <v>Medium</v>
      </c>
      <c r="AI16" s="25" t="str">
        <f t="shared" si="3"/>
        <v>-</v>
      </c>
    </row>
    <row r="17" spans="1:35" x14ac:dyDescent="0.25">
      <c r="A17" s="10">
        <v>2</v>
      </c>
      <c r="B17" s="10" t="s">
        <v>35</v>
      </c>
      <c r="C17" s="10" t="s">
        <v>36</v>
      </c>
      <c r="D17" s="10" t="s">
        <v>37</v>
      </c>
      <c r="E17" s="10" t="s">
        <v>38</v>
      </c>
      <c r="F17" s="11" t="s">
        <v>39</v>
      </c>
      <c r="G17" s="11" t="s">
        <v>40</v>
      </c>
      <c r="H17" s="12">
        <v>44958</v>
      </c>
      <c r="I17" s="20">
        <v>51499.97</v>
      </c>
      <c r="J17" s="20">
        <v>2923.07</v>
      </c>
      <c r="K17" s="10" t="s">
        <v>41</v>
      </c>
      <c r="L17" s="9" t="s">
        <v>56</v>
      </c>
      <c r="M17" s="9" t="s">
        <v>74</v>
      </c>
      <c r="N17" s="9" t="s">
        <v>75</v>
      </c>
      <c r="O17" s="9" t="s">
        <v>53</v>
      </c>
      <c r="P17" s="15">
        <v>44958</v>
      </c>
      <c r="Q17" s="9" t="s">
        <v>76</v>
      </c>
      <c r="R17" s="16">
        <v>2923.07</v>
      </c>
      <c r="S17" s="18">
        <v>1</v>
      </c>
      <c r="U17" s="9" t="s">
        <v>55</v>
      </c>
      <c r="V17" s="24" t="str" cm="1">
        <f t="array" ref="V17">_xlfn.IFNA(
    _xlfn.IFS(
        ISNUMBER(SEARCH("Fast Outgoing Transfer",L17)),"Transfer",
        ISNUMBER(SEARCH("Incoming Fast Transfer",L17)),"Transfer",
        ISNUMBER(SEARCH("Outgoing International Transfer",L17)),"Transfer",
        ISNUMBER(SEARCH("Bill Payment",L17)),"SADAD",
        ISNUMBER(SEARCH("Payroll",L17)),"Payroll",
        ISNUMBER(SEARCH("Cash Deposit",L17)),"Cash",
        ISNUMBER(SEARCH("Internal Transfer",L17)),"Transfer",
        ISNUMBER(SEARCH("Expatriate Services Payment",L17)),"SADAD",
        ISNUMBER(SEARCH("Rejected",L17)),"Transfer"
    ),
    "-"
)</f>
        <v>Transfer</v>
      </c>
      <c r="W17" s="25" t="str" cm="1">
        <f t="array" ref="W17">_xlfn.IFNA(
    _xlfn.IFS(
        AND(V17="Transfer",ISNUMBER(SEARCH("RIYAD BANK",L17))),"External FI",
        AND(V17="Transfer",ISNUMBER(SEARCH("Al Ahli",L17))),"External FI",
        AND(V17="Transfer",ISNUMBER(SEARCH("CIB via",L17))),"Local Transfer",
        AND(V17="Transfer",ISNUMBER(SEARCH("CIB)",L17))),"Local Transfer",
        AND(V17="Transfer",ISNUMBER(SEARCH("SMRT",L17))),"Local Transfer",
        AND(V17="Transfer",ISNUMBER(SEARCH("Al Murabba",L17))),"Local Transfer",
        AND(V17="Transfer",ISNUMBER(SEARCH("Internal Transfer",L17))),"Same FI",
        AND(V17="Transfer",ISNUMBER(SEARCH("Rejected",L17))),"Failed",
        V17="SADAD",
            _xlfn.IFS(
                ISNUMBER(SEARCH("Expatriate",L17)),"Expat Fees",
                TRUE,"Online Payment"
            ),
        V17="Payroll","Payroll",
        V17="Cash","Deposit",
        TRUE,"-"
    ),
    "-"
)</f>
        <v>Local Transfer</v>
      </c>
      <c r="X17" s="25" t="str" cm="1">
        <f t="array" ref="X17">_xlfn.IFNA(
    _xlfn.IFS(
        V17="-","Low",
        W17="-","Low",
        TRUE,"High"
    ),
    "-"
)</f>
        <v>High</v>
      </c>
      <c r="Y17" s="25" t="str">
        <f t="shared" si="0"/>
        <v>-</v>
      </c>
      <c r="Z17" s="25" t="str" cm="1">
        <f t="array" ref="Z17">_xlfn.IFNA(
    _xlfn.IFS(
        ISNUMBER(SEARCH("Abdul Latif Jameel",M17)),"Lender",
        ISNUMBER(SEARCH("Abdullah Abdulkarim Al Sudais",M17)),"Accounting",
        ISNUMBER(SEARCH("Abdullah Fahad for Accounting",M17)),"Accounting",
        ISNUMBER(SEARCH("Abdullah Rashid Shaikh",M17)),"Shareholder",
        ISNUMBER(SEARCH("Advanced Equipments",M17)),"Equipment Rental",
        ISNUMBER(SEARCH("Al Banuk Sana",M17)),"Telecom Company",
        ISNUMBER(SEARCH("Al Khaleefa Factory",M17)),"Manufacturer",
        ISNUMBER(SEARCH("Al Saadeh Trading",M17)),"Trading Company",
        ISNUMBER(SEARCH("Al Zaehaan",M17)),"Trading Company",
        ISNUMBER(SEARCH("Ali Abdullah K Al Darwish",M17)),"Airlines",
        ISNUMBER(SEARCH("Bupa Arabia",M17)),"Health Insurance",
        ISNUMBER(SEARCH("Dar Fahoosaat",M17)),"Consultant",
        ISNUMBER(SEARCH("General Authority of Zakat",M17)),"Tax Collection",
        ISNUMBER(SEARCH("Gulf Voyager",M17)),"Travel Agency",
        ISNUMBER(SEARCH("Hopeway Trading",M17)),"Trading Company",
        ISNUMBER(SEARCH("Interhealth Medical",M17)),"Medical Services",
        ISNUMBER(SEARCH("Ishaar",M17)),"Online Payment Service",
        ISNUMBER(SEARCH("ISO Arabia",M17)),"Certification",
        ISNUMBER(SEARCH("Khalid Saad Al Otaibi",M17)),"Trading Company",
        ISNUMBER(SEARCH("MERAS for Decoration",M17)),"Decor Company",
        ISNUMBER(SEARCH("Middle East Customs Clearance",M17)),"Customs",
        ISNUMBER(SEARCH("Ministry of Human Resources",M17)),"Government",
        ISNUMBER(SEARCH("My Business Services",M17)),"Service Provider",
        ISNUMBER(SEARCH("National Water Company",M17)),"Water Company",
        ISNUMBER(SEARCH("Rania Contracting",M17)),"Contracting",
        ISNUMBER(SEARCH("Rashid Ali Sheikh",M17)),"Shareholder",
        ISNUMBER(SEARCH("Sahab United Motors",M17)),"Car Show Room",
        ISNUMBER(SEARCH("Saud Mohammed Al Tamimi",M17)),"Shareholder",
        ISNUMBER(SEARCH("Saud Mohammed Tamimi",M17)),"Shareholder",
        ISNUMBER(SEARCH("Saudi Electric Company",M17)),"Electricity Company",
        ISNUMBER(SEARCH("Saudi Vetonit",M17)),"Building Materials",
        ISNUMBER(SEARCH("Shomoul Eng",M17)),"Safety",
        ISNUMBER(SEARCH("STC",M17)),"Telecom Company",
        ISNUMBER(SEARCH("The General Organization for Social Insurance",M17)),"Social Insurance Agency",
        ISNUMBER(SEARCH("TUV Rheinland",M17)),"Certification",
        ISNUMBER(SEARCH("Al Arabia Ceramic",M17)),"Building Materials",
        ISNUMBER(SEARCH("National Company for Building and Marketing",M17)),"Parent Company",
        ISNUMBER(SEARCH("Athraa Holding",M17)),"Holding Company",
        ISNUMBER(SEARCH("Al Rasan",M17)),"Contracting",
        ISNUMBER(SEARCH("Raboua Al Haid",M17)),"Trading Company",
        ISNUMBER(SEARCH("Al Jazeera Paint",M17)),"Manufacturer",
        ISNUMBER(SEARCH("Rania Works Contracting",M17)),"Contracting",
        ISNUMBER(SEARCH("Bandar Jarallah",M17)),"Trading Establishment",
        ISNUMBER(SEARCH("RS Infratec Saudi",M17)),"Same Company",
        ISNUMBER(SEARCH("Payroll",M17)),"Bank",
        ISNUMBER(SEARCH("Expatriate",M17)),"Government",
        ISNUMBER(SEARCH("Unknown Sender",M17)),"Unknown",
        TRUE,"Unknown"
    ),
    "-"
)</f>
        <v>Telecom Company</v>
      </c>
      <c r="AA17" s="25" t="str" cm="1">
        <f t="array" ref="AA17">_xlfn.IFNA(
    _xlfn.IFS(
        Z17="Lender","Financing",
        Z17="Accounting","Accounting",
        Z17="Shareholder","Individual",
        Z17="Equipment Rental","Equipment Rental",
        Z17="Telecom Company","Telecom",
        Z17="Manufacturer","Manufacturer",
        Z17="Trading Company","Trading And Transport",
        Z17="Trading Establishment","Trading",
        Z17="Airlines","Airlines",
        Z17="Health Insurance","Insurance",
        Z17="Consultant","Consultant",
        Z17="Tax Collection","Government",
        Z17="Travel Agency","Travel Agency",
        Z17="Medical Services","Medical Center",
        Z17="Online Payment Service","Payment Facilitator",
        Z17="Certification","Safety",
        Z17="Decor Company","Design",
        Z17="Customs","Customs",
        Z17="Government","Government",
        Z17="Service Provider","Service Provider",
        Z17="Water Company","Water Company",
        Z17="Contracting","Contracting",
        Z17="Car Show Room","Car Trader",
        Z17="Electricity Company","Electricity Company",
        Z17="Building Materials","Building Materials",
        Z17="Safety","Safety",
        Z17="Social Insurance Agency","Government Fund",
        Z17="Parent Company","Holding Company",
        Z17="Holding Company","Holding Company",
        Z17="Same Company","Construction",
        Z17="Bank","Bank",
        Z17="Unknown","Unknown",
        TRUE,"-"
    ),
    "-"
)</f>
        <v>Telecom</v>
      </c>
      <c r="AB17" s="25" t="str">
        <f t="shared" si="1"/>
        <v>-</v>
      </c>
      <c r="AC17" s="25" t="str" cm="1">
        <f t="array" ref="AC17">_xlfn.IFNA(
    _xlfn.IFS(
        Z17="Shareholder","Shareholder",
        Z17="Same Company","Same Company",
        Z17="Bank","Bank",
        Z17="Government","Government",
        Z17="Social Insurance Agency","Government",
        Z17="Parent Company","Customer",
        Z17="Lender","Lender",
        Z17="Unknown","Unknown",
        ISNUMBER(SEARCH("Abdullah Abdulkarim",M17)),"Service Provider",
        ISNUMBER(SEARCH("Abdullah Fahad",M17)),"Service Provider",
        ISNUMBER(SEARCH("Advanced Equipments",M17)),"Supplier",
        ISNUMBER(SEARCH("Al Banuk Sana",M17)),"Supplier",
        ISNUMBER(SEARCH("Al Khaleefa Factory",M17)),"Supplier",
        ISNUMBER(SEARCH("Al Saadeh Trading",M17)),"Supplier",
        ISNUMBER(SEARCH("Al Zaehaan",M17)),"Supplier",
        ISNUMBER(SEARCH("Ali Abdullah K Al Darwish",M17)),"Service Provider",
        ISNUMBER(SEARCH("Bupa Arabia",M17)),"Insurance Company",
        ISNUMBER(SEARCH("Dar Fahoosaat",M17)),"Service Provider",
        ISNUMBER(SEARCH("General Authority of Zakat",M17)),"Tax Authority",
        ISNUMBER(SEARCH("Gulf Voyager",M17)),"Service Provider",
        ISNUMBER(SEARCH("Hopeway Trading",M17)),"Supplier",
        ISNUMBER(SEARCH("Interhealth Medical",M17)),"Customer",
        ISNUMBER(SEARCH("Ishaar",M17)),"Service Provider",
        ISNUMBER(SEARCH("ISO Arabia",M17)),"Service Provider",
        ISNUMBER(SEARCH("Khalid Saad Al Otaibi",M17)),"Supplier",
        ISNUMBER(SEARCH("MERAS for Decoration",M17)),"Supplier",
        ISNUMBER(SEARCH("Middle East Customs Clearance",M17)),"Service Provider",
        ISNUMBER(SEARCH("Ministry of Human Resources",M17)),"Regulatory Agency",
        ISNUMBER(SEARCH("My Business Services",M17)),"Service Provider",
        ISNUMBER(SEARCH("National Water Company",M17)),"Utility Provider",
        ISNUMBER(SEARCH("Rania Contracting",M17)),"Supplier",
        ISNUMBER(SEARCH("Sahab United Motors",M17)),"Supplier",
        ISNUMBER(SEARCH("Saudi Electric Company",M17)),"Utility Provider",
        ISNUMBER(SEARCH("Saudi Vetonit",M17)),"Supplier",
        ISNUMBER(SEARCH("Shomoul Eng",M17)),"Service Provider",
        ISNUMBER(SEARCH("STC",M17)),"Utility Provider",
        ISNUMBER(SEARCH("The General Organization for Social Insurance",M17)),"Social Insurance Agency",
        ISNUMBER(SEARCH("TUV Rheinland",M17)),"Service Provider",
        ISNUMBER(SEARCH("Al Arabia Ceramic",M17)),"Supplier",
        ISNUMBER(SEARCH("National Company for Building",M17)),"Customer",
        ISNUMBER(SEARCH("Athraa Holding",M17)),"Customer",
        ISNUMBER(SEARCH("Al Rasan",M17)),"Supplier",
        ISNUMBER(SEARCH("Raboua Al Haid",M17)),"Customer",
        ISNUMBER(SEARCH("Al Jazeera Paint",M17)),"Supplier",
        ISNUMBER(SEARCH("Rania Works Contracting",M17)),"Supplier",
        ISNUMBER(SEARCH("Bandar Jarallah",M17)),"Supplier",
        TRUE,"Supplier"
    ),
    "-"
)</f>
        <v>Supplier</v>
      </c>
      <c r="AD17" s="25" t="str" cm="1">
        <f t="array" ref="AD17">_xlfn.IFNA(
    _xlfn.IFS(
        AC17="Same Company","High",
        AC17="Shareholder","High",
        AC17="Government","High",
        AC17="Bank","High",
        AC17="Lender","High",
        AC17="Unknown","Low",
        AC17="-","Low",
        TRUE,"Medium"
    ),
    "-"
)</f>
        <v>Medium</v>
      </c>
      <c r="AE17" s="25" t="str">
        <f t="shared" si="2"/>
        <v>-</v>
      </c>
      <c r="AF17" s="25" t="str" cm="1">
        <f t="array" ref="AF17">_xlfn.IFNA(
    _xlfn.IFS(
        K17="Credit",
            _xlfn.IFS(
                OR(ISNUMBER(SEARCH("Rejected",L17)),ISNUMBER(SEARCH("Returned",L17))),"Other Income",
                TRUE,"Revenue"
            ),
        K17="Debit",
            _xlfn.IFS(
                ISNUMBER(SEARCH("Payroll",L17)),"OPEX",
                ISNUMBER(SEARCH("Expatriate",L17)),"OPEX",
                ISNUMBER(SEARCH("Zakat",M17)),"ZATCA",
                ISNUMBER(SEARCH("General Organization for Social Insurance",M17)),"OPEX",
                ISNUMBER(SEARCH("Saudi Electric",M17)),"OPEX",
                ISNUMBER(SEARCH("STC",M17)),"OPEX",
                ISNUMBER(SEARCH("National Water",M17)),"OPEX",
                ISNUMBER(SEARCH("Bupa",M17)),"OPEX",
                ISNUMBER(SEARCH("Abdullah Abdulkarim",M17)),"OPEX",
                ISNUMBER(SEARCH("Abdullah Fahad",M17)),"OPEX",
                ISNUMBER(SEARCH("ISO Arabia",M17)),"OPEX",
                ISNUMBER(SEARCH("Gulf Voyager",M17)),"OPEX",
                ISNUMBER(SEARCH("Ministry",M17)),"OPEX",
                ISNUMBER(SEARCH("General Authority of Zakat",M17)),"ZATCA",
                ISNUMBER(SEARCH("Rejected",L17)),"Other Income",
                TRUE,"COGS"
            ),
        TRUE,"-"
    ),
    "-"
)</f>
        <v>COGS</v>
      </c>
      <c r="AG17" s="25" t="str" cm="1">
        <f t="array" ref="AG17">_xlfn.IFNA(
    _xlfn.IFS(
        ISNUMBER(SEARCH("Payroll",L17)),"Payroll",
        ISNUMBER(SEARCH("Expatriate",L17)),"Government Fees",
        ISNUMBER(SEARCH("Zakat",M17)),"Zakat",
        ISNUMBER(SEARCH("Social Insurance",M17)),"Social Insurance",
        ISNUMBER(SEARCH("Saudi Electric",M17)),"Electricity",
        ISNUMBER(SEARCH("STC",M17)),"Telecom",
        ISNUMBER(SEARCH("National Water",M17)),"Water",
        ISNUMBER(SEARCH("Bupa",M17)),"Insurance",
        ISNUMBER(SEARCH("Gulf Voyager",M17)),"Travel",
        ISNUMBER(SEARCH("Ministry",M17)),"Government Fees",
        ISNUMBER(SEARCH("Abdullah Abdulkarim",M17)),"Consulting",
        ISNUMBER(SEARCH("Abdullah Fahad",M17)),"Accounting",
        ISNUMBER(SEARCH("ISO Arabia",M17)),"Consulting",
        ISNUMBER(SEARCH("Rejected",L17)),"Refund",
        AF17="COGS","Inventory Purchase",
        AF17="Revenue","Revenue",
        AF17="OPEX","Other",
        AF17="ZATCA","Zakat",
        TRUE,"-"
    ),
    "-"
)</f>
        <v>Inventory Purchase</v>
      </c>
      <c r="AH17" s="25" t="str" cm="1">
        <f t="array" ref="AH17">_xlfn.IFNA(
    _xlfn.IFS(
        AF17="-","Low",
        AF17="Other","Low",
        TRUE,"Medium"
    ),
    "-"
)</f>
        <v>Medium</v>
      </c>
      <c r="AI17" s="25" t="str">
        <f t="shared" si="3"/>
        <v>-</v>
      </c>
    </row>
    <row r="18" spans="1:35" x14ac:dyDescent="0.25">
      <c r="A18" s="10">
        <v>2</v>
      </c>
      <c r="B18" s="10" t="s">
        <v>35</v>
      </c>
      <c r="C18" s="10" t="s">
        <v>36</v>
      </c>
      <c r="D18" s="10" t="s">
        <v>37</v>
      </c>
      <c r="E18" s="10" t="s">
        <v>38</v>
      </c>
      <c r="F18" s="11" t="s">
        <v>39</v>
      </c>
      <c r="G18" s="11" t="s">
        <v>40</v>
      </c>
      <c r="H18" s="12">
        <v>45074</v>
      </c>
      <c r="I18" s="20">
        <v>78216.75</v>
      </c>
      <c r="J18" s="20">
        <v>11696.65</v>
      </c>
      <c r="K18" s="10" t="s">
        <v>41</v>
      </c>
      <c r="L18" s="9" t="s">
        <v>56</v>
      </c>
      <c r="M18" s="9" t="s">
        <v>74</v>
      </c>
      <c r="N18" s="9" t="s">
        <v>75</v>
      </c>
      <c r="O18" s="9" t="s">
        <v>53</v>
      </c>
      <c r="P18" s="15">
        <v>45074</v>
      </c>
      <c r="Q18" s="9" t="s">
        <v>77</v>
      </c>
      <c r="R18" s="16">
        <v>11696.65</v>
      </c>
      <c r="S18" s="18">
        <v>1</v>
      </c>
      <c r="U18" s="9" t="s">
        <v>55</v>
      </c>
      <c r="V18" s="24" t="str" cm="1">
        <f t="array" ref="V18">_xlfn.IFNA(
    _xlfn.IFS(
        ISNUMBER(SEARCH("Fast Outgoing Transfer",L18)),"Transfer",
        ISNUMBER(SEARCH("Incoming Fast Transfer",L18)),"Transfer",
        ISNUMBER(SEARCH("Outgoing International Transfer",L18)),"Transfer",
        ISNUMBER(SEARCH("Bill Payment",L18)),"SADAD",
        ISNUMBER(SEARCH("Payroll",L18)),"Payroll",
        ISNUMBER(SEARCH("Cash Deposit",L18)),"Cash",
        ISNUMBER(SEARCH("Internal Transfer",L18)),"Transfer",
        ISNUMBER(SEARCH("Expatriate Services Payment",L18)),"SADAD",
        ISNUMBER(SEARCH("Rejected",L18)),"Transfer"
    ),
    "-"
)</f>
        <v>Transfer</v>
      </c>
      <c r="W18" s="25" t="str" cm="1">
        <f t="array" ref="W18">_xlfn.IFNA(
    _xlfn.IFS(
        AND(V18="Transfer",ISNUMBER(SEARCH("RIYAD BANK",L18))),"External FI",
        AND(V18="Transfer",ISNUMBER(SEARCH("Al Ahli",L18))),"External FI",
        AND(V18="Transfer",ISNUMBER(SEARCH("CIB via",L18))),"Local Transfer",
        AND(V18="Transfer",ISNUMBER(SEARCH("CIB)",L18))),"Local Transfer",
        AND(V18="Transfer",ISNUMBER(SEARCH("SMRT",L18))),"Local Transfer",
        AND(V18="Transfer",ISNUMBER(SEARCH("Al Murabba",L18))),"Local Transfer",
        AND(V18="Transfer",ISNUMBER(SEARCH("Internal Transfer",L18))),"Same FI",
        AND(V18="Transfer",ISNUMBER(SEARCH("Rejected",L18))),"Failed",
        V18="SADAD",
            _xlfn.IFS(
                ISNUMBER(SEARCH("Expatriate",L18)),"Expat Fees",
                TRUE,"Online Payment"
            ),
        V18="Payroll","Payroll",
        V18="Cash","Deposit",
        TRUE,"-"
    ),
    "-"
)</f>
        <v>Local Transfer</v>
      </c>
      <c r="X18" s="25" t="str" cm="1">
        <f t="array" ref="X18">_xlfn.IFNA(
    _xlfn.IFS(
        V18="-","Low",
        W18="-","Low",
        TRUE,"High"
    ),
    "-"
)</f>
        <v>High</v>
      </c>
      <c r="Y18" s="25" t="str">
        <f t="shared" si="0"/>
        <v>-</v>
      </c>
      <c r="Z18" s="25" t="str" cm="1">
        <f t="array" ref="Z18">_xlfn.IFNA(
    _xlfn.IFS(
        ISNUMBER(SEARCH("Abdul Latif Jameel",M18)),"Lender",
        ISNUMBER(SEARCH("Abdullah Abdulkarim Al Sudais",M18)),"Accounting",
        ISNUMBER(SEARCH("Abdullah Fahad for Accounting",M18)),"Accounting",
        ISNUMBER(SEARCH("Abdullah Rashid Shaikh",M18)),"Shareholder",
        ISNUMBER(SEARCH("Advanced Equipments",M18)),"Equipment Rental",
        ISNUMBER(SEARCH("Al Banuk Sana",M18)),"Telecom Company",
        ISNUMBER(SEARCH("Al Khaleefa Factory",M18)),"Manufacturer",
        ISNUMBER(SEARCH("Al Saadeh Trading",M18)),"Trading Company",
        ISNUMBER(SEARCH("Al Zaehaan",M18)),"Trading Company",
        ISNUMBER(SEARCH("Ali Abdullah K Al Darwish",M18)),"Airlines",
        ISNUMBER(SEARCH("Bupa Arabia",M18)),"Health Insurance",
        ISNUMBER(SEARCH("Dar Fahoosaat",M18)),"Consultant",
        ISNUMBER(SEARCH("General Authority of Zakat",M18)),"Tax Collection",
        ISNUMBER(SEARCH("Gulf Voyager",M18)),"Travel Agency",
        ISNUMBER(SEARCH("Hopeway Trading",M18)),"Trading Company",
        ISNUMBER(SEARCH("Interhealth Medical",M18)),"Medical Services",
        ISNUMBER(SEARCH("Ishaar",M18)),"Online Payment Service",
        ISNUMBER(SEARCH("ISO Arabia",M18)),"Certification",
        ISNUMBER(SEARCH("Khalid Saad Al Otaibi",M18)),"Trading Company",
        ISNUMBER(SEARCH("MERAS for Decoration",M18)),"Decor Company",
        ISNUMBER(SEARCH("Middle East Customs Clearance",M18)),"Customs",
        ISNUMBER(SEARCH("Ministry of Human Resources",M18)),"Government",
        ISNUMBER(SEARCH("My Business Services",M18)),"Service Provider",
        ISNUMBER(SEARCH("National Water Company",M18)),"Water Company",
        ISNUMBER(SEARCH("Rania Contracting",M18)),"Contracting",
        ISNUMBER(SEARCH("Rashid Ali Sheikh",M18)),"Shareholder",
        ISNUMBER(SEARCH("Sahab United Motors",M18)),"Car Show Room",
        ISNUMBER(SEARCH("Saud Mohammed Al Tamimi",M18)),"Shareholder",
        ISNUMBER(SEARCH("Saud Mohammed Tamimi",M18)),"Shareholder",
        ISNUMBER(SEARCH("Saudi Electric Company",M18)),"Electricity Company",
        ISNUMBER(SEARCH("Saudi Vetonit",M18)),"Building Materials",
        ISNUMBER(SEARCH("Shomoul Eng",M18)),"Safety",
        ISNUMBER(SEARCH("STC",M18)),"Telecom Company",
        ISNUMBER(SEARCH("The General Organization for Social Insurance",M18)),"Social Insurance Agency",
        ISNUMBER(SEARCH("TUV Rheinland",M18)),"Certification",
        ISNUMBER(SEARCH("Al Arabia Ceramic",M18)),"Building Materials",
        ISNUMBER(SEARCH("National Company for Building and Marketing",M18)),"Parent Company",
        ISNUMBER(SEARCH("Athraa Holding",M18)),"Holding Company",
        ISNUMBER(SEARCH("Al Rasan",M18)),"Contracting",
        ISNUMBER(SEARCH("Raboua Al Haid",M18)),"Trading Company",
        ISNUMBER(SEARCH("Al Jazeera Paint",M18)),"Manufacturer",
        ISNUMBER(SEARCH("Rania Works Contracting",M18)),"Contracting",
        ISNUMBER(SEARCH("Bandar Jarallah",M18)),"Trading Establishment",
        ISNUMBER(SEARCH("RS Infratec Saudi",M18)),"Same Company",
        ISNUMBER(SEARCH("Payroll",M18)),"Bank",
        ISNUMBER(SEARCH("Expatriate",M18)),"Government",
        ISNUMBER(SEARCH("Unknown Sender",M18)),"Unknown",
        TRUE,"Unknown"
    ),
    "-"
)</f>
        <v>Telecom Company</v>
      </c>
      <c r="AA18" s="25" t="str" cm="1">
        <f t="array" ref="AA18">_xlfn.IFNA(
    _xlfn.IFS(
        Z18="Lender","Financing",
        Z18="Accounting","Accounting",
        Z18="Shareholder","Individual",
        Z18="Equipment Rental","Equipment Rental",
        Z18="Telecom Company","Telecom",
        Z18="Manufacturer","Manufacturer",
        Z18="Trading Company","Trading And Transport",
        Z18="Trading Establishment","Trading",
        Z18="Airlines","Airlines",
        Z18="Health Insurance","Insurance",
        Z18="Consultant","Consultant",
        Z18="Tax Collection","Government",
        Z18="Travel Agency","Travel Agency",
        Z18="Medical Services","Medical Center",
        Z18="Online Payment Service","Payment Facilitator",
        Z18="Certification","Safety",
        Z18="Decor Company","Design",
        Z18="Customs","Customs",
        Z18="Government","Government",
        Z18="Service Provider","Service Provider",
        Z18="Water Company","Water Company",
        Z18="Contracting","Contracting",
        Z18="Car Show Room","Car Trader",
        Z18="Electricity Company","Electricity Company",
        Z18="Building Materials","Building Materials",
        Z18="Safety","Safety",
        Z18="Social Insurance Agency","Government Fund",
        Z18="Parent Company","Holding Company",
        Z18="Holding Company","Holding Company",
        Z18="Same Company","Construction",
        Z18="Bank","Bank",
        Z18="Unknown","Unknown",
        TRUE,"-"
    ),
    "-"
)</f>
        <v>Telecom</v>
      </c>
      <c r="AB18" s="25" t="str">
        <f t="shared" si="1"/>
        <v>-</v>
      </c>
      <c r="AC18" s="25" t="str" cm="1">
        <f t="array" ref="AC18">_xlfn.IFNA(
    _xlfn.IFS(
        Z18="Shareholder","Shareholder",
        Z18="Same Company","Same Company",
        Z18="Bank","Bank",
        Z18="Government","Government",
        Z18="Social Insurance Agency","Government",
        Z18="Parent Company","Customer",
        Z18="Lender","Lender",
        Z18="Unknown","Unknown",
        ISNUMBER(SEARCH("Abdullah Abdulkarim",M18)),"Service Provider",
        ISNUMBER(SEARCH("Abdullah Fahad",M18)),"Service Provider",
        ISNUMBER(SEARCH("Advanced Equipments",M18)),"Supplier",
        ISNUMBER(SEARCH("Al Banuk Sana",M18)),"Supplier",
        ISNUMBER(SEARCH("Al Khaleefa Factory",M18)),"Supplier",
        ISNUMBER(SEARCH("Al Saadeh Trading",M18)),"Supplier",
        ISNUMBER(SEARCH("Al Zaehaan",M18)),"Supplier",
        ISNUMBER(SEARCH("Ali Abdullah K Al Darwish",M18)),"Service Provider",
        ISNUMBER(SEARCH("Bupa Arabia",M18)),"Insurance Company",
        ISNUMBER(SEARCH("Dar Fahoosaat",M18)),"Service Provider",
        ISNUMBER(SEARCH("General Authority of Zakat",M18)),"Tax Authority",
        ISNUMBER(SEARCH("Gulf Voyager",M18)),"Service Provider",
        ISNUMBER(SEARCH("Hopeway Trading",M18)),"Supplier",
        ISNUMBER(SEARCH("Interhealth Medical",M18)),"Customer",
        ISNUMBER(SEARCH("Ishaar",M18)),"Service Provider",
        ISNUMBER(SEARCH("ISO Arabia",M18)),"Service Provider",
        ISNUMBER(SEARCH("Khalid Saad Al Otaibi",M18)),"Supplier",
        ISNUMBER(SEARCH("MERAS for Decoration",M18)),"Supplier",
        ISNUMBER(SEARCH("Middle East Customs Clearance",M18)),"Service Provider",
        ISNUMBER(SEARCH("Ministry of Human Resources",M18)),"Regulatory Agency",
        ISNUMBER(SEARCH("My Business Services",M18)),"Service Provider",
        ISNUMBER(SEARCH("National Water Company",M18)),"Utility Provider",
        ISNUMBER(SEARCH("Rania Contracting",M18)),"Supplier",
        ISNUMBER(SEARCH("Sahab United Motors",M18)),"Supplier",
        ISNUMBER(SEARCH("Saudi Electric Company",M18)),"Utility Provider",
        ISNUMBER(SEARCH("Saudi Vetonit",M18)),"Supplier",
        ISNUMBER(SEARCH("Shomoul Eng",M18)),"Service Provider",
        ISNUMBER(SEARCH("STC",M18)),"Utility Provider",
        ISNUMBER(SEARCH("The General Organization for Social Insurance",M18)),"Social Insurance Agency",
        ISNUMBER(SEARCH("TUV Rheinland",M18)),"Service Provider",
        ISNUMBER(SEARCH("Al Arabia Ceramic",M18)),"Supplier",
        ISNUMBER(SEARCH("National Company for Building",M18)),"Customer",
        ISNUMBER(SEARCH("Athraa Holding",M18)),"Customer",
        ISNUMBER(SEARCH("Al Rasan",M18)),"Supplier",
        ISNUMBER(SEARCH("Raboua Al Haid",M18)),"Customer",
        ISNUMBER(SEARCH("Al Jazeera Paint",M18)),"Supplier",
        ISNUMBER(SEARCH("Rania Works Contracting",M18)),"Supplier",
        ISNUMBER(SEARCH("Bandar Jarallah",M18)),"Supplier",
        TRUE,"Supplier"
    ),
    "-"
)</f>
        <v>Supplier</v>
      </c>
      <c r="AD18" s="25" t="str" cm="1">
        <f t="array" ref="AD18">_xlfn.IFNA(
    _xlfn.IFS(
        AC18="Same Company","High",
        AC18="Shareholder","High",
        AC18="Government","High",
        AC18="Bank","High",
        AC18="Lender","High",
        AC18="Unknown","Low",
        AC18="-","Low",
        TRUE,"Medium"
    ),
    "-"
)</f>
        <v>Medium</v>
      </c>
      <c r="AE18" s="25" t="str">
        <f t="shared" si="2"/>
        <v>-</v>
      </c>
      <c r="AF18" s="25" t="str" cm="1">
        <f t="array" ref="AF18">_xlfn.IFNA(
    _xlfn.IFS(
        K18="Credit",
            _xlfn.IFS(
                OR(ISNUMBER(SEARCH("Rejected",L18)),ISNUMBER(SEARCH("Returned",L18))),"Other Income",
                TRUE,"Revenue"
            ),
        K18="Debit",
            _xlfn.IFS(
                ISNUMBER(SEARCH("Payroll",L18)),"OPEX",
                ISNUMBER(SEARCH("Expatriate",L18)),"OPEX",
                ISNUMBER(SEARCH("Zakat",M18)),"ZATCA",
                ISNUMBER(SEARCH("General Organization for Social Insurance",M18)),"OPEX",
                ISNUMBER(SEARCH("Saudi Electric",M18)),"OPEX",
                ISNUMBER(SEARCH("STC",M18)),"OPEX",
                ISNUMBER(SEARCH("National Water",M18)),"OPEX",
                ISNUMBER(SEARCH("Bupa",M18)),"OPEX",
                ISNUMBER(SEARCH("Abdullah Abdulkarim",M18)),"OPEX",
                ISNUMBER(SEARCH("Abdullah Fahad",M18)),"OPEX",
                ISNUMBER(SEARCH("ISO Arabia",M18)),"OPEX",
                ISNUMBER(SEARCH("Gulf Voyager",M18)),"OPEX",
                ISNUMBER(SEARCH("Ministry",M18)),"OPEX",
                ISNUMBER(SEARCH("General Authority of Zakat",M18)),"ZATCA",
                ISNUMBER(SEARCH("Rejected",L18)),"Other Income",
                TRUE,"COGS"
            ),
        TRUE,"-"
    ),
    "-"
)</f>
        <v>COGS</v>
      </c>
      <c r="AG18" s="25" t="str" cm="1">
        <f t="array" ref="AG18">_xlfn.IFNA(
    _xlfn.IFS(
        ISNUMBER(SEARCH("Payroll",L18)),"Payroll",
        ISNUMBER(SEARCH("Expatriate",L18)),"Government Fees",
        ISNUMBER(SEARCH("Zakat",M18)),"Zakat",
        ISNUMBER(SEARCH("Social Insurance",M18)),"Social Insurance",
        ISNUMBER(SEARCH("Saudi Electric",M18)),"Electricity",
        ISNUMBER(SEARCH("STC",M18)),"Telecom",
        ISNUMBER(SEARCH("National Water",M18)),"Water",
        ISNUMBER(SEARCH("Bupa",M18)),"Insurance",
        ISNUMBER(SEARCH("Gulf Voyager",M18)),"Travel",
        ISNUMBER(SEARCH("Ministry",M18)),"Government Fees",
        ISNUMBER(SEARCH("Abdullah Abdulkarim",M18)),"Consulting",
        ISNUMBER(SEARCH("Abdullah Fahad",M18)),"Accounting",
        ISNUMBER(SEARCH("ISO Arabia",M18)),"Consulting",
        ISNUMBER(SEARCH("Rejected",L18)),"Refund",
        AF18="COGS","Inventory Purchase",
        AF18="Revenue","Revenue",
        AF18="OPEX","Other",
        AF18="ZATCA","Zakat",
        TRUE,"-"
    ),
    "-"
)</f>
        <v>Inventory Purchase</v>
      </c>
      <c r="AH18" s="25" t="str" cm="1">
        <f t="array" ref="AH18">_xlfn.IFNA(
    _xlfn.IFS(
        AF18="-","Low",
        AF18="Other","Low",
        TRUE,"Medium"
    ),
    "-"
)</f>
        <v>Medium</v>
      </c>
      <c r="AI18" s="25" t="str">
        <f t="shared" si="3"/>
        <v>-</v>
      </c>
    </row>
    <row r="19" spans="1:35" x14ac:dyDescent="0.25">
      <c r="A19" s="10">
        <v>2</v>
      </c>
      <c r="B19" s="10" t="s">
        <v>35</v>
      </c>
      <c r="C19" s="10" t="s">
        <v>36</v>
      </c>
      <c r="D19" s="10" t="s">
        <v>37</v>
      </c>
      <c r="E19" s="10" t="s">
        <v>38</v>
      </c>
      <c r="F19" s="11" t="s">
        <v>39</v>
      </c>
      <c r="G19" s="11" t="s">
        <v>40</v>
      </c>
      <c r="H19" s="12">
        <v>45004</v>
      </c>
      <c r="I19" s="20">
        <v>160282.29999999999</v>
      </c>
      <c r="J19" s="20">
        <v>7246.15</v>
      </c>
      <c r="K19" s="10" t="s">
        <v>41</v>
      </c>
      <c r="L19" s="9" t="s">
        <v>56</v>
      </c>
      <c r="M19" s="9" t="s">
        <v>78</v>
      </c>
      <c r="N19" s="9" t="s">
        <v>79</v>
      </c>
      <c r="O19" s="9" t="s">
        <v>53</v>
      </c>
      <c r="P19" s="15">
        <v>45004</v>
      </c>
      <c r="Q19" s="9" t="s">
        <v>80</v>
      </c>
      <c r="R19" s="16">
        <v>7246.15</v>
      </c>
      <c r="S19" s="18">
        <v>1</v>
      </c>
      <c r="T19" s="18">
        <v>0.15</v>
      </c>
      <c r="U19" s="9" t="s">
        <v>55</v>
      </c>
      <c r="V19" s="24" t="str" cm="1">
        <f t="array" ref="V19">_xlfn.IFNA(
    _xlfn.IFS(
        ISNUMBER(SEARCH("Fast Outgoing Transfer",L19)),"Transfer",
        ISNUMBER(SEARCH("Incoming Fast Transfer",L19)),"Transfer",
        ISNUMBER(SEARCH("Outgoing International Transfer",L19)),"Transfer",
        ISNUMBER(SEARCH("Bill Payment",L19)),"SADAD",
        ISNUMBER(SEARCH("Payroll",L19)),"Payroll",
        ISNUMBER(SEARCH("Cash Deposit",L19)),"Cash",
        ISNUMBER(SEARCH("Internal Transfer",L19)),"Transfer",
        ISNUMBER(SEARCH("Expatriate Services Payment",L19)),"SADAD",
        ISNUMBER(SEARCH("Rejected",L19)),"Transfer"
    ),
    "-"
)</f>
        <v>Transfer</v>
      </c>
      <c r="W19" s="25" t="str" cm="1">
        <f t="array" ref="W19">_xlfn.IFNA(
    _xlfn.IFS(
        AND(V19="Transfer",ISNUMBER(SEARCH("RIYAD BANK",L19))),"External FI",
        AND(V19="Transfer",ISNUMBER(SEARCH("Al Ahli",L19))),"External FI",
        AND(V19="Transfer",ISNUMBER(SEARCH("CIB via",L19))),"Local Transfer",
        AND(V19="Transfer",ISNUMBER(SEARCH("CIB)",L19))),"Local Transfer",
        AND(V19="Transfer",ISNUMBER(SEARCH("SMRT",L19))),"Local Transfer",
        AND(V19="Transfer",ISNUMBER(SEARCH("Al Murabba",L19))),"Local Transfer",
        AND(V19="Transfer",ISNUMBER(SEARCH("Internal Transfer",L19))),"Same FI",
        AND(V19="Transfer",ISNUMBER(SEARCH("Rejected",L19))),"Failed",
        V19="SADAD",
            _xlfn.IFS(
                ISNUMBER(SEARCH("Expatriate",L19)),"Expat Fees",
                TRUE,"Online Payment"
            ),
        V19="Payroll","Payroll",
        V19="Cash","Deposit",
        TRUE,"-"
    ),
    "-"
)</f>
        <v>Local Transfer</v>
      </c>
      <c r="X19" s="25" t="str" cm="1">
        <f t="array" ref="X19">_xlfn.IFNA(
    _xlfn.IFS(
        V19="-","Low",
        W19="-","Low",
        TRUE,"High"
    ),
    "-"
)</f>
        <v>High</v>
      </c>
      <c r="Y19" s="25" t="str">
        <f t="shared" si="0"/>
        <v>-</v>
      </c>
      <c r="Z19" s="25" t="str" cm="1">
        <f t="array" ref="Z19">_xlfn.IFNA(
    _xlfn.IFS(
        ISNUMBER(SEARCH("Abdul Latif Jameel",M19)),"Lender",
        ISNUMBER(SEARCH("Abdullah Abdulkarim Al Sudais",M19)),"Accounting",
        ISNUMBER(SEARCH("Abdullah Fahad for Accounting",M19)),"Accounting",
        ISNUMBER(SEARCH("Abdullah Rashid Shaikh",M19)),"Shareholder",
        ISNUMBER(SEARCH("Advanced Equipments",M19)),"Equipment Rental",
        ISNUMBER(SEARCH("Al Banuk Sana",M19)),"Telecom Company",
        ISNUMBER(SEARCH("Al Khaleefa Factory",M19)),"Manufacturer",
        ISNUMBER(SEARCH("Al Saadeh Trading",M19)),"Trading Company",
        ISNUMBER(SEARCH("Al Zaehaan",M19)),"Trading Company",
        ISNUMBER(SEARCH("Ali Abdullah K Al Darwish",M19)),"Airlines",
        ISNUMBER(SEARCH("Bupa Arabia",M19)),"Health Insurance",
        ISNUMBER(SEARCH("Dar Fahoosaat",M19)),"Consultant",
        ISNUMBER(SEARCH("General Authority of Zakat",M19)),"Tax Collection",
        ISNUMBER(SEARCH("Gulf Voyager",M19)),"Travel Agency",
        ISNUMBER(SEARCH("Hopeway Trading",M19)),"Trading Company",
        ISNUMBER(SEARCH("Interhealth Medical",M19)),"Medical Services",
        ISNUMBER(SEARCH("Ishaar",M19)),"Online Payment Service",
        ISNUMBER(SEARCH("ISO Arabia",M19)),"Certification",
        ISNUMBER(SEARCH("Khalid Saad Al Otaibi",M19)),"Trading Company",
        ISNUMBER(SEARCH("MERAS for Decoration",M19)),"Decor Company",
        ISNUMBER(SEARCH("Middle East Customs Clearance",M19)),"Customs",
        ISNUMBER(SEARCH("Ministry of Human Resources",M19)),"Government",
        ISNUMBER(SEARCH("My Business Services",M19)),"Service Provider",
        ISNUMBER(SEARCH("National Water Company",M19)),"Water Company",
        ISNUMBER(SEARCH("Rania Contracting",M19)),"Contracting",
        ISNUMBER(SEARCH("Rashid Ali Sheikh",M19)),"Shareholder",
        ISNUMBER(SEARCH("Sahab United Motors",M19)),"Car Show Room",
        ISNUMBER(SEARCH("Saud Mohammed Al Tamimi",M19)),"Shareholder",
        ISNUMBER(SEARCH("Saud Mohammed Tamimi",M19)),"Shareholder",
        ISNUMBER(SEARCH("Saudi Electric Company",M19)),"Electricity Company",
        ISNUMBER(SEARCH("Saudi Vetonit",M19)),"Building Materials",
        ISNUMBER(SEARCH("Shomoul Eng",M19)),"Safety",
        ISNUMBER(SEARCH("STC",M19)),"Telecom Company",
        ISNUMBER(SEARCH("The General Organization for Social Insurance",M19)),"Social Insurance Agency",
        ISNUMBER(SEARCH("TUV Rheinland",M19)),"Certification",
        ISNUMBER(SEARCH("Al Arabia Ceramic",M19)),"Building Materials",
        ISNUMBER(SEARCH("National Company for Building and Marketing",M19)),"Parent Company",
        ISNUMBER(SEARCH("Athraa Holding",M19)),"Holding Company",
        ISNUMBER(SEARCH("Al Rasan",M19)),"Contracting",
        ISNUMBER(SEARCH("Raboua Al Haid",M19)),"Trading Company",
        ISNUMBER(SEARCH("Al Jazeera Paint",M19)),"Manufacturer",
        ISNUMBER(SEARCH("Rania Works Contracting",M19)),"Contracting",
        ISNUMBER(SEARCH("Bandar Jarallah",M19)),"Trading Establishment",
        ISNUMBER(SEARCH("RS Infratec Saudi",M19)),"Same Company",
        ISNUMBER(SEARCH("Payroll",M19)),"Bank",
        ISNUMBER(SEARCH("Expatriate",M19)),"Government",
        ISNUMBER(SEARCH("Unknown Sender",M19)),"Unknown",
        TRUE,"Unknown"
    ),
    "-"
)</f>
        <v>Manufacturer</v>
      </c>
      <c r="AA19" s="25" t="str" cm="1">
        <f t="array" ref="AA19">_xlfn.IFNA(
    _xlfn.IFS(
        Z19="Lender","Financing",
        Z19="Accounting","Accounting",
        Z19="Shareholder","Individual",
        Z19="Equipment Rental","Equipment Rental",
        Z19="Telecom Company","Telecom",
        Z19="Manufacturer","Manufacturer",
        Z19="Trading Company","Trading And Transport",
        Z19="Trading Establishment","Trading",
        Z19="Airlines","Airlines",
        Z19="Health Insurance","Insurance",
        Z19="Consultant","Consultant",
        Z19="Tax Collection","Government",
        Z19="Travel Agency","Travel Agency",
        Z19="Medical Services","Medical Center",
        Z19="Online Payment Service","Payment Facilitator",
        Z19="Certification","Safety",
        Z19="Decor Company","Design",
        Z19="Customs","Customs",
        Z19="Government","Government",
        Z19="Service Provider","Service Provider",
        Z19="Water Company","Water Company",
        Z19="Contracting","Contracting",
        Z19="Car Show Room","Car Trader",
        Z19="Electricity Company","Electricity Company",
        Z19="Building Materials","Building Materials",
        Z19="Safety","Safety",
        Z19="Social Insurance Agency","Government Fund",
        Z19="Parent Company","Holding Company",
        Z19="Holding Company","Holding Company",
        Z19="Same Company","Construction",
        Z19="Bank","Bank",
        Z19="Unknown","Unknown",
        TRUE,"-"
    ),
    "-"
)</f>
        <v>Manufacturer</v>
      </c>
      <c r="AB19" s="25" t="str">
        <f t="shared" si="1"/>
        <v>-</v>
      </c>
      <c r="AC19" s="25" t="str" cm="1">
        <f t="array" ref="AC19">_xlfn.IFNA(
    _xlfn.IFS(
        Z19="Shareholder","Shareholder",
        Z19="Same Company","Same Company",
        Z19="Bank","Bank",
        Z19="Government","Government",
        Z19="Social Insurance Agency","Government",
        Z19="Parent Company","Customer",
        Z19="Lender","Lender",
        Z19="Unknown","Unknown",
        ISNUMBER(SEARCH("Abdullah Abdulkarim",M19)),"Service Provider",
        ISNUMBER(SEARCH("Abdullah Fahad",M19)),"Service Provider",
        ISNUMBER(SEARCH("Advanced Equipments",M19)),"Supplier",
        ISNUMBER(SEARCH("Al Banuk Sana",M19)),"Supplier",
        ISNUMBER(SEARCH("Al Khaleefa Factory",M19)),"Supplier",
        ISNUMBER(SEARCH("Al Saadeh Trading",M19)),"Supplier",
        ISNUMBER(SEARCH("Al Zaehaan",M19)),"Supplier",
        ISNUMBER(SEARCH("Ali Abdullah K Al Darwish",M19)),"Service Provider",
        ISNUMBER(SEARCH("Bupa Arabia",M19)),"Insurance Company",
        ISNUMBER(SEARCH("Dar Fahoosaat",M19)),"Service Provider",
        ISNUMBER(SEARCH("General Authority of Zakat",M19)),"Tax Authority",
        ISNUMBER(SEARCH("Gulf Voyager",M19)),"Service Provider",
        ISNUMBER(SEARCH("Hopeway Trading",M19)),"Supplier",
        ISNUMBER(SEARCH("Interhealth Medical",M19)),"Customer",
        ISNUMBER(SEARCH("Ishaar",M19)),"Service Provider",
        ISNUMBER(SEARCH("ISO Arabia",M19)),"Service Provider",
        ISNUMBER(SEARCH("Khalid Saad Al Otaibi",M19)),"Supplier",
        ISNUMBER(SEARCH("MERAS for Decoration",M19)),"Supplier",
        ISNUMBER(SEARCH("Middle East Customs Clearance",M19)),"Service Provider",
        ISNUMBER(SEARCH("Ministry of Human Resources",M19)),"Regulatory Agency",
        ISNUMBER(SEARCH("My Business Services",M19)),"Service Provider",
        ISNUMBER(SEARCH("National Water Company",M19)),"Utility Provider",
        ISNUMBER(SEARCH("Rania Contracting",M19)),"Supplier",
        ISNUMBER(SEARCH("Sahab United Motors",M19)),"Supplier",
        ISNUMBER(SEARCH("Saudi Electric Company",M19)),"Utility Provider",
        ISNUMBER(SEARCH("Saudi Vetonit",M19)),"Supplier",
        ISNUMBER(SEARCH("Shomoul Eng",M19)),"Service Provider",
        ISNUMBER(SEARCH("STC",M19)),"Utility Provider",
        ISNUMBER(SEARCH("The General Organization for Social Insurance",M19)),"Social Insurance Agency",
        ISNUMBER(SEARCH("TUV Rheinland",M19)),"Service Provider",
        ISNUMBER(SEARCH("Al Arabia Ceramic",M19)),"Supplier",
        ISNUMBER(SEARCH("National Company for Building",M19)),"Customer",
        ISNUMBER(SEARCH("Athraa Holding",M19)),"Customer",
        ISNUMBER(SEARCH("Al Rasan",M19)),"Supplier",
        ISNUMBER(SEARCH("Raboua Al Haid",M19)),"Customer",
        ISNUMBER(SEARCH("Al Jazeera Paint",M19)),"Supplier",
        ISNUMBER(SEARCH("Rania Works Contracting",M19)),"Supplier",
        ISNUMBER(SEARCH("Bandar Jarallah",M19)),"Supplier",
        TRUE,"Supplier"
    ),
    "-"
)</f>
        <v>Supplier</v>
      </c>
      <c r="AD19" s="25" t="str" cm="1">
        <f t="array" ref="AD19">_xlfn.IFNA(
    _xlfn.IFS(
        AC19="Same Company","High",
        AC19="Shareholder","High",
        AC19="Government","High",
        AC19="Bank","High",
        AC19="Lender","High",
        AC19="Unknown","Low",
        AC19="-","Low",
        TRUE,"Medium"
    ),
    "-"
)</f>
        <v>Medium</v>
      </c>
      <c r="AE19" s="25" t="str">
        <f t="shared" si="2"/>
        <v>-</v>
      </c>
      <c r="AF19" s="25" t="str" cm="1">
        <f t="array" ref="AF19">_xlfn.IFNA(
    _xlfn.IFS(
        K19="Credit",
            _xlfn.IFS(
                OR(ISNUMBER(SEARCH("Rejected",L19)),ISNUMBER(SEARCH("Returned",L19))),"Other Income",
                TRUE,"Revenue"
            ),
        K19="Debit",
            _xlfn.IFS(
                ISNUMBER(SEARCH("Payroll",L19)),"OPEX",
                ISNUMBER(SEARCH("Expatriate",L19)),"OPEX",
                ISNUMBER(SEARCH("Zakat",M19)),"ZATCA",
                ISNUMBER(SEARCH("General Organization for Social Insurance",M19)),"OPEX",
                ISNUMBER(SEARCH("Saudi Electric",M19)),"OPEX",
                ISNUMBER(SEARCH("STC",M19)),"OPEX",
                ISNUMBER(SEARCH("National Water",M19)),"OPEX",
                ISNUMBER(SEARCH("Bupa",M19)),"OPEX",
                ISNUMBER(SEARCH("Abdullah Abdulkarim",M19)),"OPEX",
                ISNUMBER(SEARCH("Abdullah Fahad",M19)),"OPEX",
                ISNUMBER(SEARCH("ISO Arabia",M19)),"OPEX",
                ISNUMBER(SEARCH("Gulf Voyager",M19)),"OPEX",
                ISNUMBER(SEARCH("Ministry",M19)),"OPEX",
                ISNUMBER(SEARCH("General Authority of Zakat",M19)),"ZATCA",
                ISNUMBER(SEARCH("Rejected",L19)),"Other Income",
                TRUE,"COGS"
            ),
        TRUE,"-"
    ),
    "-"
)</f>
        <v>COGS</v>
      </c>
      <c r="AG19" s="25" t="str" cm="1">
        <f t="array" ref="AG19">_xlfn.IFNA(
    _xlfn.IFS(
        ISNUMBER(SEARCH("Payroll",L19)),"Payroll",
        ISNUMBER(SEARCH("Expatriate",L19)),"Government Fees",
        ISNUMBER(SEARCH("Zakat",M19)),"Zakat",
        ISNUMBER(SEARCH("Social Insurance",M19)),"Social Insurance",
        ISNUMBER(SEARCH("Saudi Electric",M19)),"Electricity",
        ISNUMBER(SEARCH("STC",M19)),"Telecom",
        ISNUMBER(SEARCH("National Water",M19)),"Water",
        ISNUMBER(SEARCH("Bupa",M19)),"Insurance",
        ISNUMBER(SEARCH("Gulf Voyager",M19)),"Travel",
        ISNUMBER(SEARCH("Ministry",M19)),"Government Fees",
        ISNUMBER(SEARCH("Abdullah Abdulkarim",M19)),"Consulting",
        ISNUMBER(SEARCH("Abdullah Fahad",M19)),"Accounting",
        ISNUMBER(SEARCH("ISO Arabia",M19)),"Consulting",
        ISNUMBER(SEARCH("Rejected",L19)),"Refund",
        AF19="COGS","Inventory Purchase",
        AF19="Revenue","Revenue",
        AF19="OPEX","Other",
        AF19="ZATCA","Zakat",
        TRUE,"-"
    ),
    "-"
)</f>
        <v>Inventory Purchase</v>
      </c>
      <c r="AH19" s="25" t="str" cm="1">
        <f t="array" ref="AH19">_xlfn.IFNA(
    _xlfn.IFS(
        AF19="-","Low",
        AF19="Other","Low",
        TRUE,"Medium"
    ),
    "-"
)</f>
        <v>Medium</v>
      </c>
      <c r="AI19" s="25" t="str">
        <f t="shared" si="3"/>
        <v>-</v>
      </c>
    </row>
    <row r="20" spans="1:35" x14ac:dyDescent="0.25">
      <c r="A20" s="10">
        <v>2</v>
      </c>
      <c r="B20" s="10" t="s">
        <v>35</v>
      </c>
      <c r="C20" s="10" t="s">
        <v>36</v>
      </c>
      <c r="D20" s="10" t="s">
        <v>37</v>
      </c>
      <c r="E20" s="10" t="s">
        <v>38</v>
      </c>
      <c r="F20" s="11" t="s">
        <v>39</v>
      </c>
      <c r="G20" s="11" t="s">
        <v>40</v>
      </c>
      <c r="H20" s="12">
        <v>45074</v>
      </c>
      <c r="I20" s="20">
        <v>99913.4</v>
      </c>
      <c r="J20" s="20">
        <v>9661.15</v>
      </c>
      <c r="K20" s="10" t="s">
        <v>41</v>
      </c>
      <c r="L20" s="9" t="s">
        <v>56</v>
      </c>
      <c r="M20" s="9" t="s">
        <v>78</v>
      </c>
      <c r="N20" s="9" t="s">
        <v>79</v>
      </c>
      <c r="O20" s="9" t="s">
        <v>53</v>
      </c>
      <c r="P20" s="15">
        <v>45074</v>
      </c>
      <c r="Q20" s="9" t="s">
        <v>81</v>
      </c>
      <c r="R20" s="16">
        <v>9661.15</v>
      </c>
      <c r="S20" s="18">
        <v>1</v>
      </c>
      <c r="T20" s="18">
        <v>0.15</v>
      </c>
      <c r="U20" s="9" t="s">
        <v>55</v>
      </c>
      <c r="V20" s="24" t="str" cm="1">
        <f t="array" ref="V20">_xlfn.IFNA(
    _xlfn.IFS(
        ISNUMBER(SEARCH("Fast Outgoing Transfer",L20)),"Transfer",
        ISNUMBER(SEARCH("Incoming Fast Transfer",L20)),"Transfer",
        ISNUMBER(SEARCH("Outgoing International Transfer",L20)),"Transfer",
        ISNUMBER(SEARCH("Bill Payment",L20)),"SADAD",
        ISNUMBER(SEARCH("Payroll",L20)),"Payroll",
        ISNUMBER(SEARCH("Cash Deposit",L20)),"Cash",
        ISNUMBER(SEARCH("Internal Transfer",L20)),"Transfer",
        ISNUMBER(SEARCH("Expatriate Services Payment",L20)),"SADAD",
        ISNUMBER(SEARCH("Rejected",L20)),"Transfer"
    ),
    "-"
)</f>
        <v>Transfer</v>
      </c>
      <c r="W20" s="25" t="str" cm="1">
        <f t="array" ref="W20">_xlfn.IFNA(
    _xlfn.IFS(
        AND(V20="Transfer",ISNUMBER(SEARCH("RIYAD BANK",L20))),"External FI",
        AND(V20="Transfer",ISNUMBER(SEARCH("Al Ahli",L20))),"External FI",
        AND(V20="Transfer",ISNUMBER(SEARCH("CIB via",L20))),"Local Transfer",
        AND(V20="Transfer",ISNUMBER(SEARCH("CIB)",L20))),"Local Transfer",
        AND(V20="Transfer",ISNUMBER(SEARCH("SMRT",L20))),"Local Transfer",
        AND(V20="Transfer",ISNUMBER(SEARCH("Al Murabba",L20))),"Local Transfer",
        AND(V20="Transfer",ISNUMBER(SEARCH("Internal Transfer",L20))),"Same FI",
        AND(V20="Transfer",ISNUMBER(SEARCH("Rejected",L20))),"Failed",
        V20="SADAD",
            _xlfn.IFS(
                ISNUMBER(SEARCH("Expatriate",L20)),"Expat Fees",
                TRUE,"Online Payment"
            ),
        V20="Payroll","Payroll",
        V20="Cash","Deposit",
        TRUE,"-"
    ),
    "-"
)</f>
        <v>Local Transfer</v>
      </c>
      <c r="X20" s="25" t="str" cm="1">
        <f t="array" ref="X20">_xlfn.IFNA(
    _xlfn.IFS(
        V20="-","Low",
        W20="-","Low",
        TRUE,"High"
    ),
    "-"
)</f>
        <v>High</v>
      </c>
      <c r="Y20" s="25" t="str">
        <f t="shared" si="0"/>
        <v>-</v>
      </c>
      <c r="Z20" s="25" t="str" cm="1">
        <f t="array" ref="Z20">_xlfn.IFNA(
    _xlfn.IFS(
        ISNUMBER(SEARCH("Abdul Latif Jameel",M20)),"Lender",
        ISNUMBER(SEARCH("Abdullah Abdulkarim Al Sudais",M20)),"Accounting",
        ISNUMBER(SEARCH("Abdullah Fahad for Accounting",M20)),"Accounting",
        ISNUMBER(SEARCH("Abdullah Rashid Shaikh",M20)),"Shareholder",
        ISNUMBER(SEARCH("Advanced Equipments",M20)),"Equipment Rental",
        ISNUMBER(SEARCH("Al Banuk Sana",M20)),"Telecom Company",
        ISNUMBER(SEARCH("Al Khaleefa Factory",M20)),"Manufacturer",
        ISNUMBER(SEARCH("Al Saadeh Trading",M20)),"Trading Company",
        ISNUMBER(SEARCH("Al Zaehaan",M20)),"Trading Company",
        ISNUMBER(SEARCH("Ali Abdullah K Al Darwish",M20)),"Airlines",
        ISNUMBER(SEARCH("Bupa Arabia",M20)),"Health Insurance",
        ISNUMBER(SEARCH("Dar Fahoosaat",M20)),"Consultant",
        ISNUMBER(SEARCH("General Authority of Zakat",M20)),"Tax Collection",
        ISNUMBER(SEARCH("Gulf Voyager",M20)),"Travel Agency",
        ISNUMBER(SEARCH("Hopeway Trading",M20)),"Trading Company",
        ISNUMBER(SEARCH("Interhealth Medical",M20)),"Medical Services",
        ISNUMBER(SEARCH("Ishaar",M20)),"Online Payment Service",
        ISNUMBER(SEARCH("ISO Arabia",M20)),"Certification",
        ISNUMBER(SEARCH("Khalid Saad Al Otaibi",M20)),"Trading Company",
        ISNUMBER(SEARCH("MERAS for Decoration",M20)),"Decor Company",
        ISNUMBER(SEARCH("Middle East Customs Clearance",M20)),"Customs",
        ISNUMBER(SEARCH("Ministry of Human Resources",M20)),"Government",
        ISNUMBER(SEARCH("My Business Services",M20)),"Service Provider",
        ISNUMBER(SEARCH("National Water Company",M20)),"Water Company",
        ISNUMBER(SEARCH("Rania Contracting",M20)),"Contracting",
        ISNUMBER(SEARCH("Rashid Ali Sheikh",M20)),"Shareholder",
        ISNUMBER(SEARCH("Sahab United Motors",M20)),"Car Show Room",
        ISNUMBER(SEARCH("Saud Mohammed Al Tamimi",M20)),"Shareholder",
        ISNUMBER(SEARCH("Saud Mohammed Tamimi",M20)),"Shareholder",
        ISNUMBER(SEARCH("Saudi Electric Company",M20)),"Electricity Company",
        ISNUMBER(SEARCH("Saudi Vetonit",M20)),"Building Materials",
        ISNUMBER(SEARCH("Shomoul Eng",M20)),"Safety",
        ISNUMBER(SEARCH("STC",M20)),"Telecom Company",
        ISNUMBER(SEARCH("The General Organization for Social Insurance",M20)),"Social Insurance Agency",
        ISNUMBER(SEARCH("TUV Rheinland",M20)),"Certification",
        ISNUMBER(SEARCH("Al Arabia Ceramic",M20)),"Building Materials",
        ISNUMBER(SEARCH("National Company for Building and Marketing",M20)),"Parent Company",
        ISNUMBER(SEARCH("Athraa Holding",M20)),"Holding Company",
        ISNUMBER(SEARCH("Al Rasan",M20)),"Contracting",
        ISNUMBER(SEARCH("Raboua Al Haid",M20)),"Trading Company",
        ISNUMBER(SEARCH("Al Jazeera Paint",M20)),"Manufacturer",
        ISNUMBER(SEARCH("Rania Works Contracting",M20)),"Contracting",
        ISNUMBER(SEARCH("Bandar Jarallah",M20)),"Trading Establishment",
        ISNUMBER(SEARCH("RS Infratec Saudi",M20)),"Same Company",
        ISNUMBER(SEARCH("Payroll",M20)),"Bank",
        ISNUMBER(SEARCH("Expatriate",M20)),"Government",
        ISNUMBER(SEARCH("Unknown Sender",M20)),"Unknown",
        TRUE,"Unknown"
    ),
    "-"
)</f>
        <v>Manufacturer</v>
      </c>
      <c r="AA20" s="25" t="str" cm="1">
        <f t="array" ref="AA20">_xlfn.IFNA(
    _xlfn.IFS(
        Z20="Lender","Financing",
        Z20="Accounting","Accounting",
        Z20="Shareholder","Individual",
        Z20="Equipment Rental","Equipment Rental",
        Z20="Telecom Company","Telecom",
        Z20="Manufacturer","Manufacturer",
        Z20="Trading Company","Trading And Transport",
        Z20="Trading Establishment","Trading",
        Z20="Airlines","Airlines",
        Z20="Health Insurance","Insurance",
        Z20="Consultant","Consultant",
        Z20="Tax Collection","Government",
        Z20="Travel Agency","Travel Agency",
        Z20="Medical Services","Medical Center",
        Z20="Online Payment Service","Payment Facilitator",
        Z20="Certification","Safety",
        Z20="Decor Company","Design",
        Z20="Customs","Customs",
        Z20="Government","Government",
        Z20="Service Provider","Service Provider",
        Z20="Water Company","Water Company",
        Z20="Contracting","Contracting",
        Z20="Car Show Room","Car Trader",
        Z20="Electricity Company","Electricity Company",
        Z20="Building Materials","Building Materials",
        Z20="Safety","Safety",
        Z20="Social Insurance Agency","Government Fund",
        Z20="Parent Company","Holding Company",
        Z20="Holding Company","Holding Company",
        Z20="Same Company","Construction",
        Z20="Bank","Bank",
        Z20="Unknown","Unknown",
        TRUE,"-"
    ),
    "-"
)</f>
        <v>Manufacturer</v>
      </c>
      <c r="AB20" s="25" t="str">
        <f t="shared" si="1"/>
        <v>-</v>
      </c>
      <c r="AC20" s="25" t="str" cm="1">
        <f t="array" ref="AC20">_xlfn.IFNA(
    _xlfn.IFS(
        Z20="Shareholder","Shareholder",
        Z20="Same Company","Same Company",
        Z20="Bank","Bank",
        Z20="Government","Government",
        Z20="Social Insurance Agency","Government",
        Z20="Parent Company","Customer",
        Z20="Lender","Lender",
        Z20="Unknown","Unknown",
        ISNUMBER(SEARCH("Abdullah Abdulkarim",M20)),"Service Provider",
        ISNUMBER(SEARCH("Abdullah Fahad",M20)),"Service Provider",
        ISNUMBER(SEARCH("Advanced Equipments",M20)),"Supplier",
        ISNUMBER(SEARCH("Al Banuk Sana",M20)),"Supplier",
        ISNUMBER(SEARCH("Al Khaleefa Factory",M20)),"Supplier",
        ISNUMBER(SEARCH("Al Saadeh Trading",M20)),"Supplier",
        ISNUMBER(SEARCH("Al Zaehaan",M20)),"Supplier",
        ISNUMBER(SEARCH("Ali Abdullah K Al Darwish",M20)),"Service Provider",
        ISNUMBER(SEARCH("Bupa Arabia",M20)),"Insurance Company",
        ISNUMBER(SEARCH("Dar Fahoosaat",M20)),"Service Provider",
        ISNUMBER(SEARCH("General Authority of Zakat",M20)),"Tax Authority",
        ISNUMBER(SEARCH("Gulf Voyager",M20)),"Service Provider",
        ISNUMBER(SEARCH("Hopeway Trading",M20)),"Supplier",
        ISNUMBER(SEARCH("Interhealth Medical",M20)),"Customer",
        ISNUMBER(SEARCH("Ishaar",M20)),"Service Provider",
        ISNUMBER(SEARCH("ISO Arabia",M20)),"Service Provider",
        ISNUMBER(SEARCH("Khalid Saad Al Otaibi",M20)),"Supplier",
        ISNUMBER(SEARCH("MERAS for Decoration",M20)),"Supplier",
        ISNUMBER(SEARCH("Middle East Customs Clearance",M20)),"Service Provider",
        ISNUMBER(SEARCH("Ministry of Human Resources",M20)),"Regulatory Agency",
        ISNUMBER(SEARCH("My Business Services",M20)),"Service Provider",
        ISNUMBER(SEARCH("National Water Company",M20)),"Utility Provider",
        ISNUMBER(SEARCH("Rania Contracting",M20)),"Supplier",
        ISNUMBER(SEARCH("Sahab United Motors",M20)),"Supplier",
        ISNUMBER(SEARCH("Saudi Electric Company",M20)),"Utility Provider",
        ISNUMBER(SEARCH("Saudi Vetonit",M20)),"Supplier",
        ISNUMBER(SEARCH("Shomoul Eng",M20)),"Service Provider",
        ISNUMBER(SEARCH("STC",M20)),"Utility Provider",
        ISNUMBER(SEARCH("The General Organization for Social Insurance",M20)),"Social Insurance Agency",
        ISNUMBER(SEARCH("TUV Rheinland",M20)),"Service Provider",
        ISNUMBER(SEARCH("Al Arabia Ceramic",M20)),"Supplier",
        ISNUMBER(SEARCH("National Company for Building",M20)),"Customer",
        ISNUMBER(SEARCH("Athraa Holding",M20)),"Customer",
        ISNUMBER(SEARCH("Al Rasan",M20)),"Supplier",
        ISNUMBER(SEARCH("Raboua Al Haid",M20)),"Customer",
        ISNUMBER(SEARCH("Al Jazeera Paint",M20)),"Supplier",
        ISNUMBER(SEARCH("Rania Works Contracting",M20)),"Supplier",
        ISNUMBER(SEARCH("Bandar Jarallah",M20)),"Supplier",
        TRUE,"Supplier"
    ),
    "-"
)</f>
        <v>Supplier</v>
      </c>
      <c r="AD20" s="25" t="str" cm="1">
        <f t="array" ref="AD20">_xlfn.IFNA(
    _xlfn.IFS(
        AC20="Same Company","High",
        AC20="Shareholder","High",
        AC20="Government","High",
        AC20="Bank","High",
        AC20="Lender","High",
        AC20="Unknown","Low",
        AC20="-","Low",
        TRUE,"Medium"
    ),
    "-"
)</f>
        <v>Medium</v>
      </c>
      <c r="AE20" s="25" t="str">
        <f t="shared" si="2"/>
        <v>-</v>
      </c>
      <c r="AF20" s="25" t="str" cm="1">
        <f t="array" ref="AF20">_xlfn.IFNA(
    _xlfn.IFS(
        K20="Credit",
            _xlfn.IFS(
                OR(ISNUMBER(SEARCH("Rejected",L20)),ISNUMBER(SEARCH("Returned",L20))),"Other Income",
                TRUE,"Revenue"
            ),
        K20="Debit",
            _xlfn.IFS(
                ISNUMBER(SEARCH("Payroll",L20)),"OPEX",
                ISNUMBER(SEARCH("Expatriate",L20)),"OPEX",
                ISNUMBER(SEARCH("Zakat",M20)),"ZATCA",
                ISNUMBER(SEARCH("General Organization for Social Insurance",M20)),"OPEX",
                ISNUMBER(SEARCH("Saudi Electric",M20)),"OPEX",
                ISNUMBER(SEARCH("STC",M20)),"OPEX",
                ISNUMBER(SEARCH("National Water",M20)),"OPEX",
                ISNUMBER(SEARCH("Bupa",M20)),"OPEX",
                ISNUMBER(SEARCH("Abdullah Abdulkarim",M20)),"OPEX",
                ISNUMBER(SEARCH("Abdullah Fahad",M20)),"OPEX",
                ISNUMBER(SEARCH("ISO Arabia",M20)),"OPEX",
                ISNUMBER(SEARCH("Gulf Voyager",M20)),"OPEX",
                ISNUMBER(SEARCH("Ministry",M20)),"OPEX",
                ISNUMBER(SEARCH("General Authority of Zakat",M20)),"ZATCA",
                ISNUMBER(SEARCH("Rejected",L20)),"Other Income",
                TRUE,"COGS"
            ),
        TRUE,"-"
    ),
    "-"
)</f>
        <v>COGS</v>
      </c>
      <c r="AG20" s="25" t="str" cm="1">
        <f t="array" ref="AG20">_xlfn.IFNA(
    _xlfn.IFS(
        ISNUMBER(SEARCH("Payroll",L20)),"Payroll",
        ISNUMBER(SEARCH("Expatriate",L20)),"Government Fees",
        ISNUMBER(SEARCH("Zakat",M20)),"Zakat",
        ISNUMBER(SEARCH("Social Insurance",M20)),"Social Insurance",
        ISNUMBER(SEARCH("Saudi Electric",M20)),"Electricity",
        ISNUMBER(SEARCH("STC",M20)),"Telecom",
        ISNUMBER(SEARCH("National Water",M20)),"Water",
        ISNUMBER(SEARCH("Bupa",M20)),"Insurance",
        ISNUMBER(SEARCH("Gulf Voyager",M20)),"Travel",
        ISNUMBER(SEARCH("Ministry",M20)),"Government Fees",
        ISNUMBER(SEARCH("Abdullah Abdulkarim",M20)),"Consulting",
        ISNUMBER(SEARCH("Abdullah Fahad",M20)),"Accounting",
        ISNUMBER(SEARCH("ISO Arabia",M20)),"Consulting",
        ISNUMBER(SEARCH("Rejected",L20)),"Refund",
        AF20="COGS","Inventory Purchase",
        AF20="Revenue","Revenue",
        AF20="OPEX","Other",
        AF20="ZATCA","Zakat",
        TRUE,"-"
    ),
    "-"
)</f>
        <v>Inventory Purchase</v>
      </c>
      <c r="AH20" s="25" t="str" cm="1">
        <f t="array" ref="AH20">_xlfn.IFNA(
    _xlfn.IFS(
        AF20="-","Low",
        AF20="Other","Low",
        TRUE,"Medium"
    ),
    "-"
)</f>
        <v>Medium</v>
      </c>
      <c r="AI20" s="25" t="str">
        <f t="shared" si="3"/>
        <v>-</v>
      </c>
    </row>
    <row r="21" spans="1:35" x14ac:dyDescent="0.25">
      <c r="A21" s="10">
        <v>2</v>
      </c>
      <c r="B21" s="10" t="s">
        <v>35</v>
      </c>
      <c r="C21" s="10" t="s">
        <v>36</v>
      </c>
      <c r="D21" s="10" t="s">
        <v>37</v>
      </c>
      <c r="E21" s="10" t="s">
        <v>38</v>
      </c>
      <c r="F21" s="11" t="s">
        <v>39</v>
      </c>
      <c r="G21" s="11" t="s">
        <v>40</v>
      </c>
      <c r="H21" s="12">
        <v>44928</v>
      </c>
      <c r="I21" s="20">
        <v>165242.62</v>
      </c>
      <c r="J21" s="20">
        <v>25008.05</v>
      </c>
      <c r="K21" s="10" t="s">
        <v>41</v>
      </c>
      <c r="L21" s="9" t="s">
        <v>50</v>
      </c>
      <c r="M21" s="9" t="s">
        <v>98</v>
      </c>
      <c r="N21" s="9" t="s">
        <v>99</v>
      </c>
      <c r="O21" s="9" t="s">
        <v>59</v>
      </c>
      <c r="P21" s="15">
        <v>44928</v>
      </c>
      <c r="Q21" s="9" t="s">
        <v>100</v>
      </c>
      <c r="R21" s="16">
        <v>25000</v>
      </c>
      <c r="S21" s="18">
        <v>7</v>
      </c>
      <c r="T21" s="18">
        <v>1.05</v>
      </c>
      <c r="U21" s="9" t="s">
        <v>55</v>
      </c>
      <c r="V21" s="24" t="str" cm="1">
        <f t="array" ref="V21">_xlfn.IFNA(
    _xlfn.IFS(
        ISNUMBER(SEARCH("Fast Outgoing Transfer",L21)),"Transfer",
        ISNUMBER(SEARCH("Incoming Fast Transfer",L21)),"Transfer",
        ISNUMBER(SEARCH("Outgoing International Transfer",L21)),"Transfer",
        ISNUMBER(SEARCH("Bill Payment",L21)),"SADAD",
        ISNUMBER(SEARCH("Payroll",L21)),"Payroll",
        ISNUMBER(SEARCH("Cash Deposit",L21)),"Cash",
        ISNUMBER(SEARCH("Internal Transfer",L21)),"Transfer",
        ISNUMBER(SEARCH("Expatriate Services Payment",L21)),"SADAD",
        ISNUMBER(SEARCH("Rejected",L21)),"Transfer"
    ),
    "-"
)</f>
        <v>Transfer</v>
      </c>
      <c r="W21" s="25" t="str" cm="1">
        <f t="array" ref="W21">_xlfn.IFNA(
    _xlfn.IFS(
        AND(V21="Transfer",ISNUMBER(SEARCH("RIYAD BANK",L21))),"External FI",
        AND(V21="Transfer",ISNUMBER(SEARCH("Al Ahli",L21))),"External FI",
        AND(V21="Transfer",ISNUMBER(SEARCH("CIB via",L21))),"Local Transfer",
        AND(V21="Transfer",ISNUMBER(SEARCH("CIB)",L21))),"Local Transfer",
        AND(V21="Transfer",ISNUMBER(SEARCH("SMRT",L21))),"Local Transfer",
        AND(V21="Transfer",ISNUMBER(SEARCH("Al Murabba",L21))),"Local Transfer",
        AND(V21="Transfer",ISNUMBER(SEARCH("Internal Transfer",L21))),"Same FI",
        AND(V21="Transfer",ISNUMBER(SEARCH("Rejected",L21))),"Failed",
        V21="SADAD",
            _xlfn.IFS(
                ISNUMBER(SEARCH("Expatriate",L21)),"Expat Fees",
                TRUE,"Online Payment"
            ),
        V21="Payroll","Payroll",
        V21="Cash","Deposit",
        TRUE,"-"
    ),
    "-"
)</f>
        <v>Local Transfer</v>
      </c>
      <c r="X21" s="25" t="str" cm="1">
        <f t="array" ref="X21">_xlfn.IFNA(
    _xlfn.IFS(
        V21="-","Low",
        W21="-","Low",
        TRUE,"High"
    ),
    "-"
)</f>
        <v>High</v>
      </c>
      <c r="Y21" s="25" t="str">
        <f t="shared" si="0"/>
        <v>-</v>
      </c>
      <c r="Z21" s="25" t="str" cm="1">
        <f t="array" ref="Z21">_xlfn.IFNA(
    _xlfn.IFS(
        ISNUMBER(SEARCH("Abdul Latif Jameel",M21)),"Lender",
        ISNUMBER(SEARCH("Abdullah Abdulkarim Al Sudais",M21)),"Accounting",
        ISNUMBER(SEARCH("Abdullah Fahad for Accounting",M21)),"Accounting",
        ISNUMBER(SEARCH("Abdullah Rashid Shaikh",M21)),"Shareholder",
        ISNUMBER(SEARCH("Advanced Equipments",M21)),"Equipment Rental",
        ISNUMBER(SEARCH("Al Banuk Sana",M21)),"Telecom Company",
        ISNUMBER(SEARCH("Al Khaleefa Factory",M21)),"Manufacturer",
        ISNUMBER(SEARCH("Al Saadeh Trading",M21)),"Trading Company",
        ISNUMBER(SEARCH("Al Zaehaan",M21)),"Trading Company",
        ISNUMBER(SEARCH("Ali Abdullah K Al Darwish",M21)),"Airlines",
        ISNUMBER(SEARCH("Bupa Arabia",M21)),"Health Insurance",
        ISNUMBER(SEARCH("Dar Fahoosaat",M21)),"Consultant",
        ISNUMBER(SEARCH("General Authority of Zakat",M21)),"Tax Collection",
        ISNUMBER(SEARCH("Gulf Voyager",M21)),"Travel Agency",
        ISNUMBER(SEARCH("Hopeway Trading",M21)),"Trading Company",
        ISNUMBER(SEARCH("Interhealth Medical",M21)),"Medical Services",
        ISNUMBER(SEARCH("Ishaar",M21)),"Online Payment Service",
        ISNUMBER(SEARCH("ISO Arabia",M21)),"Certification",
        ISNUMBER(SEARCH("Khalid Saad Al Otaibi",M21)),"Trading Company",
        ISNUMBER(SEARCH("MERAS for Decoration",M21)),"Decor Company",
        ISNUMBER(SEARCH("Middle East Customs Clearance",M21)),"Customs",
        ISNUMBER(SEARCH("Ministry of Human Resources",M21)),"Government",
        ISNUMBER(SEARCH("My Business Services",M21)),"Service Provider",
        ISNUMBER(SEARCH("National Water Company",M21)),"Water Company",
        ISNUMBER(SEARCH("Rania Contracting",M21)),"Contracting",
        ISNUMBER(SEARCH("Rashid Ali Sheikh",M21)),"Shareholder",
        ISNUMBER(SEARCH("Sahab United Motors",M21)),"Car Show Room",
        ISNUMBER(SEARCH("Saud Mohammed Al Tamimi",M21)),"Shareholder",
        ISNUMBER(SEARCH("Saud Mohammed Tamimi",M21)),"Shareholder",
        ISNUMBER(SEARCH("Saudi Electric Company",M21)),"Electricity Company",
        ISNUMBER(SEARCH("Saudi Vetonit",M21)),"Building Materials",
        ISNUMBER(SEARCH("Shomoul Eng",M21)),"Safety",
        ISNUMBER(SEARCH("STC",M21)),"Telecom Company",
        ISNUMBER(SEARCH("The General Organization for Social Insurance",M21)),"Social Insurance Agency",
        ISNUMBER(SEARCH("TUV Rheinland",M21)),"Certification",
        ISNUMBER(SEARCH("Al Arabia Ceramic",M21)),"Building Materials",
        ISNUMBER(SEARCH("National Company for Building and Marketing",M21)),"Parent Company",
        ISNUMBER(SEARCH("Athraa Holding",M21)),"Holding Company",
        ISNUMBER(SEARCH("Al Rasan",M21)),"Contracting",
        ISNUMBER(SEARCH("Raboua Al Haid",M21)),"Trading Company",
        ISNUMBER(SEARCH("Al Jazeera Paint",M21)),"Manufacturer",
        ISNUMBER(SEARCH("Rania Works Contracting",M21)),"Contracting",
        ISNUMBER(SEARCH("Bandar Jarallah",M21)),"Trading Establishment",
        ISNUMBER(SEARCH("RS Infratec Saudi",M21)),"Same Company",
        ISNUMBER(SEARCH("Payroll",M21)),"Bank",
        ISNUMBER(SEARCH("Expatriate",M21)),"Government",
        ISNUMBER(SEARCH("Unknown Sender",M21)),"Unknown",
        TRUE,"Unknown"
    ),
    "-"
)</f>
        <v>Consultant</v>
      </c>
      <c r="AA21" s="25" t="str" cm="1">
        <f t="array" ref="AA21">_xlfn.IFNA(
    _xlfn.IFS(
        Z21="Lender","Financing",
        Z21="Accounting","Accounting",
        Z21="Shareholder","Individual",
        Z21="Equipment Rental","Equipment Rental",
        Z21="Telecom Company","Telecom",
        Z21="Manufacturer","Manufacturer",
        Z21="Trading Company","Trading And Transport",
        Z21="Trading Establishment","Trading",
        Z21="Airlines","Airlines",
        Z21="Health Insurance","Insurance",
        Z21="Consultant","Consultant",
        Z21="Tax Collection","Government",
        Z21="Travel Agency","Travel Agency",
        Z21="Medical Services","Medical Center",
        Z21="Online Payment Service","Payment Facilitator",
        Z21="Certification","Safety",
        Z21="Decor Company","Design",
        Z21="Customs","Customs",
        Z21="Government","Government",
        Z21="Service Provider","Service Provider",
        Z21="Water Company","Water Company",
        Z21="Contracting","Contracting",
        Z21="Car Show Room","Car Trader",
        Z21="Electricity Company","Electricity Company",
        Z21="Building Materials","Building Materials",
        Z21="Safety","Safety",
        Z21="Social Insurance Agency","Government Fund",
        Z21="Parent Company","Holding Company",
        Z21="Holding Company","Holding Company",
        Z21="Same Company","Construction",
        Z21="Bank","Bank",
        Z21="Unknown","Unknown",
        TRUE,"-"
    ),
    "-"
)</f>
        <v>Consultant</v>
      </c>
      <c r="AB21" s="25" t="str">
        <f t="shared" si="1"/>
        <v>-</v>
      </c>
      <c r="AC21" s="25" t="str" cm="1">
        <f t="array" ref="AC21">_xlfn.IFNA(
    _xlfn.IFS(
        Z21="Shareholder","Shareholder",
        Z21="Same Company","Same Company",
        Z21="Bank","Bank",
        Z21="Government","Government",
        Z21="Social Insurance Agency","Government",
        Z21="Parent Company","Customer",
        Z21="Lender","Lender",
        Z21="Unknown","Unknown",
        ISNUMBER(SEARCH("Abdullah Abdulkarim",M21)),"Service Provider",
        ISNUMBER(SEARCH("Abdullah Fahad",M21)),"Service Provider",
        ISNUMBER(SEARCH("Advanced Equipments",M21)),"Supplier",
        ISNUMBER(SEARCH("Al Banuk Sana",M21)),"Supplier",
        ISNUMBER(SEARCH("Al Khaleefa Factory",M21)),"Supplier",
        ISNUMBER(SEARCH("Al Saadeh Trading",M21)),"Supplier",
        ISNUMBER(SEARCH("Al Zaehaan",M21)),"Supplier",
        ISNUMBER(SEARCH("Ali Abdullah K Al Darwish",M21)),"Service Provider",
        ISNUMBER(SEARCH("Bupa Arabia",M21)),"Insurance Company",
        ISNUMBER(SEARCH("Dar Fahoosaat",M21)),"Service Provider",
        ISNUMBER(SEARCH("General Authority of Zakat",M21)),"Tax Authority",
        ISNUMBER(SEARCH("Gulf Voyager",M21)),"Service Provider",
        ISNUMBER(SEARCH("Hopeway Trading",M21)),"Supplier",
        ISNUMBER(SEARCH("Interhealth Medical",M21)),"Customer",
        ISNUMBER(SEARCH("Ishaar",M21)),"Service Provider",
        ISNUMBER(SEARCH("ISO Arabia",M21)),"Service Provider",
        ISNUMBER(SEARCH("Khalid Saad Al Otaibi",M21)),"Supplier",
        ISNUMBER(SEARCH("MERAS for Decoration",M21)),"Supplier",
        ISNUMBER(SEARCH("Middle East Customs Clearance",M21)),"Service Provider",
        ISNUMBER(SEARCH("Ministry of Human Resources",M21)),"Regulatory Agency",
        ISNUMBER(SEARCH("My Business Services",M21)),"Service Provider",
        ISNUMBER(SEARCH("National Water Company",M21)),"Utility Provider",
        ISNUMBER(SEARCH("Rania Contracting",M21)),"Supplier",
        ISNUMBER(SEARCH("Sahab United Motors",M21)),"Supplier",
        ISNUMBER(SEARCH("Saudi Electric Company",M21)),"Utility Provider",
        ISNUMBER(SEARCH("Saudi Vetonit",M21)),"Supplier",
        ISNUMBER(SEARCH("Shomoul Eng",M21)),"Service Provider",
        ISNUMBER(SEARCH("STC",M21)),"Utility Provider",
        ISNUMBER(SEARCH("The General Organization for Social Insurance",M21)),"Social Insurance Agency",
        ISNUMBER(SEARCH("TUV Rheinland",M21)),"Service Provider",
        ISNUMBER(SEARCH("Al Arabia Ceramic",M21)),"Supplier",
        ISNUMBER(SEARCH("National Company for Building",M21)),"Customer",
        ISNUMBER(SEARCH("Athraa Holding",M21)),"Customer",
        ISNUMBER(SEARCH("Al Rasan",M21)),"Supplier",
        ISNUMBER(SEARCH("Raboua Al Haid",M21)),"Customer",
        ISNUMBER(SEARCH("Al Jazeera Paint",M21)),"Supplier",
        ISNUMBER(SEARCH("Rania Works Contracting",M21)),"Supplier",
        ISNUMBER(SEARCH("Bandar Jarallah",M21)),"Supplier",
        TRUE,"Supplier"
    ),
    "-"
)</f>
        <v>Service Provider</v>
      </c>
      <c r="AD21" s="25" t="str" cm="1">
        <f t="array" ref="AD21">_xlfn.IFNA(
    _xlfn.IFS(
        AC21="Same Company","High",
        AC21="Shareholder","High",
        AC21="Government","High",
        AC21="Bank","High",
        AC21="Lender","High",
        AC21="Unknown","Low",
        AC21="-","Low",
        TRUE,"Medium"
    ),
    "-"
)</f>
        <v>Medium</v>
      </c>
      <c r="AE21" s="25" t="str">
        <f t="shared" si="2"/>
        <v>-</v>
      </c>
      <c r="AF21" s="25" t="str" cm="1">
        <f t="array" ref="AF21">_xlfn.IFNA(
    _xlfn.IFS(
        K21="Credit",
            _xlfn.IFS(
                OR(ISNUMBER(SEARCH("Rejected",L21)),ISNUMBER(SEARCH("Returned",L21))),"Other Income",
                TRUE,"Revenue"
            ),
        K21="Debit",
            _xlfn.IFS(
                ISNUMBER(SEARCH("Payroll",L21)),"OPEX",
                ISNUMBER(SEARCH("Expatriate",L21)),"OPEX",
                ISNUMBER(SEARCH("Zakat",M21)),"ZATCA",
                ISNUMBER(SEARCH("General Organization for Social Insurance",M21)),"OPEX",
                ISNUMBER(SEARCH("Saudi Electric",M21)),"OPEX",
                ISNUMBER(SEARCH("STC",M21)),"OPEX",
                ISNUMBER(SEARCH("National Water",M21)),"OPEX",
                ISNUMBER(SEARCH("Bupa",M21)),"OPEX",
                ISNUMBER(SEARCH("Abdullah Abdulkarim",M21)),"OPEX",
                ISNUMBER(SEARCH("Abdullah Fahad",M21)),"OPEX",
                ISNUMBER(SEARCH("ISO Arabia",M21)),"OPEX",
                ISNUMBER(SEARCH("Gulf Voyager",M21)),"OPEX",
                ISNUMBER(SEARCH("Ministry",M21)),"OPEX",
                ISNUMBER(SEARCH("General Authority of Zakat",M21)),"ZATCA",
                ISNUMBER(SEARCH("Rejected",L21)),"Other Income",
                TRUE,"COGS"
            ),
        TRUE,"-"
    ),
    "-"
)</f>
        <v>COGS</v>
      </c>
      <c r="AG21" s="25" t="str" cm="1">
        <f t="array" ref="AG21">_xlfn.IFNA(
    _xlfn.IFS(
        ISNUMBER(SEARCH("Payroll",L21)),"Payroll",
        ISNUMBER(SEARCH("Expatriate",L21)),"Government Fees",
        ISNUMBER(SEARCH("Zakat",M21)),"Zakat",
        ISNUMBER(SEARCH("Social Insurance",M21)),"Social Insurance",
        ISNUMBER(SEARCH("Saudi Electric",M21)),"Electricity",
        ISNUMBER(SEARCH("STC",M21)),"Telecom",
        ISNUMBER(SEARCH("National Water",M21)),"Water",
        ISNUMBER(SEARCH("Bupa",M21)),"Insurance",
        ISNUMBER(SEARCH("Gulf Voyager",M21)),"Travel",
        ISNUMBER(SEARCH("Ministry",M21)),"Government Fees",
        ISNUMBER(SEARCH("Abdullah Abdulkarim",M21)),"Consulting",
        ISNUMBER(SEARCH("Abdullah Fahad",M21)),"Accounting",
        ISNUMBER(SEARCH("ISO Arabia",M21)),"Consulting",
        ISNUMBER(SEARCH("Rejected",L21)),"Refund",
        AF21="COGS","Inventory Purchase",
        AF21="Revenue","Revenue",
        AF21="OPEX","Other",
        AF21="ZATCA","Zakat",
        TRUE,"-"
    ),
    "-"
)</f>
        <v>Inventory Purchase</v>
      </c>
      <c r="AH21" s="25" t="str" cm="1">
        <f t="array" ref="AH21">_xlfn.IFNA(
    _xlfn.IFS(
        AF21="-","Low",
        AF21="Other","Low",
        TRUE,"Medium"
    ),
    "-"
)</f>
        <v>Medium</v>
      </c>
      <c r="AI21" s="25" t="str">
        <f t="shared" si="3"/>
        <v>-</v>
      </c>
    </row>
    <row r="22" spans="1:35" x14ac:dyDescent="0.25">
      <c r="A22" s="10">
        <v>2</v>
      </c>
      <c r="B22" s="10" t="s">
        <v>35</v>
      </c>
      <c r="C22" s="10" t="s">
        <v>36</v>
      </c>
      <c r="D22" s="10" t="s">
        <v>37</v>
      </c>
      <c r="E22" s="10" t="s">
        <v>38</v>
      </c>
      <c r="F22" s="11" t="s">
        <v>39</v>
      </c>
      <c r="G22" s="11" t="s">
        <v>40</v>
      </c>
      <c r="H22" s="12">
        <v>44931</v>
      </c>
      <c r="I22" s="20">
        <v>234761.61</v>
      </c>
      <c r="J22" s="20">
        <v>25008.05</v>
      </c>
      <c r="K22" s="10" t="s">
        <v>41</v>
      </c>
      <c r="L22" s="9" t="s">
        <v>50</v>
      </c>
      <c r="M22" s="9" t="s">
        <v>98</v>
      </c>
      <c r="N22" s="9" t="s">
        <v>99</v>
      </c>
      <c r="O22" s="9" t="s">
        <v>59</v>
      </c>
      <c r="P22" s="15">
        <v>44931</v>
      </c>
      <c r="Q22" s="9" t="s">
        <v>101</v>
      </c>
      <c r="R22" s="16">
        <v>25000</v>
      </c>
      <c r="S22" s="18">
        <v>7</v>
      </c>
      <c r="T22" s="18">
        <v>1.05</v>
      </c>
      <c r="U22" s="9" t="s">
        <v>55</v>
      </c>
      <c r="V22" s="24" t="str" cm="1">
        <f t="array" ref="V22">_xlfn.IFNA(
    _xlfn.IFS(
        ISNUMBER(SEARCH("Fast Outgoing Transfer",L22)),"Transfer",
        ISNUMBER(SEARCH("Incoming Fast Transfer",L22)),"Transfer",
        ISNUMBER(SEARCH("Outgoing International Transfer",L22)),"Transfer",
        ISNUMBER(SEARCH("Bill Payment",L22)),"SADAD",
        ISNUMBER(SEARCH("Payroll",L22)),"Payroll",
        ISNUMBER(SEARCH("Cash Deposit",L22)),"Cash",
        ISNUMBER(SEARCH("Internal Transfer",L22)),"Transfer",
        ISNUMBER(SEARCH("Expatriate Services Payment",L22)),"SADAD",
        ISNUMBER(SEARCH("Rejected",L22)),"Transfer"
    ),
    "-"
)</f>
        <v>Transfer</v>
      </c>
      <c r="W22" s="25" t="str" cm="1">
        <f t="array" ref="W22">_xlfn.IFNA(
    _xlfn.IFS(
        AND(V22="Transfer",ISNUMBER(SEARCH("RIYAD BANK",L22))),"External FI",
        AND(V22="Transfer",ISNUMBER(SEARCH("Al Ahli",L22))),"External FI",
        AND(V22="Transfer",ISNUMBER(SEARCH("CIB via",L22))),"Local Transfer",
        AND(V22="Transfer",ISNUMBER(SEARCH("CIB)",L22))),"Local Transfer",
        AND(V22="Transfer",ISNUMBER(SEARCH("SMRT",L22))),"Local Transfer",
        AND(V22="Transfer",ISNUMBER(SEARCH("Al Murabba",L22))),"Local Transfer",
        AND(V22="Transfer",ISNUMBER(SEARCH("Internal Transfer",L22))),"Same FI",
        AND(V22="Transfer",ISNUMBER(SEARCH("Rejected",L22))),"Failed",
        V22="SADAD",
            _xlfn.IFS(
                ISNUMBER(SEARCH("Expatriate",L22)),"Expat Fees",
                TRUE,"Online Payment"
            ),
        V22="Payroll","Payroll",
        V22="Cash","Deposit",
        TRUE,"-"
    ),
    "-"
)</f>
        <v>Local Transfer</v>
      </c>
      <c r="X22" s="25" t="str" cm="1">
        <f t="array" ref="X22">_xlfn.IFNA(
    _xlfn.IFS(
        V22="-","Low",
        W22="-","Low",
        TRUE,"High"
    ),
    "-"
)</f>
        <v>High</v>
      </c>
      <c r="Y22" s="25" t="str">
        <f t="shared" si="0"/>
        <v>-</v>
      </c>
      <c r="Z22" s="25" t="str" cm="1">
        <f t="array" ref="Z22">_xlfn.IFNA(
    _xlfn.IFS(
        ISNUMBER(SEARCH("Abdul Latif Jameel",M22)),"Lender",
        ISNUMBER(SEARCH("Abdullah Abdulkarim Al Sudais",M22)),"Accounting",
        ISNUMBER(SEARCH("Abdullah Fahad for Accounting",M22)),"Accounting",
        ISNUMBER(SEARCH("Abdullah Rashid Shaikh",M22)),"Shareholder",
        ISNUMBER(SEARCH("Advanced Equipments",M22)),"Equipment Rental",
        ISNUMBER(SEARCH("Al Banuk Sana",M22)),"Telecom Company",
        ISNUMBER(SEARCH("Al Khaleefa Factory",M22)),"Manufacturer",
        ISNUMBER(SEARCH("Al Saadeh Trading",M22)),"Trading Company",
        ISNUMBER(SEARCH("Al Zaehaan",M22)),"Trading Company",
        ISNUMBER(SEARCH("Ali Abdullah K Al Darwish",M22)),"Airlines",
        ISNUMBER(SEARCH("Bupa Arabia",M22)),"Health Insurance",
        ISNUMBER(SEARCH("Dar Fahoosaat",M22)),"Consultant",
        ISNUMBER(SEARCH("General Authority of Zakat",M22)),"Tax Collection",
        ISNUMBER(SEARCH("Gulf Voyager",M22)),"Travel Agency",
        ISNUMBER(SEARCH("Hopeway Trading",M22)),"Trading Company",
        ISNUMBER(SEARCH("Interhealth Medical",M22)),"Medical Services",
        ISNUMBER(SEARCH("Ishaar",M22)),"Online Payment Service",
        ISNUMBER(SEARCH("ISO Arabia",M22)),"Certification",
        ISNUMBER(SEARCH("Khalid Saad Al Otaibi",M22)),"Trading Company",
        ISNUMBER(SEARCH("MERAS for Decoration",M22)),"Decor Company",
        ISNUMBER(SEARCH("Middle East Customs Clearance",M22)),"Customs",
        ISNUMBER(SEARCH("Ministry of Human Resources",M22)),"Government",
        ISNUMBER(SEARCH("My Business Services",M22)),"Service Provider",
        ISNUMBER(SEARCH("National Water Company",M22)),"Water Company",
        ISNUMBER(SEARCH("Rania Contracting",M22)),"Contracting",
        ISNUMBER(SEARCH("Rashid Ali Sheikh",M22)),"Shareholder",
        ISNUMBER(SEARCH("Sahab United Motors",M22)),"Car Show Room",
        ISNUMBER(SEARCH("Saud Mohammed Al Tamimi",M22)),"Shareholder",
        ISNUMBER(SEARCH("Saud Mohammed Tamimi",M22)),"Shareholder",
        ISNUMBER(SEARCH("Saudi Electric Company",M22)),"Electricity Company",
        ISNUMBER(SEARCH("Saudi Vetonit",M22)),"Building Materials",
        ISNUMBER(SEARCH("Shomoul Eng",M22)),"Safety",
        ISNUMBER(SEARCH("STC",M22)),"Telecom Company",
        ISNUMBER(SEARCH("The General Organization for Social Insurance",M22)),"Social Insurance Agency",
        ISNUMBER(SEARCH("TUV Rheinland",M22)),"Certification",
        ISNUMBER(SEARCH("Al Arabia Ceramic",M22)),"Building Materials",
        ISNUMBER(SEARCH("National Company for Building and Marketing",M22)),"Parent Company",
        ISNUMBER(SEARCH("Athraa Holding",M22)),"Holding Company",
        ISNUMBER(SEARCH("Al Rasan",M22)),"Contracting",
        ISNUMBER(SEARCH("Raboua Al Haid",M22)),"Trading Company",
        ISNUMBER(SEARCH("Al Jazeera Paint",M22)),"Manufacturer",
        ISNUMBER(SEARCH("Rania Works Contracting",M22)),"Contracting",
        ISNUMBER(SEARCH("Bandar Jarallah",M22)),"Trading Establishment",
        ISNUMBER(SEARCH("RS Infratec Saudi",M22)),"Same Company",
        ISNUMBER(SEARCH("Payroll",M22)),"Bank",
        ISNUMBER(SEARCH("Expatriate",M22)),"Government",
        ISNUMBER(SEARCH("Unknown Sender",M22)),"Unknown",
        TRUE,"Unknown"
    ),
    "-"
)</f>
        <v>Consultant</v>
      </c>
      <c r="AA22" s="25" t="str" cm="1">
        <f t="array" ref="AA22">_xlfn.IFNA(
    _xlfn.IFS(
        Z22="Lender","Financing",
        Z22="Accounting","Accounting",
        Z22="Shareholder","Individual",
        Z22="Equipment Rental","Equipment Rental",
        Z22="Telecom Company","Telecom",
        Z22="Manufacturer","Manufacturer",
        Z22="Trading Company","Trading And Transport",
        Z22="Trading Establishment","Trading",
        Z22="Airlines","Airlines",
        Z22="Health Insurance","Insurance",
        Z22="Consultant","Consultant",
        Z22="Tax Collection","Government",
        Z22="Travel Agency","Travel Agency",
        Z22="Medical Services","Medical Center",
        Z22="Online Payment Service","Payment Facilitator",
        Z22="Certification","Safety",
        Z22="Decor Company","Design",
        Z22="Customs","Customs",
        Z22="Government","Government",
        Z22="Service Provider","Service Provider",
        Z22="Water Company","Water Company",
        Z22="Contracting","Contracting",
        Z22="Car Show Room","Car Trader",
        Z22="Electricity Company","Electricity Company",
        Z22="Building Materials","Building Materials",
        Z22="Safety","Safety",
        Z22="Social Insurance Agency","Government Fund",
        Z22="Parent Company","Holding Company",
        Z22="Holding Company","Holding Company",
        Z22="Same Company","Construction",
        Z22="Bank","Bank",
        Z22="Unknown","Unknown",
        TRUE,"-"
    ),
    "-"
)</f>
        <v>Consultant</v>
      </c>
      <c r="AB22" s="25" t="str">
        <f t="shared" si="1"/>
        <v>-</v>
      </c>
      <c r="AC22" s="25" t="str" cm="1">
        <f t="array" ref="AC22">_xlfn.IFNA(
    _xlfn.IFS(
        Z22="Shareholder","Shareholder",
        Z22="Same Company","Same Company",
        Z22="Bank","Bank",
        Z22="Government","Government",
        Z22="Social Insurance Agency","Government",
        Z22="Parent Company","Customer",
        Z22="Lender","Lender",
        Z22="Unknown","Unknown",
        ISNUMBER(SEARCH("Abdullah Abdulkarim",M22)),"Service Provider",
        ISNUMBER(SEARCH("Abdullah Fahad",M22)),"Service Provider",
        ISNUMBER(SEARCH("Advanced Equipments",M22)),"Supplier",
        ISNUMBER(SEARCH("Al Banuk Sana",M22)),"Supplier",
        ISNUMBER(SEARCH("Al Khaleefa Factory",M22)),"Supplier",
        ISNUMBER(SEARCH("Al Saadeh Trading",M22)),"Supplier",
        ISNUMBER(SEARCH("Al Zaehaan",M22)),"Supplier",
        ISNUMBER(SEARCH("Ali Abdullah K Al Darwish",M22)),"Service Provider",
        ISNUMBER(SEARCH("Bupa Arabia",M22)),"Insurance Company",
        ISNUMBER(SEARCH("Dar Fahoosaat",M22)),"Service Provider",
        ISNUMBER(SEARCH("General Authority of Zakat",M22)),"Tax Authority",
        ISNUMBER(SEARCH("Gulf Voyager",M22)),"Service Provider",
        ISNUMBER(SEARCH("Hopeway Trading",M22)),"Supplier",
        ISNUMBER(SEARCH("Interhealth Medical",M22)),"Customer",
        ISNUMBER(SEARCH("Ishaar",M22)),"Service Provider",
        ISNUMBER(SEARCH("ISO Arabia",M22)),"Service Provider",
        ISNUMBER(SEARCH("Khalid Saad Al Otaibi",M22)),"Supplier",
        ISNUMBER(SEARCH("MERAS for Decoration",M22)),"Supplier",
        ISNUMBER(SEARCH("Middle East Customs Clearance",M22)),"Service Provider",
        ISNUMBER(SEARCH("Ministry of Human Resources",M22)),"Regulatory Agency",
        ISNUMBER(SEARCH("My Business Services",M22)),"Service Provider",
        ISNUMBER(SEARCH("National Water Company",M22)),"Utility Provider",
        ISNUMBER(SEARCH("Rania Contracting",M22)),"Supplier",
        ISNUMBER(SEARCH("Sahab United Motors",M22)),"Supplier",
        ISNUMBER(SEARCH("Saudi Electric Company",M22)),"Utility Provider",
        ISNUMBER(SEARCH("Saudi Vetonit",M22)),"Supplier",
        ISNUMBER(SEARCH("Shomoul Eng",M22)),"Service Provider",
        ISNUMBER(SEARCH("STC",M22)),"Utility Provider",
        ISNUMBER(SEARCH("The General Organization for Social Insurance",M22)),"Social Insurance Agency",
        ISNUMBER(SEARCH("TUV Rheinland",M22)),"Service Provider",
        ISNUMBER(SEARCH("Al Arabia Ceramic",M22)),"Supplier",
        ISNUMBER(SEARCH("National Company for Building",M22)),"Customer",
        ISNUMBER(SEARCH("Athraa Holding",M22)),"Customer",
        ISNUMBER(SEARCH("Al Rasan",M22)),"Supplier",
        ISNUMBER(SEARCH("Raboua Al Haid",M22)),"Customer",
        ISNUMBER(SEARCH("Al Jazeera Paint",M22)),"Supplier",
        ISNUMBER(SEARCH("Rania Works Contracting",M22)),"Supplier",
        ISNUMBER(SEARCH("Bandar Jarallah",M22)),"Supplier",
        TRUE,"Supplier"
    ),
    "-"
)</f>
        <v>Service Provider</v>
      </c>
      <c r="AD22" s="25" t="str" cm="1">
        <f t="array" ref="AD22">_xlfn.IFNA(
    _xlfn.IFS(
        AC22="Same Company","High",
        AC22="Shareholder","High",
        AC22="Government","High",
        AC22="Bank","High",
        AC22="Lender","High",
        AC22="Unknown","Low",
        AC22="-","Low",
        TRUE,"Medium"
    ),
    "-"
)</f>
        <v>Medium</v>
      </c>
      <c r="AE22" s="25" t="str">
        <f t="shared" si="2"/>
        <v>-</v>
      </c>
      <c r="AF22" s="25" t="str" cm="1">
        <f t="array" ref="AF22">_xlfn.IFNA(
    _xlfn.IFS(
        K22="Credit",
            _xlfn.IFS(
                OR(ISNUMBER(SEARCH("Rejected",L22)),ISNUMBER(SEARCH("Returned",L22))),"Other Income",
                TRUE,"Revenue"
            ),
        K22="Debit",
            _xlfn.IFS(
                ISNUMBER(SEARCH("Payroll",L22)),"OPEX",
                ISNUMBER(SEARCH("Expatriate",L22)),"OPEX",
                ISNUMBER(SEARCH("Zakat",M22)),"ZATCA",
                ISNUMBER(SEARCH("General Organization for Social Insurance",M22)),"OPEX",
                ISNUMBER(SEARCH("Saudi Electric",M22)),"OPEX",
                ISNUMBER(SEARCH("STC",M22)),"OPEX",
                ISNUMBER(SEARCH("National Water",M22)),"OPEX",
                ISNUMBER(SEARCH("Bupa",M22)),"OPEX",
                ISNUMBER(SEARCH("Abdullah Abdulkarim",M22)),"OPEX",
                ISNUMBER(SEARCH("Abdullah Fahad",M22)),"OPEX",
                ISNUMBER(SEARCH("ISO Arabia",M22)),"OPEX",
                ISNUMBER(SEARCH("Gulf Voyager",M22)),"OPEX",
                ISNUMBER(SEARCH("Ministry",M22)),"OPEX",
                ISNUMBER(SEARCH("General Authority of Zakat",M22)),"ZATCA",
                ISNUMBER(SEARCH("Rejected",L22)),"Other Income",
                TRUE,"COGS"
            ),
        TRUE,"-"
    ),
    "-"
)</f>
        <v>COGS</v>
      </c>
      <c r="AG22" s="25" t="str" cm="1">
        <f t="array" ref="AG22">_xlfn.IFNA(
    _xlfn.IFS(
        ISNUMBER(SEARCH("Payroll",L22)),"Payroll",
        ISNUMBER(SEARCH("Expatriate",L22)),"Government Fees",
        ISNUMBER(SEARCH("Zakat",M22)),"Zakat",
        ISNUMBER(SEARCH("Social Insurance",M22)),"Social Insurance",
        ISNUMBER(SEARCH("Saudi Electric",M22)),"Electricity",
        ISNUMBER(SEARCH("STC",M22)),"Telecom",
        ISNUMBER(SEARCH("National Water",M22)),"Water",
        ISNUMBER(SEARCH("Bupa",M22)),"Insurance",
        ISNUMBER(SEARCH("Gulf Voyager",M22)),"Travel",
        ISNUMBER(SEARCH("Ministry",M22)),"Government Fees",
        ISNUMBER(SEARCH("Abdullah Abdulkarim",M22)),"Consulting",
        ISNUMBER(SEARCH("Abdullah Fahad",M22)),"Accounting",
        ISNUMBER(SEARCH("ISO Arabia",M22)),"Consulting",
        ISNUMBER(SEARCH("Rejected",L22)),"Refund",
        AF22="COGS","Inventory Purchase",
        AF22="Revenue","Revenue",
        AF22="OPEX","Other",
        AF22="ZATCA","Zakat",
        TRUE,"-"
    ),
    "-"
)</f>
        <v>Inventory Purchase</v>
      </c>
      <c r="AH22" s="25" t="str" cm="1">
        <f t="array" ref="AH22">_xlfn.IFNA(
    _xlfn.IFS(
        AF22="-","Low",
        AF22="Other","Low",
        TRUE,"Medium"
    ),
    "-"
)</f>
        <v>Medium</v>
      </c>
      <c r="AI22" s="25" t="str">
        <f t="shared" si="3"/>
        <v>-</v>
      </c>
    </row>
    <row r="23" spans="1:35" x14ac:dyDescent="0.25">
      <c r="A23" s="10">
        <v>2</v>
      </c>
      <c r="B23" s="10" t="s">
        <v>35</v>
      </c>
      <c r="C23" s="10" t="s">
        <v>36</v>
      </c>
      <c r="D23" s="10" t="s">
        <v>37</v>
      </c>
      <c r="E23" s="10" t="s">
        <v>38</v>
      </c>
      <c r="F23" s="11" t="s">
        <v>39</v>
      </c>
      <c r="G23" s="11" t="s">
        <v>40</v>
      </c>
      <c r="H23" s="12">
        <v>45001</v>
      </c>
      <c r="I23" s="20">
        <v>347926.14</v>
      </c>
      <c r="J23" s="20">
        <v>10001.15</v>
      </c>
      <c r="K23" s="10" t="s">
        <v>41</v>
      </c>
      <c r="L23" s="9" t="s">
        <v>56</v>
      </c>
      <c r="M23" s="9" t="s">
        <v>108</v>
      </c>
      <c r="N23" s="9" t="s">
        <v>109</v>
      </c>
      <c r="O23" s="9" t="s">
        <v>93</v>
      </c>
      <c r="P23" s="15">
        <v>45001</v>
      </c>
      <c r="Q23" s="9" t="s">
        <v>110</v>
      </c>
      <c r="R23" s="16">
        <v>10000</v>
      </c>
      <c r="S23" s="18">
        <v>1</v>
      </c>
      <c r="T23" s="18">
        <v>0.15</v>
      </c>
      <c r="U23" s="9" t="s">
        <v>55</v>
      </c>
      <c r="V23" s="24" t="str" cm="1">
        <f t="array" ref="V23">_xlfn.IFNA(
    _xlfn.IFS(
        ISNUMBER(SEARCH("Fast Outgoing Transfer",L23)),"Transfer",
        ISNUMBER(SEARCH("Incoming Fast Transfer",L23)),"Transfer",
        ISNUMBER(SEARCH("Outgoing International Transfer",L23)),"Transfer",
        ISNUMBER(SEARCH("Bill Payment",L23)),"SADAD",
        ISNUMBER(SEARCH("Payroll",L23)),"Payroll",
        ISNUMBER(SEARCH("Cash Deposit",L23)),"Cash",
        ISNUMBER(SEARCH("Internal Transfer",L23)),"Transfer",
        ISNUMBER(SEARCH("Expatriate Services Payment",L23)),"SADAD",
        ISNUMBER(SEARCH("Rejected",L23)),"Transfer"
    ),
    "-"
)</f>
        <v>Transfer</v>
      </c>
      <c r="W23" s="25" t="str" cm="1">
        <f t="array" ref="W23">_xlfn.IFNA(
    _xlfn.IFS(
        AND(V23="Transfer",ISNUMBER(SEARCH("RIYAD BANK",L23))),"External FI",
        AND(V23="Transfer",ISNUMBER(SEARCH("Al Ahli",L23))),"External FI",
        AND(V23="Transfer",ISNUMBER(SEARCH("CIB via",L23))),"Local Transfer",
        AND(V23="Transfer",ISNUMBER(SEARCH("CIB)",L23))),"Local Transfer",
        AND(V23="Transfer",ISNUMBER(SEARCH("SMRT",L23))),"Local Transfer",
        AND(V23="Transfer",ISNUMBER(SEARCH("Al Murabba",L23))),"Local Transfer",
        AND(V23="Transfer",ISNUMBER(SEARCH("Internal Transfer",L23))),"Same FI",
        AND(V23="Transfer",ISNUMBER(SEARCH("Rejected",L23))),"Failed",
        V23="SADAD",
            _xlfn.IFS(
                ISNUMBER(SEARCH("Expatriate",L23)),"Expat Fees",
                TRUE,"Online Payment"
            ),
        V23="Payroll","Payroll",
        V23="Cash","Deposit",
        TRUE,"-"
    ),
    "-"
)</f>
        <v>Local Transfer</v>
      </c>
      <c r="X23" s="25" t="str" cm="1">
        <f t="array" ref="X23">_xlfn.IFNA(
    _xlfn.IFS(
        V23="-","Low",
        W23="-","Low",
        TRUE,"High"
    ),
    "-"
)</f>
        <v>High</v>
      </c>
      <c r="Y23" s="25" t="str">
        <f t="shared" si="0"/>
        <v>-</v>
      </c>
      <c r="Z23" s="25" t="str" cm="1">
        <f t="array" ref="Z23">_xlfn.IFNA(
    _xlfn.IFS(
        ISNUMBER(SEARCH("Abdul Latif Jameel",M23)),"Lender",
        ISNUMBER(SEARCH("Abdullah Abdulkarim Al Sudais",M23)),"Accounting",
        ISNUMBER(SEARCH("Abdullah Fahad for Accounting",M23)),"Accounting",
        ISNUMBER(SEARCH("Abdullah Rashid Shaikh",M23)),"Shareholder",
        ISNUMBER(SEARCH("Advanced Equipments",M23)),"Equipment Rental",
        ISNUMBER(SEARCH("Al Banuk Sana",M23)),"Telecom Company",
        ISNUMBER(SEARCH("Al Khaleefa Factory",M23)),"Manufacturer",
        ISNUMBER(SEARCH("Al Saadeh Trading",M23)),"Trading Company",
        ISNUMBER(SEARCH("Al Zaehaan",M23)),"Trading Company",
        ISNUMBER(SEARCH("Ali Abdullah K Al Darwish",M23)),"Airlines",
        ISNUMBER(SEARCH("Bupa Arabia",M23)),"Health Insurance",
        ISNUMBER(SEARCH("Dar Fahoosaat",M23)),"Consultant",
        ISNUMBER(SEARCH("General Authority of Zakat",M23)),"Tax Collection",
        ISNUMBER(SEARCH("Gulf Voyager",M23)),"Travel Agency",
        ISNUMBER(SEARCH("Hopeway Trading",M23)),"Trading Company",
        ISNUMBER(SEARCH("Interhealth Medical",M23)),"Medical Services",
        ISNUMBER(SEARCH("Ishaar",M23)),"Online Payment Service",
        ISNUMBER(SEARCH("ISO Arabia",M23)),"Certification",
        ISNUMBER(SEARCH("Khalid Saad Al Otaibi",M23)),"Trading Company",
        ISNUMBER(SEARCH("MERAS for Decoration",M23)),"Decor Company",
        ISNUMBER(SEARCH("Middle East Customs Clearance",M23)),"Customs",
        ISNUMBER(SEARCH("Ministry of Human Resources",M23)),"Government",
        ISNUMBER(SEARCH("My Business Services",M23)),"Service Provider",
        ISNUMBER(SEARCH("National Water Company",M23)),"Water Company",
        ISNUMBER(SEARCH("Rania Contracting",M23)),"Contracting",
        ISNUMBER(SEARCH("Rashid Ali Sheikh",M23)),"Shareholder",
        ISNUMBER(SEARCH("Sahab United Motors",M23)),"Car Show Room",
        ISNUMBER(SEARCH("Saud Mohammed Al Tamimi",M23)),"Shareholder",
        ISNUMBER(SEARCH("Saud Mohammed Tamimi",M23)),"Shareholder",
        ISNUMBER(SEARCH("Saudi Electric Company",M23)),"Electricity Company",
        ISNUMBER(SEARCH("Saudi Vetonit",M23)),"Building Materials",
        ISNUMBER(SEARCH("Shomoul Eng",M23)),"Safety",
        ISNUMBER(SEARCH("STC",M23)),"Telecom Company",
        ISNUMBER(SEARCH("The General Organization for Social Insurance",M23)),"Social Insurance Agency",
        ISNUMBER(SEARCH("TUV Rheinland",M23)),"Certification",
        ISNUMBER(SEARCH("Al Arabia Ceramic",M23)),"Building Materials",
        ISNUMBER(SEARCH("National Company for Building and Marketing",M23)),"Parent Company",
        ISNUMBER(SEARCH("Athraa Holding",M23)),"Holding Company",
        ISNUMBER(SEARCH("Al Rasan",M23)),"Contracting",
        ISNUMBER(SEARCH("Raboua Al Haid",M23)),"Trading Company",
        ISNUMBER(SEARCH("Al Jazeera Paint",M23)),"Manufacturer",
        ISNUMBER(SEARCH("Rania Works Contracting",M23)),"Contracting",
        ISNUMBER(SEARCH("Bandar Jarallah",M23)),"Trading Establishment",
        ISNUMBER(SEARCH("RS Infratec Saudi",M23)),"Same Company",
        ISNUMBER(SEARCH("Payroll",M23)),"Bank",
        ISNUMBER(SEARCH("Expatriate",M23)),"Government",
        ISNUMBER(SEARCH("Unknown Sender",M23)),"Unknown",
        TRUE,"Unknown"
    ),
    "-"
)</f>
        <v>Travel Agency</v>
      </c>
      <c r="AA23" s="25" t="str" cm="1">
        <f t="array" ref="AA23">_xlfn.IFNA(
    _xlfn.IFS(
        Z23="Lender","Financing",
        Z23="Accounting","Accounting",
        Z23="Shareholder","Individual",
        Z23="Equipment Rental","Equipment Rental",
        Z23="Telecom Company","Telecom",
        Z23="Manufacturer","Manufacturer",
        Z23="Trading Company","Trading And Transport",
        Z23="Trading Establishment","Trading",
        Z23="Airlines","Airlines",
        Z23="Health Insurance","Insurance",
        Z23="Consultant","Consultant",
        Z23="Tax Collection","Government",
        Z23="Travel Agency","Travel Agency",
        Z23="Medical Services","Medical Center",
        Z23="Online Payment Service","Payment Facilitator",
        Z23="Certification","Safety",
        Z23="Decor Company","Design",
        Z23="Customs","Customs",
        Z23="Government","Government",
        Z23="Service Provider","Service Provider",
        Z23="Water Company","Water Company",
        Z23="Contracting","Contracting",
        Z23="Car Show Room","Car Trader",
        Z23="Electricity Company","Electricity Company",
        Z23="Building Materials","Building Materials",
        Z23="Safety","Safety",
        Z23="Social Insurance Agency","Government Fund",
        Z23="Parent Company","Holding Company",
        Z23="Holding Company","Holding Company",
        Z23="Same Company","Construction",
        Z23="Bank","Bank",
        Z23="Unknown","Unknown",
        TRUE,"-"
    ),
    "-"
)</f>
        <v>Travel Agency</v>
      </c>
      <c r="AB23" s="25" t="str">
        <f t="shared" si="1"/>
        <v>-</v>
      </c>
      <c r="AC23" s="25" t="str" cm="1">
        <f t="array" ref="AC23">_xlfn.IFNA(
    _xlfn.IFS(
        Z23="Shareholder","Shareholder",
        Z23="Same Company","Same Company",
        Z23="Bank","Bank",
        Z23="Government","Government",
        Z23="Social Insurance Agency","Government",
        Z23="Parent Company","Customer",
        Z23="Lender","Lender",
        Z23="Unknown","Unknown",
        ISNUMBER(SEARCH("Abdullah Abdulkarim",M23)),"Service Provider",
        ISNUMBER(SEARCH("Abdullah Fahad",M23)),"Service Provider",
        ISNUMBER(SEARCH("Advanced Equipments",M23)),"Supplier",
        ISNUMBER(SEARCH("Al Banuk Sana",M23)),"Supplier",
        ISNUMBER(SEARCH("Al Khaleefa Factory",M23)),"Supplier",
        ISNUMBER(SEARCH("Al Saadeh Trading",M23)),"Supplier",
        ISNUMBER(SEARCH("Al Zaehaan",M23)),"Supplier",
        ISNUMBER(SEARCH("Ali Abdullah K Al Darwish",M23)),"Service Provider",
        ISNUMBER(SEARCH("Bupa Arabia",M23)),"Insurance Company",
        ISNUMBER(SEARCH("Dar Fahoosaat",M23)),"Service Provider",
        ISNUMBER(SEARCH("General Authority of Zakat",M23)),"Tax Authority",
        ISNUMBER(SEARCH("Gulf Voyager",M23)),"Service Provider",
        ISNUMBER(SEARCH("Hopeway Trading",M23)),"Supplier",
        ISNUMBER(SEARCH("Interhealth Medical",M23)),"Customer",
        ISNUMBER(SEARCH("Ishaar",M23)),"Service Provider",
        ISNUMBER(SEARCH("ISO Arabia",M23)),"Service Provider",
        ISNUMBER(SEARCH("Khalid Saad Al Otaibi",M23)),"Supplier",
        ISNUMBER(SEARCH("MERAS for Decoration",M23)),"Supplier",
        ISNUMBER(SEARCH("Middle East Customs Clearance",M23)),"Service Provider",
        ISNUMBER(SEARCH("Ministry of Human Resources",M23)),"Regulatory Agency",
        ISNUMBER(SEARCH("My Business Services",M23)),"Service Provider",
        ISNUMBER(SEARCH("National Water Company",M23)),"Utility Provider",
        ISNUMBER(SEARCH("Rania Contracting",M23)),"Supplier",
        ISNUMBER(SEARCH("Sahab United Motors",M23)),"Supplier",
        ISNUMBER(SEARCH("Saudi Electric Company",M23)),"Utility Provider",
        ISNUMBER(SEARCH("Saudi Vetonit",M23)),"Supplier",
        ISNUMBER(SEARCH("Shomoul Eng",M23)),"Service Provider",
        ISNUMBER(SEARCH("STC",M23)),"Utility Provider",
        ISNUMBER(SEARCH("The General Organization for Social Insurance",M23)),"Social Insurance Agency",
        ISNUMBER(SEARCH("TUV Rheinland",M23)),"Service Provider",
        ISNUMBER(SEARCH("Al Arabia Ceramic",M23)),"Supplier",
        ISNUMBER(SEARCH("National Company for Building",M23)),"Customer",
        ISNUMBER(SEARCH("Athraa Holding",M23)),"Customer",
        ISNUMBER(SEARCH("Al Rasan",M23)),"Supplier",
        ISNUMBER(SEARCH("Raboua Al Haid",M23)),"Customer",
        ISNUMBER(SEARCH("Al Jazeera Paint",M23)),"Supplier",
        ISNUMBER(SEARCH("Rania Works Contracting",M23)),"Supplier",
        ISNUMBER(SEARCH("Bandar Jarallah",M23)),"Supplier",
        TRUE,"Supplier"
    ),
    "-"
)</f>
        <v>Service Provider</v>
      </c>
      <c r="AD23" s="25" t="str" cm="1">
        <f t="array" ref="AD23">_xlfn.IFNA(
    _xlfn.IFS(
        AC23="Same Company","High",
        AC23="Shareholder","High",
        AC23="Government","High",
        AC23="Bank","High",
        AC23="Lender","High",
        AC23="Unknown","Low",
        AC23="-","Low",
        TRUE,"Medium"
    ),
    "-"
)</f>
        <v>Medium</v>
      </c>
      <c r="AE23" s="25" t="str">
        <f t="shared" si="2"/>
        <v>-</v>
      </c>
      <c r="AF23" s="25" t="str" cm="1">
        <f t="array" ref="AF23">_xlfn.IFNA(
    _xlfn.IFS(
        K23="Credit",
            _xlfn.IFS(
                OR(ISNUMBER(SEARCH("Rejected",L23)),ISNUMBER(SEARCH("Returned",L23))),"Other Income",
                TRUE,"Revenue"
            ),
        K23="Debit",
            _xlfn.IFS(
                ISNUMBER(SEARCH("Payroll",L23)),"OPEX",
                ISNUMBER(SEARCH("Expatriate",L23)),"OPEX",
                ISNUMBER(SEARCH("Zakat",M23)),"ZATCA",
                ISNUMBER(SEARCH("General Organization for Social Insurance",M23)),"OPEX",
                ISNUMBER(SEARCH("Saudi Electric",M23)),"OPEX",
                ISNUMBER(SEARCH("STC",M23)),"OPEX",
                ISNUMBER(SEARCH("National Water",M23)),"OPEX",
                ISNUMBER(SEARCH("Bupa",M23)),"OPEX",
                ISNUMBER(SEARCH("Abdullah Abdulkarim",M23)),"OPEX",
                ISNUMBER(SEARCH("Abdullah Fahad",M23)),"OPEX",
                ISNUMBER(SEARCH("ISO Arabia",M23)),"OPEX",
                ISNUMBER(SEARCH("Gulf Voyager",M23)),"OPEX",
                ISNUMBER(SEARCH("Ministry",M23)),"OPEX",
                ISNUMBER(SEARCH("General Authority of Zakat",M23)),"ZATCA",
                ISNUMBER(SEARCH("Rejected",L23)),"Other Income",
                TRUE,"COGS"
            ),
        TRUE,"-"
    ),
    "-"
)</f>
        <v>OPEX</v>
      </c>
      <c r="AG23" s="25" t="str" cm="1">
        <f t="array" ref="AG23">_xlfn.IFNA(
    _xlfn.IFS(
        ISNUMBER(SEARCH("Payroll",L23)),"Payroll",
        ISNUMBER(SEARCH("Expatriate",L23)),"Government Fees",
        ISNUMBER(SEARCH("Zakat",M23)),"Zakat",
        ISNUMBER(SEARCH("Social Insurance",M23)),"Social Insurance",
        ISNUMBER(SEARCH("Saudi Electric",M23)),"Electricity",
        ISNUMBER(SEARCH("STC",M23)),"Telecom",
        ISNUMBER(SEARCH("National Water",M23)),"Water",
        ISNUMBER(SEARCH("Bupa",M23)),"Insurance",
        ISNUMBER(SEARCH("Gulf Voyager",M23)),"Travel",
        ISNUMBER(SEARCH("Ministry",M23)),"Government Fees",
        ISNUMBER(SEARCH("Abdullah Abdulkarim",M23)),"Consulting",
        ISNUMBER(SEARCH("Abdullah Fahad",M23)),"Accounting",
        ISNUMBER(SEARCH("ISO Arabia",M23)),"Consulting",
        ISNUMBER(SEARCH("Rejected",L23)),"Refund",
        AF23="COGS","Inventory Purchase",
        AF23="Revenue","Revenue",
        AF23="OPEX","Other",
        AF23="ZATCA","Zakat",
        TRUE,"-"
    ),
    "-"
)</f>
        <v>Travel</v>
      </c>
      <c r="AH23" s="25" t="str" cm="1">
        <f t="array" ref="AH23">_xlfn.IFNA(
    _xlfn.IFS(
        AF23="-","Low",
        AF23="Other","Low",
        TRUE,"Medium"
    ),
    "-"
)</f>
        <v>Medium</v>
      </c>
      <c r="AI23" s="25" t="str">
        <f t="shared" si="3"/>
        <v>-</v>
      </c>
    </row>
    <row r="24" spans="1:35" x14ac:dyDescent="0.25">
      <c r="A24" s="10">
        <v>2</v>
      </c>
      <c r="B24" s="10" t="s">
        <v>35</v>
      </c>
      <c r="C24" s="10" t="s">
        <v>36</v>
      </c>
      <c r="D24" s="10" t="s">
        <v>37</v>
      </c>
      <c r="E24" s="10" t="s">
        <v>38</v>
      </c>
      <c r="F24" s="11" t="s">
        <v>39</v>
      </c>
      <c r="G24" s="11" t="s">
        <v>40</v>
      </c>
      <c r="H24" s="12">
        <v>45067</v>
      </c>
      <c r="I24" s="20">
        <v>119887.61</v>
      </c>
      <c r="J24" s="20">
        <v>3535.15</v>
      </c>
      <c r="K24" s="10" t="s">
        <v>41</v>
      </c>
      <c r="L24" s="9" t="s">
        <v>56</v>
      </c>
      <c r="M24" s="9" t="s">
        <v>108</v>
      </c>
      <c r="N24" s="9" t="s">
        <v>109</v>
      </c>
      <c r="O24" s="9" t="s">
        <v>93</v>
      </c>
      <c r="P24" s="15">
        <v>45067</v>
      </c>
      <c r="Q24" s="9" t="s">
        <v>111</v>
      </c>
      <c r="R24" s="16">
        <v>3535</v>
      </c>
      <c r="S24" s="18">
        <v>1</v>
      </c>
      <c r="T24" s="18">
        <v>0.15</v>
      </c>
      <c r="U24" s="9" t="s">
        <v>55</v>
      </c>
      <c r="V24" s="24" t="str" cm="1">
        <f t="array" ref="V24">_xlfn.IFNA(
    _xlfn.IFS(
        ISNUMBER(SEARCH("Fast Outgoing Transfer",L24)),"Transfer",
        ISNUMBER(SEARCH("Incoming Fast Transfer",L24)),"Transfer",
        ISNUMBER(SEARCH("Outgoing International Transfer",L24)),"Transfer",
        ISNUMBER(SEARCH("Bill Payment",L24)),"SADAD",
        ISNUMBER(SEARCH("Payroll",L24)),"Payroll",
        ISNUMBER(SEARCH("Cash Deposit",L24)),"Cash",
        ISNUMBER(SEARCH("Internal Transfer",L24)),"Transfer",
        ISNUMBER(SEARCH("Expatriate Services Payment",L24)),"SADAD",
        ISNUMBER(SEARCH("Rejected",L24)),"Transfer"
    ),
    "-"
)</f>
        <v>Transfer</v>
      </c>
      <c r="W24" s="25" t="str" cm="1">
        <f t="array" ref="W24">_xlfn.IFNA(
    _xlfn.IFS(
        AND(V24="Transfer",ISNUMBER(SEARCH("RIYAD BANK",L24))),"External FI",
        AND(V24="Transfer",ISNUMBER(SEARCH("Al Ahli",L24))),"External FI",
        AND(V24="Transfer",ISNUMBER(SEARCH("CIB via",L24))),"Local Transfer",
        AND(V24="Transfer",ISNUMBER(SEARCH("CIB)",L24))),"Local Transfer",
        AND(V24="Transfer",ISNUMBER(SEARCH("SMRT",L24))),"Local Transfer",
        AND(V24="Transfer",ISNUMBER(SEARCH("Al Murabba",L24))),"Local Transfer",
        AND(V24="Transfer",ISNUMBER(SEARCH("Internal Transfer",L24))),"Same FI",
        AND(V24="Transfer",ISNUMBER(SEARCH("Rejected",L24))),"Failed",
        V24="SADAD",
            _xlfn.IFS(
                ISNUMBER(SEARCH("Expatriate",L24)),"Expat Fees",
                TRUE,"Online Payment"
            ),
        V24="Payroll","Payroll",
        V24="Cash","Deposit",
        TRUE,"-"
    ),
    "-"
)</f>
        <v>Local Transfer</v>
      </c>
      <c r="X24" s="25" t="str" cm="1">
        <f t="array" ref="X24">_xlfn.IFNA(
    _xlfn.IFS(
        V24="-","Low",
        W24="-","Low",
        TRUE,"High"
    ),
    "-"
)</f>
        <v>High</v>
      </c>
      <c r="Y24" s="25" t="str">
        <f t="shared" si="0"/>
        <v>-</v>
      </c>
      <c r="Z24" s="25" t="str" cm="1">
        <f t="array" ref="Z24">_xlfn.IFNA(
    _xlfn.IFS(
        ISNUMBER(SEARCH("Abdul Latif Jameel",M24)),"Lender",
        ISNUMBER(SEARCH("Abdullah Abdulkarim Al Sudais",M24)),"Accounting",
        ISNUMBER(SEARCH("Abdullah Fahad for Accounting",M24)),"Accounting",
        ISNUMBER(SEARCH("Abdullah Rashid Shaikh",M24)),"Shareholder",
        ISNUMBER(SEARCH("Advanced Equipments",M24)),"Equipment Rental",
        ISNUMBER(SEARCH("Al Banuk Sana",M24)),"Telecom Company",
        ISNUMBER(SEARCH("Al Khaleefa Factory",M24)),"Manufacturer",
        ISNUMBER(SEARCH("Al Saadeh Trading",M24)),"Trading Company",
        ISNUMBER(SEARCH("Al Zaehaan",M24)),"Trading Company",
        ISNUMBER(SEARCH("Ali Abdullah K Al Darwish",M24)),"Airlines",
        ISNUMBER(SEARCH("Bupa Arabia",M24)),"Health Insurance",
        ISNUMBER(SEARCH("Dar Fahoosaat",M24)),"Consultant",
        ISNUMBER(SEARCH("General Authority of Zakat",M24)),"Tax Collection",
        ISNUMBER(SEARCH("Gulf Voyager",M24)),"Travel Agency",
        ISNUMBER(SEARCH("Hopeway Trading",M24)),"Trading Company",
        ISNUMBER(SEARCH("Interhealth Medical",M24)),"Medical Services",
        ISNUMBER(SEARCH("Ishaar",M24)),"Online Payment Service",
        ISNUMBER(SEARCH("ISO Arabia",M24)),"Certification",
        ISNUMBER(SEARCH("Khalid Saad Al Otaibi",M24)),"Trading Company",
        ISNUMBER(SEARCH("MERAS for Decoration",M24)),"Decor Company",
        ISNUMBER(SEARCH("Middle East Customs Clearance",M24)),"Customs",
        ISNUMBER(SEARCH("Ministry of Human Resources",M24)),"Government",
        ISNUMBER(SEARCH("My Business Services",M24)),"Service Provider",
        ISNUMBER(SEARCH("National Water Company",M24)),"Water Company",
        ISNUMBER(SEARCH("Rania Contracting",M24)),"Contracting",
        ISNUMBER(SEARCH("Rashid Ali Sheikh",M24)),"Shareholder",
        ISNUMBER(SEARCH("Sahab United Motors",M24)),"Car Show Room",
        ISNUMBER(SEARCH("Saud Mohammed Al Tamimi",M24)),"Shareholder",
        ISNUMBER(SEARCH("Saud Mohammed Tamimi",M24)),"Shareholder",
        ISNUMBER(SEARCH("Saudi Electric Company",M24)),"Electricity Company",
        ISNUMBER(SEARCH("Saudi Vetonit",M24)),"Building Materials",
        ISNUMBER(SEARCH("Shomoul Eng",M24)),"Safety",
        ISNUMBER(SEARCH("STC",M24)),"Telecom Company",
        ISNUMBER(SEARCH("The General Organization for Social Insurance",M24)),"Social Insurance Agency",
        ISNUMBER(SEARCH("TUV Rheinland",M24)),"Certification",
        ISNUMBER(SEARCH("Al Arabia Ceramic",M24)),"Building Materials",
        ISNUMBER(SEARCH("National Company for Building and Marketing",M24)),"Parent Company",
        ISNUMBER(SEARCH("Athraa Holding",M24)),"Holding Company",
        ISNUMBER(SEARCH("Al Rasan",M24)),"Contracting",
        ISNUMBER(SEARCH("Raboua Al Haid",M24)),"Trading Company",
        ISNUMBER(SEARCH("Al Jazeera Paint",M24)),"Manufacturer",
        ISNUMBER(SEARCH("Rania Works Contracting",M24)),"Contracting",
        ISNUMBER(SEARCH("Bandar Jarallah",M24)),"Trading Establishment",
        ISNUMBER(SEARCH("RS Infratec Saudi",M24)),"Same Company",
        ISNUMBER(SEARCH("Payroll",M24)),"Bank",
        ISNUMBER(SEARCH("Expatriate",M24)),"Government",
        ISNUMBER(SEARCH("Unknown Sender",M24)),"Unknown",
        TRUE,"Unknown"
    ),
    "-"
)</f>
        <v>Travel Agency</v>
      </c>
      <c r="AA24" s="25" t="str" cm="1">
        <f t="array" ref="AA24">_xlfn.IFNA(
    _xlfn.IFS(
        Z24="Lender","Financing",
        Z24="Accounting","Accounting",
        Z24="Shareholder","Individual",
        Z24="Equipment Rental","Equipment Rental",
        Z24="Telecom Company","Telecom",
        Z24="Manufacturer","Manufacturer",
        Z24="Trading Company","Trading And Transport",
        Z24="Trading Establishment","Trading",
        Z24="Airlines","Airlines",
        Z24="Health Insurance","Insurance",
        Z24="Consultant","Consultant",
        Z24="Tax Collection","Government",
        Z24="Travel Agency","Travel Agency",
        Z24="Medical Services","Medical Center",
        Z24="Online Payment Service","Payment Facilitator",
        Z24="Certification","Safety",
        Z24="Decor Company","Design",
        Z24="Customs","Customs",
        Z24="Government","Government",
        Z24="Service Provider","Service Provider",
        Z24="Water Company","Water Company",
        Z24="Contracting","Contracting",
        Z24="Car Show Room","Car Trader",
        Z24="Electricity Company","Electricity Company",
        Z24="Building Materials","Building Materials",
        Z24="Safety","Safety",
        Z24="Social Insurance Agency","Government Fund",
        Z24="Parent Company","Holding Company",
        Z24="Holding Company","Holding Company",
        Z24="Same Company","Construction",
        Z24="Bank","Bank",
        Z24="Unknown","Unknown",
        TRUE,"-"
    ),
    "-"
)</f>
        <v>Travel Agency</v>
      </c>
      <c r="AB24" s="25" t="str">
        <f t="shared" si="1"/>
        <v>-</v>
      </c>
      <c r="AC24" s="25" t="str" cm="1">
        <f t="array" ref="AC24">_xlfn.IFNA(
    _xlfn.IFS(
        Z24="Shareholder","Shareholder",
        Z24="Same Company","Same Company",
        Z24="Bank","Bank",
        Z24="Government","Government",
        Z24="Social Insurance Agency","Government",
        Z24="Parent Company","Customer",
        Z24="Lender","Lender",
        Z24="Unknown","Unknown",
        ISNUMBER(SEARCH("Abdullah Abdulkarim",M24)),"Service Provider",
        ISNUMBER(SEARCH("Abdullah Fahad",M24)),"Service Provider",
        ISNUMBER(SEARCH("Advanced Equipments",M24)),"Supplier",
        ISNUMBER(SEARCH("Al Banuk Sana",M24)),"Supplier",
        ISNUMBER(SEARCH("Al Khaleefa Factory",M24)),"Supplier",
        ISNUMBER(SEARCH("Al Saadeh Trading",M24)),"Supplier",
        ISNUMBER(SEARCH("Al Zaehaan",M24)),"Supplier",
        ISNUMBER(SEARCH("Ali Abdullah K Al Darwish",M24)),"Service Provider",
        ISNUMBER(SEARCH("Bupa Arabia",M24)),"Insurance Company",
        ISNUMBER(SEARCH("Dar Fahoosaat",M24)),"Service Provider",
        ISNUMBER(SEARCH("General Authority of Zakat",M24)),"Tax Authority",
        ISNUMBER(SEARCH("Gulf Voyager",M24)),"Service Provider",
        ISNUMBER(SEARCH("Hopeway Trading",M24)),"Supplier",
        ISNUMBER(SEARCH("Interhealth Medical",M24)),"Customer",
        ISNUMBER(SEARCH("Ishaar",M24)),"Service Provider",
        ISNUMBER(SEARCH("ISO Arabia",M24)),"Service Provider",
        ISNUMBER(SEARCH("Khalid Saad Al Otaibi",M24)),"Supplier",
        ISNUMBER(SEARCH("MERAS for Decoration",M24)),"Supplier",
        ISNUMBER(SEARCH("Middle East Customs Clearance",M24)),"Service Provider",
        ISNUMBER(SEARCH("Ministry of Human Resources",M24)),"Regulatory Agency",
        ISNUMBER(SEARCH("My Business Services",M24)),"Service Provider",
        ISNUMBER(SEARCH("National Water Company",M24)),"Utility Provider",
        ISNUMBER(SEARCH("Rania Contracting",M24)),"Supplier",
        ISNUMBER(SEARCH("Sahab United Motors",M24)),"Supplier",
        ISNUMBER(SEARCH("Saudi Electric Company",M24)),"Utility Provider",
        ISNUMBER(SEARCH("Saudi Vetonit",M24)),"Supplier",
        ISNUMBER(SEARCH("Shomoul Eng",M24)),"Service Provider",
        ISNUMBER(SEARCH("STC",M24)),"Utility Provider",
        ISNUMBER(SEARCH("The General Organization for Social Insurance",M24)),"Social Insurance Agency",
        ISNUMBER(SEARCH("TUV Rheinland",M24)),"Service Provider",
        ISNUMBER(SEARCH("Al Arabia Ceramic",M24)),"Supplier",
        ISNUMBER(SEARCH("National Company for Building",M24)),"Customer",
        ISNUMBER(SEARCH("Athraa Holding",M24)),"Customer",
        ISNUMBER(SEARCH("Al Rasan",M24)),"Supplier",
        ISNUMBER(SEARCH("Raboua Al Haid",M24)),"Customer",
        ISNUMBER(SEARCH("Al Jazeera Paint",M24)),"Supplier",
        ISNUMBER(SEARCH("Rania Works Contracting",M24)),"Supplier",
        ISNUMBER(SEARCH("Bandar Jarallah",M24)),"Supplier",
        TRUE,"Supplier"
    ),
    "-"
)</f>
        <v>Service Provider</v>
      </c>
      <c r="AD24" s="25" t="str" cm="1">
        <f t="array" ref="AD24">_xlfn.IFNA(
    _xlfn.IFS(
        AC24="Same Company","High",
        AC24="Shareholder","High",
        AC24="Government","High",
        AC24="Bank","High",
        AC24="Lender","High",
        AC24="Unknown","Low",
        AC24="-","Low",
        TRUE,"Medium"
    ),
    "-"
)</f>
        <v>Medium</v>
      </c>
      <c r="AE24" s="25" t="str">
        <f t="shared" si="2"/>
        <v>-</v>
      </c>
      <c r="AF24" s="25" t="str" cm="1">
        <f t="array" ref="AF24">_xlfn.IFNA(
    _xlfn.IFS(
        K24="Credit",
            _xlfn.IFS(
                OR(ISNUMBER(SEARCH("Rejected",L24)),ISNUMBER(SEARCH("Returned",L24))),"Other Income",
                TRUE,"Revenue"
            ),
        K24="Debit",
            _xlfn.IFS(
                ISNUMBER(SEARCH("Payroll",L24)),"OPEX",
                ISNUMBER(SEARCH("Expatriate",L24)),"OPEX",
                ISNUMBER(SEARCH("Zakat",M24)),"ZATCA",
                ISNUMBER(SEARCH("General Organization for Social Insurance",M24)),"OPEX",
                ISNUMBER(SEARCH("Saudi Electric",M24)),"OPEX",
                ISNUMBER(SEARCH("STC",M24)),"OPEX",
                ISNUMBER(SEARCH("National Water",M24)),"OPEX",
                ISNUMBER(SEARCH("Bupa",M24)),"OPEX",
                ISNUMBER(SEARCH("Abdullah Abdulkarim",M24)),"OPEX",
                ISNUMBER(SEARCH("Abdullah Fahad",M24)),"OPEX",
                ISNUMBER(SEARCH("ISO Arabia",M24)),"OPEX",
                ISNUMBER(SEARCH("Gulf Voyager",M24)),"OPEX",
                ISNUMBER(SEARCH("Ministry",M24)),"OPEX",
                ISNUMBER(SEARCH("General Authority of Zakat",M24)),"ZATCA",
                ISNUMBER(SEARCH("Rejected",L24)),"Other Income",
                TRUE,"COGS"
            ),
        TRUE,"-"
    ),
    "-"
)</f>
        <v>OPEX</v>
      </c>
      <c r="AG24" s="25" t="str" cm="1">
        <f t="array" ref="AG24">_xlfn.IFNA(
    _xlfn.IFS(
        ISNUMBER(SEARCH("Payroll",L24)),"Payroll",
        ISNUMBER(SEARCH("Expatriate",L24)),"Government Fees",
        ISNUMBER(SEARCH("Zakat",M24)),"Zakat",
        ISNUMBER(SEARCH("Social Insurance",M24)),"Social Insurance",
        ISNUMBER(SEARCH("Saudi Electric",M24)),"Electricity",
        ISNUMBER(SEARCH("STC",M24)),"Telecom",
        ISNUMBER(SEARCH("National Water",M24)),"Water",
        ISNUMBER(SEARCH("Bupa",M24)),"Insurance",
        ISNUMBER(SEARCH("Gulf Voyager",M24)),"Travel",
        ISNUMBER(SEARCH("Ministry",M24)),"Government Fees",
        ISNUMBER(SEARCH("Abdullah Abdulkarim",M24)),"Consulting",
        ISNUMBER(SEARCH("Abdullah Fahad",M24)),"Accounting",
        ISNUMBER(SEARCH("ISO Arabia",M24)),"Consulting",
        ISNUMBER(SEARCH("Rejected",L24)),"Refund",
        AF24="COGS","Inventory Purchase",
        AF24="Revenue","Revenue",
        AF24="OPEX","Other",
        AF24="ZATCA","Zakat",
        TRUE,"-"
    ),
    "-"
)</f>
        <v>Travel</v>
      </c>
      <c r="AH24" s="25" t="str" cm="1">
        <f t="array" ref="AH24">_xlfn.IFNA(
    _xlfn.IFS(
        AF24="-","Low",
        AF24="Other","Low",
        TRUE,"Medium"
    ),
    "-"
)</f>
        <v>Medium</v>
      </c>
      <c r="AI24" s="25" t="str">
        <f t="shared" si="3"/>
        <v>-</v>
      </c>
    </row>
    <row r="25" spans="1:35" x14ac:dyDescent="0.25">
      <c r="A25" s="10">
        <v>2</v>
      </c>
      <c r="B25" s="10" t="s">
        <v>35</v>
      </c>
      <c r="C25" s="10" t="s">
        <v>36</v>
      </c>
      <c r="D25" s="10" t="s">
        <v>37</v>
      </c>
      <c r="E25" s="10" t="s">
        <v>38</v>
      </c>
      <c r="F25" s="10" t="s">
        <v>39</v>
      </c>
      <c r="G25" s="11" t="s">
        <v>40</v>
      </c>
      <c r="H25" s="12">
        <v>44937</v>
      </c>
      <c r="I25" s="20">
        <v>577.55999999999995</v>
      </c>
      <c r="J25" s="20">
        <v>5001.1499999999996</v>
      </c>
      <c r="K25" s="10" t="s">
        <v>41</v>
      </c>
      <c r="L25" s="9" t="s">
        <v>56</v>
      </c>
      <c r="M25" s="9" t="s">
        <v>137</v>
      </c>
      <c r="N25" s="9" t="s">
        <v>138</v>
      </c>
      <c r="O25" s="9" t="s">
        <v>53</v>
      </c>
      <c r="P25" s="15">
        <v>44937</v>
      </c>
      <c r="Q25" s="9" t="s">
        <v>139</v>
      </c>
      <c r="R25" s="16">
        <v>5000</v>
      </c>
      <c r="S25" s="18">
        <v>1</v>
      </c>
      <c r="T25" s="18">
        <v>0.15</v>
      </c>
      <c r="U25" s="9" t="s">
        <v>55</v>
      </c>
      <c r="V25" s="24" t="str" cm="1">
        <f t="array" ref="V25">_xlfn.IFNA(
    _xlfn.IFS(
        ISNUMBER(SEARCH("Fast Outgoing Transfer",L25)),"Transfer",
        ISNUMBER(SEARCH("Incoming Fast Transfer",L25)),"Transfer",
        ISNUMBER(SEARCH("Outgoing International Transfer",L25)),"Transfer",
        ISNUMBER(SEARCH("Bill Payment",L25)),"SADAD",
        ISNUMBER(SEARCH("Payroll",L25)),"Payroll",
        ISNUMBER(SEARCH("Cash Deposit",L25)),"Cash",
        ISNUMBER(SEARCH("Internal Transfer",L25)),"Transfer",
        ISNUMBER(SEARCH("Expatriate Services Payment",L25)),"SADAD",
        ISNUMBER(SEARCH("Rejected",L25)),"Transfer"
    ),
    "-"
)</f>
        <v>Transfer</v>
      </c>
      <c r="W25" s="25" t="str" cm="1">
        <f t="array" ref="W25">_xlfn.IFNA(
    _xlfn.IFS(
        AND(V25="Transfer",ISNUMBER(SEARCH("RIYAD BANK",L25))),"External FI",
        AND(V25="Transfer",ISNUMBER(SEARCH("Al Ahli",L25))),"External FI",
        AND(V25="Transfer",ISNUMBER(SEARCH("CIB via",L25))),"Local Transfer",
        AND(V25="Transfer",ISNUMBER(SEARCH("CIB)",L25))),"Local Transfer",
        AND(V25="Transfer",ISNUMBER(SEARCH("SMRT",L25))),"Local Transfer",
        AND(V25="Transfer",ISNUMBER(SEARCH("Al Murabba",L25))),"Local Transfer",
        AND(V25="Transfer",ISNUMBER(SEARCH("Internal Transfer",L25))),"Same FI",
        AND(V25="Transfer",ISNUMBER(SEARCH("Rejected",L25))),"Failed",
        V25="SADAD",
            _xlfn.IFS(
                ISNUMBER(SEARCH("Expatriate",L25)),"Expat Fees",
                TRUE,"Online Payment"
            ),
        V25="Payroll","Payroll",
        V25="Cash","Deposit",
        TRUE,"-"
    ),
    "-"
)</f>
        <v>Local Transfer</v>
      </c>
      <c r="X25" s="25" t="str" cm="1">
        <f t="array" ref="X25">_xlfn.IFNA(
    _xlfn.IFS(
        V25="-","Low",
        W25="-","Low",
        TRUE,"High"
    ),
    "-"
)</f>
        <v>High</v>
      </c>
      <c r="Y25" s="25" t="str">
        <f t="shared" si="0"/>
        <v>-</v>
      </c>
      <c r="Z25" s="25" t="str" cm="1">
        <f t="array" ref="Z25">_xlfn.IFNA(
    _xlfn.IFS(
        ISNUMBER(SEARCH("Abdul Latif Jameel",M25)),"Lender",
        ISNUMBER(SEARCH("Abdullah Abdulkarim Al Sudais",M25)),"Accounting",
        ISNUMBER(SEARCH("Abdullah Fahad for Accounting",M25)),"Accounting",
        ISNUMBER(SEARCH("Abdullah Rashid Shaikh",M25)),"Shareholder",
        ISNUMBER(SEARCH("Advanced Equipments",M25)),"Equipment Rental",
        ISNUMBER(SEARCH("Al Banuk Sana",M25)),"Telecom Company",
        ISNUMBER(SEARCH("Al Khaleefa Factory",M25)),"Manufacturer",
        ISNUMBER(SEARCH("Al Saadeh Trading",M25)),"Trading Company",
        ISNUMBER(SEARCH("Al Zaehaan",M25)),"Trading Company",
        ISNUMBER(SEARCH("Ali Abdullah K Al Darwish",M25)),"Airlines",
        ISNUMBER(SEARCH("Bupa Arabia",M25)),"Health Insurance",
        ISNUMBER(SEARCH("Dar Fahoosaat",M25)),"Consultant",
        ISNUMBER(SEARCH("General Authority of Zakat",M25)),"Tax Collection",
        ISNUMBER(SEARCH("Gulf Voyager",M25)),"Travel Agency",
        ISNUMBER(SEARCH("Hopeway Trading",M25)),"Trading Company",
        ISNUMBER(SEARCH("Interhealth Medical",M25)),"Medical Services",
        ISNUMBER(SEARCH("Ishaar",M25)),"Online Payment Service",
        ISNUMBER(SEARCH("ISO Arabia",M25)),"Certification",
        ISNUMBER(SEARCH("Khalid Saad Al Otaibi",M25)),"Trading Company",
        ISNUMBER(SEARCH("MERAS for Decoration",M25)),"Decor Company",
        ISNUMBER(SEARCH("Middle East Customs Clearance",M25)),"Customs",
        ISNUMBER(SEARCH("Ministry of Human Resources",M25)),"Government",
        ISNUMBER(SEARCH("My Business Services",M25)),"Service Provider",
        ISNUMBER(SEARCH("National Water Company",M25)),"Water Company",
        ISNUMBER(SEARCH("Rania Contracting",M25)),"Contracting",
        ISNUMBER(SEARCH("Rashid Ali Sheikh",M25)),"Shareholder",
        ISNUMBER(SEARCH("Sahab United Motors",M25)),"Car Show Room",
        ISNUMBER(SEARCH("Saud Mohammed Al Tamimi",M25)),"Shareholder",
        ISNUMBER(SEARCH("Saud Mohammed Tamimi",M25)),"Shareholder",
        ISNUMBER(SEARCH("Saudi Electric Company",M25)),"Electricity Company",
        ISNUMBER(SEARCH("Saudi Vetonit",M25)),"Building Materials",
        ISNUMBER(SEARCH("Shomoul Eng",M25)),"Safety",
        ISNUMBER(SEARCH("STC",M25)),"Telecom Company",
        ISNUMBER(SEARCH("The General Organization for Social Insurance",M25)),"Social Insurance Agency",
        ISNUMBER(SEARCH("TUV Rheinland",M25)),"Certification",
        ISNUMBER(SEARCH("Al Arabia Ceramic",M25)),"Building Materials",
        ISNUMBER(SEARCH("National Company for Building and Marketing",M25)),"Parent Company",
        ISNUMBER(SEARCH("Athraa Holding",M25)),"Holding Company",
        ISNUMBER(SEARCH("Al Rasan",M25)),"Contracting",
        ISNUMBER(SEARCH("Raboua Al Haid",M25)),"Trading Company",
        ISNUMBER(SEARCH("Al Jazeera Paint",M25)),"Manufacturer",
        ISNUMBER(SEARCH("Rania Works Contracting",M25)),"Contracting",
        ISNUMBER(SEARCH("Bandar Jarallah",M25)),"Trading Establishment",
        ISNUMBER(SEARCH("RS Infratec Saudi",M25)),"Same Company",
        ISNUMBER(SEARCH("Payroll",M25)),"Bank",
        ISNUMBER(SEARCH("Expatriate",M25)),"Government",
        ISNUMBER(SEARCH("Unknown Sender",M25)),"Unknown",
        TRUE,"Unknown"
    ),
    "-"
)</f>
        <v>Decor Company</v>
      </c>
      <c r="AA25" s="25" t="str" cm="1">
        <f t="array" ref="AA25">_xlfn.IFNA(
    _xlfn.IFS(
        Z25="Lender","Financing",
        Z25="Accounting","Accounting",
        Z25="Shareholder","Individual",
        Z25="Equipment Rental","Equipment Rental",
        Z25="Telecom Company","Telecom",
        Z25="Manufacturer","Manufacturer",
        Z25="Trading Company","Trading And Transport",
        Z25="Trading Establishment","Trading",
        Z25="Airlines","Airlines",
        Z25="Health Insurance","Insurance",
        Z25="Consultant","Consultant",
        Z25="Tax Collection","Government",
        Z25="Travel Agency","Travel Agency",
        Z25="Medical Services","Medical Center",
        Z25="Online Payment Service","Payment Facilitator",
        Z25="Certification","Safety",
        Z25="Decor Company","Design",
        Z25="Customs","Customs",
        Z25="Government","Government",
        Z25="Service Provider","Service Provider",
        Z25="Water Company","Water Company",
        Z25="Contracting","Contracting",
        Z25="Car Show Room","Car Trader",
        Z25="Electricity Company","Electricity Company",
        Z25="Building Materials","Building Materials",
        Z25="Safety","Safety",
        Z25="Social Insurance Agency","Government Fund",
        Z25="Parent Company","Holding Company",
        Z25="Holding Company","Holding Company",
        Z25="Same Company","Construction",
        Z25="Bank","Bank",
        Z25="Unknown","Unknown",
        TRUE,"-"
    ),
    "-"
)</f>
        <v>Design</v>
      </c>
      <c r="AB25" s="25" t="str">
        <f t="shared" si="1"/>
        <v>-</v>
      </c>
      <c r="AC25" s="25" t="str" cm="1">
        <f t="array" ref="AC25">_xlfn.IFNA(
    _xlfn.IFS(
        Z25="Shareholder","Shareholder",
        Z25="Same Company","Same Company",
        Z25="Bank","Bank",
        Z25="Government","Government",
        Z25="Social Insurance Agency","Government",
        Z25="Parent Company","Customer",
        Z25="Lender","Lender",
        Z25="Unknown","Unknown",
        ISNUMBER(SEARCH("Abdullah Abdulkarim",M25)),"Service Provider",
        ISNUMBER(SEARCH("Abdullah Fahad",M25)),"Service Provider",
        ISNUMBER(SEARCH("Advanced Equipments",M25)),"Supplier",
        ISNUMBER(SEARCH("Al Banuk Sana",M25)),"Supplier",
        ISNUMBER(SEARCH("Al Khaleefa Factory",M25)),"Supplier",
        ISNUMBER(SEARCH("Al Saadeh Trading",M25)),"Supplier",
        ISNUMBER(SEARCH("Al Zaehaan",M25)),"Supplier",
        ISNUMBER(SEARCH("Ali Abdullah K Al Darwish",M25)),"Service Provider",
        ISNUMBER(SEARCH("Bupa Arabia",M25)),"Insurance Company",
        ISNUMBER(SEARCH("Dar Fahoosaat",M25)),"Service Provider",
        ISNUMBER(SEARCH("General Authority of Zakat",M25)),"Tax Authority",
        ISNUMBER(SEARCH("Gulf Voyager",M25)),"Service Provider",
        ISNUMBER(SEARCH("Hopeway Trading",M25)),"Supplier",
        ISNUMBER(SEARCH("Interhealth Medical",M25)),"Customer",
        ISNUMBER(SEARCH("Ishaar",M25)),"Service Provider",
        ISNUMBER(SEARCH("ISO Arabia",M25)),"Service Provider",
        ISNUMBER(SEARCH("Khalid Saad Al Otaibi",M25)),"Supplier",
        ISNUMBER(SEARCH("MERAS for Decoration",M25)),"Supplier",
        ISNUMBER(SEARCH("Middle East Customs Clearance",M25)),"Service Provider",
        ISNUMBER(SEARCH("Ministry of Human Resources",M25)),"Regulatory Agency",
        ISNUMBER(SEARCH("My Business Services",M25)),"Service Provider",
        ISNUMBER(SEARCH("National Water Company",M25)),"Utility Provider",
        ISNUMBER(SEARCH("Rania Contracting",M25)),"Supplier",
        ISNUMBER(SEARCH("Sahab United Motors",M25)),"Supplier",
        ISNUMBER(SEARCH("Saudi Electric Company",M25)),"Utility Provider",
        ISNUMBER(SEARCH("Saudi Vetonit",M25)),"Supplier",
        ISNUMBER(SEARCH("Shomoul Eng",M25)),"Service Provider",
        ISNUMBER(SEARCH("STC",M25)),"Utility Provider",
        ISNUMBER(SEARCH("The General Organization for Social Insurance",M25)),"Social Insurance Agency",
        ISNUMBER(SEARCH("TUV Rheinland",M25)),"Service Provider",
        ISNUMBER(SEARCH("Al Arabia Ceramic",M25)),"Supplier",
        ISNUMBER(SEARCH("National Company for Building",M25)),"Customer",
        ISNUMBER(SEARCH("Athraa Holding",M25)),"Customer",
        ISNUMBER(SEARCH("Al Rasan",M25)),"Supplier",
        ISNUMBER(SEARCH("Raboua Al Haid",M25)),"Customer",
        ISNUMBER(SEARCH("Al Jazeera Paint",M25)),"Supplier",
        ISNUMBER(SEARCH("Rania Works Contracting",M25)),"Supplier",
        ISNUMBER(SEARCH("Bandar Jarallah",M25)),"Supplier",
        TRUE,"Supplier"
    ),
    "-"
)</f>
        <v>Supplier</v>
      </c>
      <c r="AD25" s="25" t="str" cm="1">
        <f t="array" ref="AD25">_xlfn.IFNA(
    _xlfn.IFS(
        AC25="Same Company","High",
        AC25="Shareholder","High",
        AC25="Government","High",
        AC25="Bank","High",
        AC25="Lender","High",
        AC25="Unknown","Low",
        AC25="-","Low",
        TRUE,"Medium"
    ),
    "-"
)</f>
        <v>Medium</v>
      </c>
      <c r="AE25" s="25" t="str">
        <f t="shared" si="2"/>
        <v>-</v>
      </c>
      <c r="AF25" s="25" t="str" cm="1">
        <f t="array" ref="AF25">_xlfn.IFNA(
    _xlfn.IFS(
        K25="Credit",
            _xlfn.IFS(
                OR(ISNUMBER(SEARCH("Rejected",L25)),ISNUMBER(SEARCH("Returned",L25))),"Other Income",
                TRUE,"Revenue"
            ),
        K25="Debit",
            _xlfn.IFS(
                ISNUMBER(SEARCH("Payroll",L25)),"OPEX",
                ISNUMBER(SEARCH("Expatriate",L25)),"OPEX",
                ISNUMBER(SEARCH("Zakat",M25)),"ZATCA",
                ISNUMBER(SEARCH("General Organization for Social Insurance",M25)),"OPEX",
                ISNUMBER(SEARCH("Saudi Electric",M25)),"OPEX",
                ISNUMBER(SEARCH("STC",M25)),"OPEX",
                ISNUMBER(SEARCH("National Water",M25)),"OPEX",
                ISNUMBER(SEARCH("Bupa",M25)),"OPEX",
                ISNUMBER(SEARCH("Abdullah Abdulkarim",M25)),"OPEX",
                ISNUMBER(SEARCH("Abdullah Fahad",M25)),"OPEX",
                ISNUMBER(SEARCH("ISO Arabia",M25)),"OPEX",
                ISNUMBER(SEARCH("Gulf Voyager",M25)),"OPEX",
                ISNUMBER(SEARCH("Ministry",M25)),"OPEX",
                ISNUMBER(SEARCH("General Authority of Zakat",M25)),"ZATCA",
                ISNUMBER(SEARCH("Rejected",L25)),"Other Income",
                TRUE,"COGS"
            ),
        TRUE,"-"
    ),
    "-"
)</f>
        <v>COGS</v>
      </c>
      <c r="AG25" s="25" t="str" cm="1">
        <f t="array" ref="AG25">_xlfn.IFNA(
    _xlfn.IFS(
        ISNUMBER(SEARCH("Payroll",L25)),"Payroll",
        ISNUMBER(SEARCH("Expatriate",L25)),"Government Fees",
        ISNUMBER(SEARCH("Zakat",M25)),"Zakat",
        ISNUMBER(SEARCH("Social Insurance",M25)),"Social Insurance",
        ISNUMBER(SEARCH("Saudi Electric",M25)),"Electricity",
        ISNUMBER(SEARCH("STC",M25)),"Telecom",
        ISNUMBER(SEARCH("National Water",M25)),"Water",
        ISNUMBER(SEARCH("Bupa",M25)),"Insurance",
        ISNUMBER(SEARCH("Gulf Voyager",M25)),"Travel",
        ISNUMBER(SEARCH("Ministry",M25)),"Government Fees",
        ISNUMBER(SEARCH("Abdullah Abdulkarim",M25)),"Consulting",
        ISNUMBER(SEARCH("Abdullah Fahad",M25)),"Accounting",
        ISNUMBER(SEARCH("ISO Arabia",M25)),"Consulting",
        ISNUMBER(SEARCH("Rejected",L25)),"Refund",
        AF25="COGS","Inventory Purchase",
        AF25="Revenue","Revenue",
        AF25="OPEX","Other",
        AF25="ZATCA","Zakat",
        TRUE,"-"
    ),
    "-"
)</f>
        <v>Inventory Purchase</v>
      </c>
      <c r="AH25" s="25" t="str" cm="1">
        <f t="array" ref="AH25">_xlfn.IFNA(
    _xlfn.IFS(
        AF25="-","Low",
        AF25="Other","Low",
        TRUE,"Medium"
    ),
    "-"
)</f>
        <v>Medium</v>
      </c>
      <c r="AI25" s="25" t="str">
        <f t="shared" si="3"/>
        <v>-</v>
      </c>
    </row>
    <row r="26" spans="1:35" x14ac:dyDescent="0.25">
      <c r="A26" s="10">
        <v>2</v>
      </c>
      <c r="B26" s="10" t="s">
        <v>35</v>
      </c>
      <c r="C26" s="10" t="s">
        <v>36</v>
      </c>
      <c r="D26" s="10" t="s">
        <v>37</v>
      </c>
      <c r="E26" s="10" t="s">
        <v>38</v>
      </c>
      <c r="F26" s="11" t="s">
        <v>39</v>
      </c>
      <c r="G26" s="11" t="s">
        <v>40</v>
      </c>
      <c r="H26" s="12">
        <v>44951</v>
      </c>
      <c r="I26" s="20">
        <v>76853.149999999994</v>
      </c>
      <c r="J26" s="20">
        <v>776.15</v>
      </c>
      <c r="K26" s="10" t="s">
        <v>41</v>
      </c>
      <c r="L26" s="9" t="s">
        <v>56</v>
      </c>
      <c r="M26" s="9" t="s">
        <v>137</v>
      </c>
      <c r="N26" s="9" t="s">
        <v>138</v>
      </c>
      <c r="O26" s="9" t="s">
        <v>53</v>
      </c>
      <c r="P26" s="15">
        <v>44951</v>
      </c>
      <c r="Q26" s="9" t="s">
        <v>140</v>
      </c>
      <c r="R26" s="16">
        <v>775</v>
      </c>
      <c r="S26" s="18">
        <v>1</v>
      </c>
      <c r="T26" s="18">
        <v>0.15</v>
      </c>
      <c r="U26" s="9" t="s">
        <v>55</v>
      </c>
      <c r="V26" s="24" t="str" cm="1">
        <f t="array" ref="V26">_xlfn.IFNA(
    _xlfn.IFS(
        ISNUMBER(SEARCH("Fast Outgoing Transfer",L26)),"Transfer",
        ISNUMBER(SEARCH("Incoming Fast Transfer",L26)),"Transfer",
        ISNUMBER(SEARCH("Outgoing International Transfer",L26)),"Transfer",
        ISNUMBER(SEARCH("Bill Payment",L26)),"SADAD",
        ISNUMBER(SEARCH("Payroll",L26)),"Payroll",
        ISNUMBER(SEARCH("Cash Deposit",L26)),"Cash",
        ISNUMBER(SEARCH("Internal Transfer",L26)),"Transfer",
        ISNUMBER(SEARCH("Expatriate Services Payment",L26)),"SADAD",
        ISNUMBER(SEARCH("Rejected",L26)),"Transfer"
    ),
    "-"
)</f>
        <v>Transfer</v>
      </c>
      <c r="W26" s="25" t="str" cm="1">
        <f t="array" ref="W26">_xlfn.IFNA(
    _xlfn.IFS(
        AND(V26="Transfer",ISNUMBER(SEARCH("RIYAD BANK",L26))),"External FI",
        AND(V26="Transfer",ISNUMBER(SEARCH("Al Ahli",L26))),"External FI",
        AND(V26="Transfer",ISNUMBER(SEARCH("CIB via",L26))),"Local Transfer",
        AND(V26="Transfer",ISNUMBER(SEARCH("CIB)",L26))),"Local Transfer",
        AND(V26="Transfer",ISNUMBER(SEARCH("SMRT",L26))),"Local Transfer",
        AND(V26="Transfer",ISNUMBER(SEARCH("Al Murabba",L26))),"Local Transfer",
        AND(V26="Transfer",ISNUMBER(SEARCH("Internal Transfer",L26))),"Same FI",
        AND(V26="Transfer",ISNUMBER(SEARCH("Rejected",L26))),"Failed",
        V26="SADAD",
            _xlfn.IFS(
                ISNUMBER(SEARCH("Expatriate",L26)),"Expat Fees",
                TRUE,"Online Payment"
            ),
        V26="Payroll","Payroll",
        V26="Cash","Deposit",
        TRUE,"-"
    ),
    "-"
)</f>
        <v>Local Transfer</v>
      </c>
      <c r="X26" s="25" t="str" cm="1">
        <f t="array" ref="X26">_xlfn.IFNA(
    _xlfn.IFS(
        V26="-","Low",
        W26="-","Low",
        TRUE,"High"
    ),
    "-"
)</f>
        <v>High</v>
      </c>
      <c r="Y26" s="25" t="str">
        <f t="shared" si="0"/>
        <v>-</v>
      </c>
      <c r="Z26" s="25" t="str" cm="1">
        <f t="array" ref="Z26">_xlfn.IFNA(
    _xlfn.IFS(
        ISNUMBER(SEARCH("Abdul Latif Jameel",M26)),"Lender",
        ISNUMBER(SEARCH("Abdullah Abdulkarim Al Sudais",M26)),"Accounting",
        ISNUMBER(SEARCH("Abdullah Fahad for Accounting",M26)),"Accounting",
        ISNUMBER(SEARCH("Abdullah Rashid Shaikh",M26)),"Shareholder",
        ISNUMBER(SEARCH("Advanced Equipments",M26)),"Equipment Rental",
        ISNUMBER(SEARCH("Al Banuk Sana",M26)),"Telecom Company",
        ISNUMBER(SEARCH("Al Khaleefa Factory",M26)),"Manufacturer",
        ISNUMBER(SEARCH("Al Saadeh Trading",M26)),"Trading Company",
        ISNUMBER(SEARCH("Al Zaehaan",M26)),"Trading Company",
        ISNUMBER(SEARCH("Ali Abdullah K Al Darwish",M26)),"Airlines",
        ISNUMBER(SEARCH("Bupa Arabia",M26)),"Health Insurance",
        ISNUMBER(SEARCH("Dar Fahoosaat",M26)),"Consultant",
        ISNUMBER(SEARCH("General Authority of Zakat",M26)),"Tax Collection",
        ISNUMBER(SEARCH("Gulf Voyager",M26)),"Travel Agency",
        ISNUMBER(SEARCH("Hopeway Trading",M26)),"Trading Company",
        ISNUMBER(SEARCH("Interhealth Medical",M26)),"Medical Services",
        ISNUMBER(SEARCH("Ishaar",M26)),"Online Payment Service",
        ISNUMBER(SEARCH("ISO Arabia",M26)),"Certification",
        ISNUMBER(SEARCH("Khalid Saad Al Otaibi",M26)),"Trading Company",
        ISNUMBER(SEARCH("MERAS for Decoration",M26)),"Decor Company",
        ISNUMBER(SEARCH("Middle East Customs Clearance",M26)),"Customs",
        ISNUMBER(SEARCH("Ministry of Human Resources",M26)),"Government",
        ISNUMBER(SEARCH("My Business Services",M26)),"Service Provider",
        ISNUMBER(SEARCH("National Water Company",M26)),"Water Company",
        ISNUMBER(SEARCH("Rania Contracting",M26)),"Contracting",
        ISNUMBER(SEARCH("Rashid Ali Sheikh",M26)),"Shareholder",
        ISNUMBER(SEARCH("Sahab United Motors",M26)),"Car Show Room",
        ISNUMBER(SEARCH("Saud Mohammed Al Tamimi",M26)),"Shareholder",
        ISNUMBER(SEARCH("Saud Mohammed Tamimi",M26)),"Shareholder",
        ISNUMBER(SEARCH("Saudi Electric Company",M26)),"Electricity Company",
        ISNUMBER(SEARCH("Saudi Vetonit",M26)),"Building Materials",
        ISNUMBER(SEARCH("Shomoul Eng",M26)),"Safety",
        ISNUMBER(SEARCH("STC",M26)),"Telecom Company",
        ISNUMBER(SEARCH("The General Organization for Social Insurance",M26)),"Social Insurance Agency",
        ISNUMBER(SEARCH("TUV Rheinland",M26)),"Certification",
        ISNUMBER(SEARCH("Al Arabia Ceramic",M26)),"Building Materials",
        ISNUMBER(SEARCH("National Company for Building and Marketing",M26)),"Parent Company",
        ISNUMBER(SEARCH("Athraa Holding",M26)),"Holding Company",
        ISNUMBER(SEARCH("Al Rasan",M26)),"Contracting",
        ISNUMBER(SEARCH("Raboua Al Haid",M26)),"Trading Company",
        ISNUMBER(SEARCH("Al Jazeera Paint",M26)),"Manufacturer",
        ISNUMBER(SEARCH("Rania Works Contracting",M26)),"Contracting",
        ISNUMBER(SEARCH("Bandar Jarallah",M26)),"Trading Establishment",
        ISNUMBER(SEARCH("RS Infratec Saudi",M26)),"Same Company",
        ISNUMBER(SEARCH("Payroll",M26)),"Bank",
        ISNUMBER(SEARCH("Expatriate",M26)),"Government",
        ISNUMBER(SEARCH("Unknown Sender",M26)),"Unknown",
        TRUE,"Unknown"
    ),
    "-"
)</f>
        <v>Decor Company</v>
      </c>
      <c r="AA26" s="25" t="str" cm="1">
        <f t="array" ref="AA26">_xlfn.IFNA(
    _xlfn.IFS(
        Z26="Lender","Financing",
        Z26="Accounting","Accounting",
        Z26="Shareholder","Individual",
        Z26="Equipment Rental","Equipment Rental",
        Z26="Telecom Company","Telecom",
        Z26="Manufacturer","Manufacturer",
        Z26="Trading Company","Trading And Transport",
        Z26="Trading Establishment","Trading",
        Z26="Airlines","Airlines",
        Z26="Health Insurance","Insurance",
        Z26="Consultant","Consultant",
        Z26="Tax Collection","Government",
        Z26="Travel Agency","Travel Agency",
        Z26="Medical Services","Medical Center",
        Z26="Online Payment Service","Payment Facilitator",
        Z26="Certification","Safety",
        Z26="Decor Company","Design",
        Z26="Customs","Customs",
        Z26="Government","Government",
        Z26="Service Provider","Service Provider",
        Z26="Water Company","Water Company",
        Z26="Contracting","Contracting",
        Z26="Car Show Room","Car Trader",
        Z26="Electricity Company","Electricity Company",
        Z26="Building Materials","Building Materials",
        Z26="Safety","Safety",
        Z26="Social Insurance Agency","Government Fund",
        Z26="Parent Company","Holding Company",
        Z26="Holding Company","Holding Company",
        Z26="Same Company","Construction",
        Z26="Bank","Bank",
        Z26="Unknown","Unknown",
        TRUE,"-"
    ),
    "-"
)</f>
        <v>Design</v>
      </c>
      <c r="AB26" s="25" t="str">
        <f t="shared" si="1"/>
        <v>-</v>
      </c>
      <c r="AC26" s="25" t="str" cm="1">
        <f t="array" ref="AC26">_xlfn.IFNA(
    _xlfn.IFS(
        Z26="Shareholder","Shareholder",
        Z26="Same Company","Same Company",
        Z26="Bank","Bank",
        Z26="Government","Government",
        Z26="Social Insurance Agency","Government",
        Z26="Parent Company","Customer",
        Z26="Lender","Lender",
        Z26="Unknown","Unknown",
        ISNUMBER(SEARCH("Abdullah Abdulkarim",M26)),"Service Provider",
        ISNUMBER(SEARCH("Abdullah Fahad",M26)),"Service Provider",
        ISNUMBER(SEARCH("Advanced Equipments",M26)),"Supplier",
        ISNUMBER(SEARCH("Al Banuk Sana",M26)),"Supplier",
        ISNUMBER(SEARCH("Al Khaleefa Factory",M26)),"Supplier",
        ISNUMBER(SEARCH("Al Saadeh Trading",M26)),"Supplier",
        ISNUMBER(SEARCH("Al Zaehaan",M26)),"Supplier",
        ISNUMBER(SEARCH("Ali Abdullah K Al Darwish",M26)),"Service Provider",
        ISNUMBER(SEARCH("Bupa Arabia",M26)),"Insurance Company",
        ISNUMBER(SEARCH("Dar Fahoosaat",M26)),"Service Provider",
        ISNUMBER(SEARCH("General Authority of Zakat",M26)),"Tax Authority",
        ISNUMBER(SEARCH("Gulf Voyager",M26)),"Service Provider",
        ISNUMBER(SEARCH("Hopeway Trading",M26)),"Supplier",
        ISNUMBER(SEARCH("Interhealth Medical",M26)),"Customer",
        ISNUMBER(SEARCH("Ishaar",M26)),"Service Provider",
        ISNUMBER(SEARCH("ISO Arabia",M26)),"Service Provider",
        ISNUMBER(SEARCH("Khalid Saad Al Otaibi",M26)),"Supplier",
        ISNUMBER(SEARCH("MERAS for Decoration",M26)),"Supplier",
        ISNUMBER(SEARCH("Middle East Customs Clearance",M26)),"Service Provider",
        ISNUMBER(SEARCH("Ministry of Human Resources",M26)),"Regulatory Agency",
        ISNUMBER(SEARCH("My Business Services",M26)),"Service Provider",
        ISNUMBER(SEARCH("National Water Company",M26)),"Utility Provider",
        ISNUMBER(SEARCH("Rania Contracting",M26)),"Supplier",
        ISNUMBER(SEARCH("Sahab United Motors",M26)),"Supplier",
        ISNUMBER(SEARCH("Saudi Electric Company",M26)),"Utility Provider",
        ISNUMBER(SEARCH("Saudi Vetonit",M26)),"Supplier",
        ISNUMBER(SEARCH("Shomoul Eng",M26)),"Service Provider",
        ISNUMBER(SEARCH("STC",M26)),"Utility Provider",
        ISNUMBER(SEARCH("The General Organization for Social Insurance",M26)),"Social Insurance Agency",
        ISNUMBER(SEARCH("TUV Rheinland",M26)),"Service Provider",
        ISNUMBER(SEARCH("Al Arabia Ceramic",M26)),"Supplier",
        ISNUMBER(SEARCH("National Company for Building",M26)),"Customer",
        ISNUMBER(SEARCH("Athraa Holding",M26)),"Customer",
        ISNUMBER(SEARCH("Al Rasan",M26)),"Supplier",
        ISNUMBER(SEARCH("Raboua Al Haid",M26)),"Customer",
        ISNUMBER(SEARCH("Al Jazeera Paint",M26)),"Supplier",
        ISNUMBER(SEARCH("Rania Works Contracting",M26)),"Supplier",
        ISNUMBER(SEARCH("Bandar Jarallah",M26)),"Supplier",
        TRUE,"Supplier"
    ),
    "-"
)</f>
        <v>Supplier</v>
      </c>
      <c r="AD26" s="25" t="str" cm="1">
        <f t="array" ref="AD26">_xlfn.IFNA(
    _xlfn.IFS(
        AC26="Same Company","High",
        AC26="Shareholder","High",
        AC26="Government","High",
        AC26="Bank","High",
        AC26="Lender","High",
        AC26="Unknown","Low",
        AC26="-","Low",
        TRUE,"Medium"
    ),
    "-"
)</f>
        <v>Medium</v>
      </c>
      <c r="AE26" s="25" t="str">
        <f t="shared" si="2"/>
        <v>-</v>
      </c>
      <c r="AF26" s="25" t="str" cm="1">
        <f t="array" ref="AF26">_xlfn.IFNA(
    _xlfn.IFS(
        K26="Credit",
            _xlfn.IFS(
                OR(ISNUMBER(SEARCH("Rejected",L26)),ISNUMBER(SEARCH("Returned",L26))),"Other Income",
                TRUE,"Revenue"
            ),
        K26="Debit",
            _xlfn.IFS(
                ISNUMBER(SEARCH("Payroll",L26)),"OPEX",
                ISNUMBER(SEARCH("Expatriate",L26)),"OPEX",
                ISNUMBER(SEARCH("Zakat",M26)),"ZATCA",
                ISNUMBER(SEARCH("General Organization for Social Insurance",M26)),"OPEX",
                ISNUMBER(SEARCH("Saudi Electric",M26)),"OPEX",
                ISNUMBER(SEARCH("STC",M26)),"OPEX",
                ISNUMBER(SEARCH("National Water",M26)),"OPEX",
                ISNUMBER(SEARCH("Bupa",M26)),"OPEX",
                ISNUMBER(SEARCH("Abdullah Abdulkarim",M26)),"OPEX",
                ISNUMBER(SEARCH("Abdullah Fahad",M26)),"OPEX",
                ISNUMBER(SEARCH("ISO Arabia",M26)),"OPEX",
                ISNUMBER(SEARCH("Gulf Voyager",M26)),"OPEX",
                ISNUMBER(SEARCH("Ministry",M26)),"OPEX",
                ISNUMBER(SEARCH("General Authority of Zakat",M26)),"ZATCA",
                ISNUMBER(SEARCH("Rejected",L26)),"Other Income",
                TRUE,"COGS"
            ),
        TRUE,"-"
    ),
    "-"
)</f>
        <v>COGS</v>
      </c>
      <c r="AG26" s="25" t="str" cm="1">
        <f t="array" ref="AG26">_xlfn.IFNA(
    _xlfn.IFS(
        ISNUMBER(SEARCH("Payroll",L26)),"Payroll",
        ISNUMBER(SEARCH("Expatriate",L26)),"Government Fees",
        ISNUMBER(SEARCH("Zakat",M26)),"Zakat",
        ISNUMBER(SEARCH("Social Insurance",M26)),"Social Insurance",
        ISNUMBER(SEARCH("Saudi Electric",M26)),"Electricity",
        ISNUMBER(SEARCH("STC",M26)),"Telecom",
        ISNUMBER(SEARCH("National Water",M26)),"Water",
        ISNUMBER(SEARCH("Bupa",M26)),"Insurance",
        ISNUMBER(SEARCH("Gulf Voyager",M26)),"Travel",
        ISNUMBER(SEARCH("Ministry",M26)),"Government Fees",
        ISNUMBER(SEARCH("Abdullah Abdulkarim",M26)),"Consulting",
        ISNUMBER(SEARCH("Abdullah Fahad",M26)),"Accounting",
        ISNUMBER(SEARCH("ISO Arabia",M26)),"Consulting",
        ISNUMBER(SEARCH("Rejected",L26)),"Refund",
        AF26="COGS","Inventory Purchase",
        AF26="Revenue","Revenue",
        AF26="OPEX","Other",
        AF26="ZATCA","Zakat",
        TRUE,"-"
    ),
    "-"
)</f>
        <v>Inventory Purchase</v>
      </c>
      <c r="AH26" s="25" t="str" cm="1">
        <f t="array" ref="AH26">_xlfn.IFNA(
    _xlfn.IFS(
        AF26="-","Low",
        AF26="Other","Low",
        TRUE,"Medium"
    ),
    "-"
)</f>
        <v>Medium</v>
      </c>
      <c r="AI26" s="25" t="str">
        <f t="shared" si="3"/>
        <v>-</v>
      </c>
    </row>
    <row r="27" spans="1:35" x14ac:dyDescent="0.25">
      <c r="A27" s="10">
        <v>2</v>
      </c>
      <c r="B27" s="10" t="s">
        <v>35</v>
      </c>
      <c r="C27" s="10" t="s">
        <v>36</v>
      </c>
      <c r="D27" s="10" t="s">
        <v>37</v>
      </c>
      <c r="E27" s="10" t="s">
        <v>38</v>
      </c>
      <c r="F27" s="11" t="s">
        <v>39</v>
      </c>
      <c r="G27" s="11" t="s">
        <v>40</v>
      </c>
      <c r="H27" s="12">
        <v>45019</v>
      </c>
      <c r="I27" s="20">
        <v>84486.68</v>
      </c>
      <c r="J27" s="20">
        <v>5093.1499999999996</v>
      </c>
      <c r="K27" s="10" t="s">
        <v>41</v>
      </c>
      <c r="L27" s="9" t="s">
        <v>141</v>
      </c>
      <c r="M27" s="9" t="s">
        <v>142</v>
      </c>
      <c r="N27" s="9" t="s">
        <v>143</v>
      </c>
      <c r="O27" s="9" t="s">
        <v>114</v>
      </c>
      <c r="P27" s="15">
        <v>45019</v>
      </c>
      <c r="Q27" s="9" t="s">
        <v>144</v>
      </c>
      <c r="R27" s="16">
        <v>5092</v>
      </c>
      <c r="S27" s="18">
        <v>1</v>
      </c>
      <c r="T27" s="18">
        <v>0.15</v>
      </c>
      <c r="U27" s="9" t="s">
        <v>55</v>
      </c>
      <c r="V27" s="24" t="str" cm="1">
        <f t="array" ref="V27">_xlfn.IFNA(
    _xlfn.IFS(
        ISNUMBER(SEARCH("Fast Outgoing Transfer",L27)),"Transfer",
        ISNUMBER(SEARCH("Incoming Fast Transfer",L27)),"Transfer",
        ISNUMBER(SEARCH("Outgoing International Transfer",L27)),"Transfer",
        ISNUMBER(SEARCH("Bill Payment",L27)),"SADAD",
        ISNUMBER(SEARCH("Payroll",L27)),"Payroll",
        ISNUMBER(SEARCH("Cash Deposit",L27)),"Cash",
        ISNUMBER(SEARCH("Internal Transfer",L27)),"Transfer",
        ISNUMBER(SEARCH("Expatriate Services Payment",L27)),"SADAD",
        ISNUMBER(SEARCH("Rejected",L27)),"Transfer"
    ),
    "-"
)</f>
        <v>Transfer</v>
      </c>
      <c r="W27" s="25" t="str" cm="1">
        <f t="array" ref="W27">_xlfn.IFNA(
    _xlfn.IFS(
        AND(V27="Transfer",ISNUMBER(SEARCH("RIYAD BANK",L27))),"External FI",
        AND(V27="Transfer",ISNUMBER(SEARCH("Al Ahli",L27))),"External FI",
        AND(V27="Transfer",ISNUMBER(SEARCH("CIB via",L27))),"Local Transfer",
        AND(V27="Transfer",ISNUMBER(SEARCH("CIB)",L27))),"Local Transfer",
        AND(V27="Transfer",ISNUMBER(SEARCH("SMRT",L27))),"Local Transfer",
        AND(V27="Transfer",ISNUMBER(SEARCH("Al Murabba",L27))),"Local Transfer",
        AND(V27="Transfer",ISNUMBER(SEARCH("Internal Transfer",L27))),"Same FI",
        AND(V27="Transfer",ISNUMBER(SEARCH("Rejected",L27))),"Failed",
        V27="SADAD",
            _xlfn.IFS(
                ISNUMBER(SEARCH("Expatriate",L27)),"Expat Fees",
                TRUE,"Online Payment"
            ),
        V27="Payroll","Payroll",
        V27="Cash","Deposit",
        TRUE,"-"
    ),
    "-"
)</f>
        <v>Local Transfer</v>
      </c>
      <c r="X27" s="25" t="str" cm="1">
        <f t="array" ref="X27">_xlfn.IFNA(
    _xlfn.IFS(
        V27="-","Low",
        W27="-","Low",
        TRUE,"High"
    ),
    "-"
)</f>
        <v>High</v>
      </c>
      <c r="Y27" s="25" t="str">
        <f t="shared" si="0"/>
        <v>-</v>
      </c>
      <c r="Z27" s="25" t="str" cm="1">
        <f t="array" ref="Z27">_xlfn.IFNA(
    _xlfn.IFS(
        ISNUMBER(SEARCH("Abdul Latif Jameel",M27)),"Lender",
        ISNUMBER(SEARCH("Abdullah Abdulkarim Al Sudais",M27)),"Accounting",
        ISNUMBER(SEARCH("Abdullah Fahad for Accounting",M27)),"Accounting",
        ISNUMBER(SEARCH("Abdullah Rashid Shaikh",M27)),"Shareholder",
        ISNUMBER(SEARCH("Advanced Equipments",M27)),"Equipment Rental",
        ISNUMBER(SEARCH("Al Banuk Sana",M27)),"Telecom Company",
        ISNUMBER(SEARCH("Al Khaleefa Factory",M27)),"Manufacturer",
        ISNUMBER(SEARCH("Al Saadeh Trading",M27)),"Trading Company",
        ISNUMBER(SEARCH("Al Zaehaan",M27)),"Trading Company",
        ISNUMBER(SEARCH("Ali Abdullah K Al Darwish",M27)),"Airlines",
        ISNUMBER(SEARCH("Bupa Arabia",M27)),"Health Insurance",
        ISNUMBER(SEARCH("Dar Fahoosaat",M27)),"Consultant",
        ISNUMBER(SEARCH("General Authority of Zakat",M27)),"Tax Collection",
        ISNUMBER(SEARCH("Gulf Voyager",M27)),"Travel Agency",
        ISNUMBER(SEARCH("Hopeway Trading",M27)),"Trading Company",
        ISNUMBER(SEARCH("Interhealth Medical",M27)),"Medical Services",
        ISNUMBER(SEARCH("Ishaar",M27)),"Online Payment Service",
        ISNUMBER(SEARCH("ISO Arabia",M27)),"Certification",
        ISNUMBER(SEARCH("Khalid Saad Al Otaibi",M27)),"Trading Company",
        ISNUMBER(SEARCH("MERAS for Decoration",M27)),"Decor Company",
        ISNUMBER(SEARCH("Middle East Customs Clearance",M27)),"Customs",
        ISNUMBER(SEARCH("Ministry of Human Resources",M27)),"Government",
        ISNUMBER(SEARCH("My Business Services",M27)),"Service Provider",
        ISNUMBER(SEARCH("National Water Company",M27)),"Water Company",
        ISNUMBER(SEARCH("Rania Contracting",M27)),"Contracting",
        ISNUMBER(SEARCH("Rashid Ali Sheikh",M27)),"Shareholder",
        ISNUMBER(SEARCH("Sahab United Motors",M27)),"Car Show Room",
        ISNUMBER(SEARCH("Saud Mohammed Al Tamimi",M27)),"Shareholder",
        ISNUMBER(SEARCH("Saud Mohammed Tamimi",M27)),"Shareholder",
        ISNUMBER(SEARCH("Saudi Electric Company",M27)),"Electricity Company",
        ISNUMBER(SEARCH("Saudi Vetonit",M27)),"Building Materials",
        ISNUMBER(SEARCH("Shomoul Eng",M27)),"Safety",
        ISNUMBER(SEARCH("STC",M27)),"Telecom Company",
        ISNUMBER(SEARCH("The General Organization for Social Insurance",M27)),"Social Insurance Agency",
        ISNUMBER(SEARCH("TUV Rheinland",M27)),"Certification",
        ISNUMBER(SEARCH("Al Arabia Ceramic",M27)),"Building Materials",
        ISNUMBER(SEARCH("National Company for Building and Marketing",M27)),"Parent Company",
        ISNUMBER(SEARCH("Athraa Holding",M27)),"Holding Company",
        ISNUMBER(SEARCH("Al Rasan",M27)),"Contracting",
        ISNUMBER(SEARCH("Raboua Al Haid",M27)),"Trading Company",
        ISNUMBER(SEARCH("Al Jazeera Paint",M27)),"Manufacturer",
        ISNUMBER(SEARCH("Rania Works Contracting",M27)),"Contracting",
        ISNUMBER(SEARCH("Bandar Jarallah",M27)),"Trading Establishment",
        ISNUMBER(SEARCH("RS Infratec Saudi",M27)),"Same Company",
        ISNUMBER(SEARCH("Payroll",M27)),"Bank",
        ISNUMBER(SEARCH("Expatriate",M27)),"Government",
        ISNUMBER(SEARCH("Unknown Sender",M27)),"Unknown",
        TRUE,"Unknown"
    ),
    "-"
)</f>
        <v>Customs</v>
      </c>
      <c r="AA27" s="25" t="str" cm="1">
        <f t="array" ref="AA27">_xlfn.IFNA(
    _xlfn.IFS(
        Z27="Lender","Financing",
        Z27="Accounting","Accounting",
        Z27="Shareholder","Individual",
        Z27="Equipment Rental","Equipment Rental",
        Z27="Telecom Company","Telecom",
        Z27="Manufacturer","Manufacturer",
        Z27="Trading Company","Trading And Transport",
        Z27="Trading Establishment","Trading",
        Z27="Airlines","Airlines",
        Z27="Health Insurance","Insurance",
        Z27="Consultant","Consultant",
        Z27="Tax Collection","Government",
        Z27="Travel Agency","Travel Agency",
        Z27="Medical Services","Medical Center",
        Z27="Online Payment Service","Payment Facilitator",
        Z27="Certification","Safety",
        Z27="Decor Company","Design",
        Z27="Customs","Customs",
        Z27="Government","Government",
        Z27="Service Provider","Service Provider",
        Z27="Water Company","Water Company",
        Z27="Contracting","Contracting",
        Z27="Car Show Room","Car Trader",
        Z27="Electricity Company","Electricity Company",
        Z27="Building Materials","Building Materials",
        Z27="Safety","Safety",
        Z27="Social Insurance Agency","Government Fund",
        Z27="Parent Company","Holding Company",
        Z27="Holding Company","Holding Company",
        Z27="Same Company","Construction",
        Z27="Bank","Bank",
        Z27="Unknown","Unknown",
        TRUE,"-"
    ),
    "-"
)</f>
        <v>Customs</v>
      </c>
      <c r="AB27" s="25" t="str">
        <f t="shared" si="1"/>
        <v>-</v>
      </c>
      <c r="AC27" s="25" t="str" cm="1">
        <f t="array" ref="AC27">_xlfn.IFNA(
    _xlfn.IFS(
        Z27="Shareholder","Shareholder",
        Z27="Same Company","Same Company",
        Z27="Bank","Bank",
        Z27="Government","Government",
        Z27="Social Insurance Agency","Government",
        Z27="Parent Company","Customer",
        Z27="Lender","Lender",
        Z27="Unknown","Unknown",
        ISNUMBER(SEARCH("Abdullah Abdulkarim",M27)),"Service Provider",
        ISNUMBER(SEARCH("Abdullah Fahad",M27)),"Service Provider",
        ISNUMBER(SEARCH("Advanced Equipments",M27)),"Supplier",
        ISNUMBER(SEARCH("Al Banuk Sana",M27)),"Supplier",
        ISNUMBER(SEARCH("Al Khaleefa Factory",M27)),"Supplier",
        ISNUMBER(SEARCH("Al Saadeh Trading",M27)),"Supplier",
        ISNUMBER(SEARCH("Al Zaehaan",M27)),"Supplier",
        ISNUMBER(SEARCH("Ali Abdullah K Al Darwish",M27)),"Service Provider",
        ISNUMBER(SEARCH("Bupa Arabia",M27)),"Insurance Company",
        ISNUMBER(SEARCH("Dar Fahoosaat",M27)),"Service Provider",
        ISNUMBER(SEARCH("General Authority of Zakat",M27)),"Tax Authority",
        ISNUMBER(SEARCH("Gulf Voyager",M27)),"Service Provider",
        ISNUMBER(SEARCH("Hopeway Trading",M27)),"Supplier",
        ISNUMBER(SEARCH("Interhealth Medical",M27)),"Customer",
        ISNUMBER(SEARCH("Ishaar",M27)),"Service Provider",
        ISNUMBER(SEARCH("ISO Arabia",M27)),"Service Provider",
        ISNUMBER(SEARCH("Khalid Saad Al Otaibi",M27)),"Supplier",
        ISNUMBER(SEARCH("MERAS for Decoration",M27)),"Supplier",
        ISNUMBER(SEARCH("Middle East Customs Clearance",M27)),"Service Provider",
        ISNUMBER(SEARCH("Ministry of Human Resources",M27)),"Regulatory Agency",
        ISNUMBER(SEARCH("My Business Services",M27)),"Service Provider",
        ISNUMBER(SEARCH("National Water Company",M27)),"Utility Provider",
        ISNUMBER(SEARCH("Rania Contracting",M27)),"Supplier",
        ISNUMBER(SEARCH("Sahab United Motors",M27)),"Supplier",
        ISNUMBER(SEARCH("Saudi Electric Company",M27)),"Utility Provider",
        ISNUMBER(SEARCH("Saudi Vetonit",M27)),"Supplier",
        ISNUMBER(SEARCH("Shomoul Eng",M27)),"Service Provider",
        ISNUMBER(SEARCH("STC",M27)),"Utility Provider",
        ISNUMBER(SEARCH("The General Organization for Social Insurance",M27)),"Social Insurance Agency",
        ISNUMBER(SEARCH("TUV Rheinland",M27)),"Service Provider",
        ISNUMBER(SEARCH("Al Arabia Ceramic",M27)),"Supplier",
        ISNUMBER(SEARCH("National Company for Building",M27)),"Customer",
        ISNUMBER(SEARCH("Athraa Holding",M27)),"Customer",
        ISNUMBER(SEARCH("Al Rasan",M27)),"Supplier",
        ISNUMBER(SEARCH("Raboua Al Haid",M27)),"Customer",
        ISNUMBER(SEARCH("Al Jazeera Paint",M27)),"Supplier",
        ISNUMBER(SEARCH("Rania Works Contracting",M27)),"Supplier",
        ISNUMBER(SEARCH("Bandar Jarallah",M27)),"Supplier",
        TRUE,"Supplier"
    ),
    "-"
)</f>
        <v>Service Provider</v>
      </c>
      <c r="AD27" s="25" t="str" cm="1">
        <f t="array" ref="AD27">_xlfn.IFNA(
    _xlfn.IFS(
        AC27="Same Company","High",
        AC27="Shareholder","High",
        AC27="Government","High",
        AC27="Bank","High",
        AC27="Lender","High",
        AC27="Unknown","Low",
        AC27="-","Low",
        TRUE,"Medium"
    ),
    "-"
)</f>
        <v>Medium</v>
      </c>
      <c r="AE27" s="25" t="str">
        <f t="shared" si="2"/>
        <v>-</v>
      </c>
      <c r="AF27" s="25" t="str" cm="1">
        <f t="array" ref="AF27">_xlfn.IFNA(
    _xlfn.IFS(
        K27="Credit",
            _xlfn.IFS(
                OR(ISNUMBER(SEARCH("Rejected",L27)),ISNUMBER(SEARCH("Returned",L27))),"Other Income",
                TRUE,"Revenue"
            ),
        K27="Debit",
            _xlfn.IFS(
                ISNUMBER(SEARCH("Payroll",L27)),"OPEX",
                ISNUMBER(SEARCH("Expatriate",L27)),"OPEX",
                ISNUMBER(SEARCH("Zakat",M27)),"ZATCA",
                ISNUMBER(SEARCH("General Organization for Social Insurance",M27)),"OPEX",
                ISNUMBER(SEARCH("Saudi Electric",M27)),"OPEX",
                ISNUMBER(SEARCH("STC",M27)),"OPEX",
                ISNUMBER(SEARCH("National Water",M27)),"OPEX",
                ISNUMBER(SEARCH("Bupa",M27)),"OPEX",
                ISNUMBER(SEARCH("Abdullah Abdulkarim",M27)),"OPEX",
                ISNUMBER(SEARCH("Abdullah Fahad",M27)),"OPEX",
                ISNUMBER(SEARCH("ISO Arabia",M27)),"OPEX",
                ISNUMBER(SEARCH("Gulf Voyager",M27)),"OPEX",
                ISNUMBER(SEARCH("Ministry",M27)),"OPEX",
                ISNUMBER(SEARCH("General Authority of Zakat",M27)),"ZATCA",
                ISNUMBER(SEARCH("Rejected",L27)),"Other Income",
                TRUE,"COGS"
            ),
        TRUE,"-"
    ),
    "-"
)</f>
        <v>COGS</v>
      </c>
      <c r="AG27" s="25" t="str" cm="1">
        <f t="array" ref="AG27">_xlfn.IFNA(
    _xlfn.IFS(
        ISNUMBER(SEARCH("Payroll",L27)),"Payroll",
        ISNUMBER(SEARCH("Expatriate",L27)),"Government Fees",
        ISNUMBER(SEARCH("Zakat",M27)),"Zakat",
        ISNUMBER(SEARCH("Social Insurance",M27)),"Social Insurance",
        ISNUMBER(SEARCH("Saudi Electric",M27)),"Electricity",
        ISNUMBER(SEARCH("STC",M27)),"Telecom",
        ISNUMBER(SEARCH("National Water",M27)),"Water",
        ISNUMBER(SEARCH("Bupa",M27)),"Insurance",
        ISNUMBER(SEARCH("Gulf Voyager",M27)),"Travel",
        ISNUMBER(SEARCH("Ministry",M27)),"Government Fees",
        ISNUMBER(SEARCH("Abdullah Abdulkarim",M27)),"Consulting",
        ISNUMBER(SEARCH("Abdullah Fahad",M27)),"Accounting",
        ISNUMBER(SEARCH("ISO Arabia",M27)),"Consulting",
        ISNUMBER(SEARCH("Rejected",L27)),"Refund",
        AF27="COGS","Inventory Purchase",
        AF27="Revenue","Revenue",
        AF27="OPEX","Other",
        AF27="ZATCA","Zakat",
        TRUE,"-"
    ),
    "-"
)</f>
        <v>Inventory Purchase</v>
      </c>
      <c r="AH27" s="25" t="str" cm="1">
        <f t="array" ref="AH27">_xlfn.IFNA(
    _xlfn.IFS(
        AF27="-","Low",
        AF27="Other","Low",
        TRUE,"Medium"
    ),
    "-"
)</f>
        <v>Medium</v>
      </c>
      <c r="AI27" s="25" t="str">
        <f t="shared" si="3"/>
        <v>-</v>
      </c>
    </row>
    <row r="28" spans="1:35" x14ac:dyDescent="0.25">
      <c r="A28" s="10">
        <v>2</v>
      </c>
      <c r="B28" s="10" t="s">
        <v>35</v>
      </c>
      <c r="C28" s="10" t="s">
        <v>36</v>
      </c>
      <c r="D28" s="10" t="s">
        <v>37</v>
      </c>
      <c r="E28" s="10" t="s">
        <v>38</v>
      </c>
      <c r="F28" s="11" t="s">
        <v>39</v>
      </c>
      <c r="G28" s="11" t="s">
        <v>40</v>
      </c>
      <c r="H28" s="12">
        <v>45026</v>
      </c>
      <c r="I28" s="20">
        <v>23737.919999999998</v>
      </c>
      <c r="J28" s="20">
        <v>5093.1499999999996</v>
      </c>
      <c r="K28" s="10" t="s">
        <v>41</v>
      </c>
      <c r="L28" s="9" t="s">
        <v>56</v>
      </c>
      <c r="M28" s="9" t="s">
        <v>142</v>
      </c>
      <c r="N28" s="9" t="s">
        <v>145</v>
      </c>
      <c r="O28" s="9" t="s">
        <v>59</v>
      </c>
      <c r="P28" s="15">
        <v>45026</v>
      </c>
      <c r="Q28" s="9" t="s">
        <v>146</v>
      </c>
      <c r="R28" s="16">
        <v>5092</v>
      </c>
      <c r="S28" s="18">
        <v>1</v>
      </c>
      <c r="T28" s="18">
        <v>0.15</v>
      </c>
      <c r="U28" s="9" t="s">
        <v>55</v>
      </c>
      <c r="V28" s="24" t="str" cm="1">
        <f t="array" ref="V28">_xlfn.IFNA(
    _xlfn.IFS(
        ISNUMBER(SEARCH("Fast Outgoing Transfer",L28)),"Transfer",
        ISNUMBER(SEARCH("Incoming Fast Transfer",L28)),"Transfer",
        ISNUMBER(SEARCH("Outgoing International Transfer",L28)),"Transfer",
        ISNUMBER(SEARCH("Bill Payment",L28)),"SADAD",
        ISNUMBER(SEARCH("Payroll",L28)),"Payroll",
        ISNUMBER(SEARCH("Cash Deposit",L28)),"Cash",
        ISNUMBER(SEARCH("Internal Transfer",L28)),"Transfer",
        ISNUMBER(SEARCH("Expatriate Services Payment",L28)),"SADAD",
        ISNUMBER(SEARCH("Rejected",L28)),"Transfer"
    ),
    "-"
)</f>
        <v>Transfer</v>
      </c>
      <c r="W28" s="25" t="str" cm="1">
        <f t="array" ref="W28">_xlfn.IFNA(
    _xlfn.IFS(
        AND(V28="Transfer",ISNUMBER(SEARCH("RIYAD BANK",L28))),"External FI",
        AND(V28="Transfer",ISNUMBER(SEARCH("Al Ahli",L28))),"External FI",
        AND(V28="Transfer",ISNUMBER(SEARCH("CIB via",L28))),"Local Transfer",
        AND(V28="Transfer",ISNUMBER(SEARCH("CIB)",L28))),"Local Transfer",
        AND(V28="Transfer",ISNUMBER(SEARCH("SMRT",L28))),"Local Transfer",
        AND(V28="Transfer",ISNUMBER(SEARCH("Al Murabba",L28))),"Local Transfer",
        AND(V28="Transfer",ISNUMBER(SEARCH("Internal Transfer",L28))),"Same FI",
        AND(V28="Transfer",ISNUMBER(SEARCH("Rejected",L28))),"Failed",
        V28="SADAD",
            _xlfn.IFS(
                ISNUMBER(SEARCH("Expatriate",L28)),"Expat Fees",
                TRUE,"Online Payment"
            ),
        V28="Payroll","Payroll",
        V28="Cash","Deposit",
        TRUE,"-"
    ),
    "-"
)</f>
        <v>Local Transfer</v>
      </c>
      <c r="X28" s="25" t="str" cm="1">
        <f t="array" ref="X28">_xlfn.IFNA(
    _xlfn.IFS(
        V28="-","Low",
        W28="-","Low",
        TRUE,"High"
    ),
    "-"
)</f>
        <v>High</v>
      </c>
      <c r="Y28" s="25" t="str">
        <f t="shared" si="0"/>
        <v>-</v>
      </c>
      <c r="Z28" s="25" t="str" cm="1">
        <f t="array" ref="Z28">_xlfn.IFNA(
    _xlfn.IFS(
        ISNUMBER(SEARCH("Abdul Latif Jameel",M28)),"Lender",
        ISNUMBER(SEARCH("Abdullah Abdulkarim Al Sudais",M28)),"Accounting",
        ISNUMBER(SEARCH("Abdullah Fahad for Accounting",M28)),"Accounting",
        ISNUMBER(SEARCH("Abdullah Rashid Shaikh",M28)),"Shareholder",
        ISNUMBER(SEARCH("Advanced Equipments",M28)),"Equipment Rental",
        ISNUMBER(SEARCH("Al Banuk Sana",M28)),"Telecom Company",
        ISNUMBER(SEARCH("Al Khaleefa Factory",M28)),"Manufacturer",
        ISNUMBER(SEARCH("Al Saadeh Trading",M28)),"Trading Company",
        ISNUMBER(SEARCH("Al Zaehaan",M28)),"Trading Company",
        ISNUMBER(SEARCH("Ali Abdullah K Al Darwish",M28)),"Airlines",
        ISNUMBER(SEARCH("Bupa Arabia",M28)),"Health Insurance",
        ISNUMBER(SEARCH("Dar Fahoosaat",M28)),"Consultant",
        ISNUMBER(SEARCH("General Authority of Zakat",M28)),"Tax Collection",
        ISNUMBER(SEARCH("Gulf Voyager",M28)),"Travel Agency",
        ISNUMBER(SEARCH("Hopeway Trading",M28)),"Trading Company",
        ISNUMBER(SEARCH("Interhealth Medical",M28)),"Medical Services",
        ISNUMBER(SEARCH("Ishaar",M28)),"Online Payment Service",
        ISNUMBER(SEARCH("ISO Arabia",M28)),"Certification",
        ISNUMBER(SEARCH("Khalid Saad Al Otaibi",M28)),"Trading Company",
        ISNUMBER(SEARCH("MERAS for Decoration",M28)),"Decor Company",
        ISNUMBER(SEARCH("Middle East Customs Clearance",M28)),"Customs",
        ISNUMBER(SEARCH("Ministry of Human Resources",M28)),"Government",
        ISNUMBER(SEARCH("My Business Services",M28)),"Service Provider",
        ISNUMBER(SEARCH("National Water Company",M28)),"Water Company",
        ISNUMBER(SEARCH("Rania Contracting",M28)),"Contracting",
        ISNUMBER(SEARCH("Rashid Ali Sheikh",M28)),"Shareholder",
        ISNUMBER(SEARCH("Sahab United Motors",M28)),"Car Show Room",
        ISNUMBER(SEARCH("Saud Mohammed Al Tamimi",M28)),"Shareholder",
        ISNUMBER(SEARCH("Saud Mohammed Tamimi",M28)),"Shareholder",
        ISNUMBER(SEARCH("Saudi Electric Company",M28)),"Electricity Company",
        ISNUMBER(SEARCH("Saudi Vetonit",M28)),"Building Materials",
        ISNUMBER(SEARCH("Shomoul Eng",M28)),"Safety",
        ISNUMBER(SEARCH("STC",M28)),"Telecom Company",
        ISNUMBER(SEARCH("The General Organization for Social Insurance",M28)),"Social Insurance Agency",
        ISNUMBER(SEARCH("TUV Rheinland",M28)),"Certification",
        ISNUMBER(SEARCH("Al Arabia Ceramic",M28)),"Building Materials",
        ISNUMBER(SEARCH("National Company for Building and Marketing",M28)),"Parent Company",
        ISNUMBER(SEARCH("Athraa Holding",M28)),"Holding Company",
        ISNUMBER(SEARCH("Al Rasan",M28)),"Contracting",
        ISNUMBER(SEARCH("Raboua Al Haid",M28)),"Trading Company",
        ISNUMBER(SEARCH("Al Jazeera Paint",M28)),"Manufacturer",
        ISNUMBER(SEARCH("Rania Works Contracting",M28)),"Contracting",
        ISNUMBER(SEARCH("Bandar Jarallah",M28)),"Trading Establishment",
        ISNUMBER(SEARCH("RS Infratec Saudi",M28)),"Same Company",
        ISNUMBER(SEARCH("Payroll",M28)),"Bank",
        ISNUMBER(SEARCH("Expatriate",M28)),"Government",
        ISNUMBER(SEARCH("Unknown Sender",M28)),"Unknown",
        TRUE,"Unknown"
    ),
    "-"
)</f>
        <v>Customs</v>
      </c>
      <c r="AA28" s="25" t="str" cm="1">
        <f t="array" ref="AA28">_xlfn.IFNA(
    _xlfn.IFS(
        Z28="Lender","Financing",
        Z28="Accounting","Accounting",
        Z28="Shareholder","Individual",
        Z28="Equipment Rental","Equipment Rental",
        Z28="Telecom Company","Telecom",
        Z28="Manufacturer","Manufacturer",
        Z28="Trading Company","Trading And Transport",
        Z28="Trading Establishment","Trading",
        Z28="Airlines","Airlines",
        Z28="Health Insurance","Insurance",
        Z28="Consultant","Consultant",
        Z28="Tax Collection","Government",
        Z28="Travel Agency","Travel Agency",
        Z28="Medical Services","Medical Center",
        Z28="Online Payment Service","Payment Facilitator",
        Z28="Certification","Safety",
        Z28="Decor Company","Design",
        Z28="Customs","Customs",
        Z28="Government","Government",
        Z28="Service Provider","Service Provider",
        Z28="Water Company","Water Company",
        Z28="Contracting","Contracting",
        Z28="Car Show Room","Car Trader",
        Z28="Electricity Company","Electricity Company",
        Z28="Building Materials","Building Materials",
        Z28="Safety","Safety",
        Z28="Social Insurance Agency","Government Fund",
        Z28="Parent Company","Holding Company",
        Z28="Holding Company","Holding Company",
        Z28="Same Company","Construction",
        Z28="Bank","Bank",
        Z28="Unknown","Unknown",
        TRUE,"-"
    ),
    "-"
)</f>
        <v>Customs</v>
      </c>
      <c r="AB28" s="25" t="str">
        <f t="shared" si="1"/>
        <v>-</v>
      </c>
      <c r="AC28" s="25" t="str" cm="1">
        <f t="array" ref="AC28">_xlfn.IFNA(
    _xlfn.IFS(
        Z28="Shareholder","Shareholder",
        Z28="Same Company","Same Company",
        Z28="Bank","Bank",
        Z28="Government","Government",
        Z28="Social Insurance Agency","Government",
        Z28="Parent Company","Customer",
        Z28="Lender","Lender",
        Z28="Unknown","Unknown",
        ISNUMBER(SEARCH("Abdullah Abdulkarim",M28)),"Service Provider",
        ISNUMBER(SEARCH("Abdullah Fahad",M28)),"Service Provider",
        ISNUMBER(SEARCH("Advanced Equipments",M28)),"Supplier",
        ISNUMBER(SEARCH("Al Banuk Sana",M28)),"Supplier",
        ISNUMBER(SEARCH("Al Khaleefa Factory",M28)),"Supplier",
        ISNUMBER(SEARCH("Al Saadeh Trading",M28)),"Supplier",
        ISNUMBER(SEARCH("Al Zaehaan",M28)),"Supplier",
        ISNUMBER(SEARCH("Ali Abdullah K Al Darwish",M28)),"Service Provider",
        ISNUMBER(SEARCH("Bupa Arabia",M28)),"Insurance Company",
        ISNUMBER(SEARCH("Dar Fahoosaat",M28)),"Service Provider",
        ISNUMBER(SEARCH("General Authority of Zakat",M28)),"Tax Authority",
        ISNUMBER(SEARCH("Gulf Voyager",M28)),"Service Provider",
        ISNUMBER(SEARCH("Hopeway Trading",M28)),"Supplier",
        ISNUMBER(SEARCH("Interhealth Medical",M28)),"Customer",
        ISNUMBER(SEARCH("Ishaar",M28)),"Service Provider",
        ISNUMBER(SEARCH("ISO Arabia",M28)),"Service Provider",
        ISNUMBER(SEARCH("Khalid Saad Al Otaibi",M28)),"Supplier",
        ISNUMBER(SEARCH("MERAS for Decoration",M28)),"Supplier",
        ISNUMBER(SEARCH("Middle East Customs Clearance",M28)),"Service Provider",
        ISNUMBER(SEARCH("Ministry of Human Resources",M28)),"Regulatory Agency",
        ISNUMBER(SEARCH("My Business Services",M28)),"Service Provider",
        ISNUMBER(SEARCH("National Water Company",M28)),"Utility Provider",
        ISNUMBER(SEARCH("Rania Contracting",M28)),"Supplier",
        ISNUMBER(SEARCH("Sahab United Motors",M28)),"Supplier",
        ISNUMBER(SEARCH("Saudi Electric Company",M28)),"Utility Provider",
        ISNUMBER(SEARCH("Saudi Vetonit",M28)),"Supplier",
        ISNUMBER(SEARCH("Shomoul Eng",M28)),"Service Provider",
        ISNUMBER(SEARCH("STC",M28)),"Utility Provider",
        ISNUMBER(SEARCH("The General Organization for Social Insurance",M28)),"Social Insurance Agency",
        ISNUMBER(SEARCH("TUV Rheinland",M28)),"Service Provider",
        ISNUMBER(SEARCH("Al Arabia Ceramic",M28)),"Supplier",
        ISNUMBER(SEARCH("National Company for Building",M28)),"Customer",
        ISNUMBER(SEARCH("Athraa Holding",M28)),"Customer",
        ISNUMBER(SEARCH("Al Rasan",M28)),"Supplier",
        ISNUMBER(SEARCH("Raboua Al Haid",M28)),"Customer",
        ISNUMBER(SEARCH("Al Jazeera Paint",M28)),"Supplier",
        ISNUMBER(SEARCH("Rania Works Contracting",M28)),"Supplier",
        ISNUMBER(SEARCH("Bandar Jarallah",M28)),"Supplier",
        TRUE,"Supplier"
    ),
    "-"
)</f>
        <v>Service Provider</v>
      </c>
      <c r="AD28" s="25" t="str" cm="1">
        <f t="array" ref="AD28">_xlfn.IFNA(
    _xlfn.IFS(
        AC28="Same Company","High",
        AC28="Shareholder","High",
        AC28="Government","High",
        AC28="Bank","High",
        AC28="Lender","High",
        AC28="Unknown","Low",
        AC28="-","Low",
        TRUE,"Medium"
    ),
    "-"
)</f>
        <v>Medium</v>
      </c>
      <c r="AE28" s="25" t="str">
        <f t="shared" si="2"/>
        <v>-</v>
      </c>
      <c r="AF28" s="25" t="str" cm="1">
        <f t="array" ref="AF28">_xlfn.IFNA(
    _xlfn.IFS(
        K28="Credit",
            _xlfn.IFS(
                OR(ISNUMBER(SEARCH("Rejected",L28)),ISNUMBER(SEARCH("Returned",L28))),"Other Income",
                TRUE,"Revenue"
            ),
        K28="Debit",
            _xlfn.IFS(
                ISNUMBER(SEARCH("Payroll",L28)),"OPEX",
                ISNUMBER(SEARCH("Expatriate",L28)),"OPEX",
                ISNUMBER(SEARCH("Zakat",M28)),"ZATCA",
                ISNUMBER(SEARCH("General Organization for Social Insurance",M28)),"OPEX",
                ISNUMBER(SEARCH("Saudi Electric",M28)),"OPEX",
                ISNUMBER(SEARCH("STC",M28)),"OPEX",
                ISNUMBER(SEARCH("National Water",M28)),"OPEX",
                ISNUMBER(SEARCH("Bupa",M28)),"OPEX",
                ISNUMBER(SEARCH("Abdullah Abdulkarim",M28)),"OPEX",
                ISNUMBER(SEARCH("Abdullah Fahad",M28)),"OPEX",
                ISNUMBER(SEARCH("ISO Arabia",M28)),"OPEX",
                ISNUMBER(SEARCH("Gulf Voyager",M28)),"OPEX",
                ISNUMBER(SEARCH("Ministry",M28)),"OPEX",
                ISNUMBER(SEARCH("General Authority of Zakat",M28)),"ZATCA",
                ISNUMBER(SEARCH("Rejected",L28)),"Other Income",
                TRUE,"COGS"
            ),
        TRUE,"-"
    ),
    "-"
)</f>
        <v>COGS</v>
      </c>
      <c r="AG28" s="25" t="str" cm="1">
        <f t="array" ref="AG28">_xlfn.IFNA(
    _xlfn.IFS(
        ISNUMBER(SEARCH("Payroll",L28)),"Payroll",
        ISNUMBER(SEARCH("Expatriate",L28)),"Government Fees",
        ISNUMBER(SEARCH("Zakat",M28)),"Zakat",
        ISNUMBER(SEARCH("Social Insurance",M28)),"Social Insurance",
        ISNUMBER(SEARCH("Saudi Electric",M28)),"Electricity",
        ISNUMBER(SEARCH("STC",M28)),"Telecom",
        ISNUMBER(SEARCH("National Water",M28)),"Water",
        ISNUMBER(SEARCH("Bupa",M28)),"Insurance",
        ISNUMBER(SEARCH("Gulf Voyager",M28)),"Travel",
        ISNUMBER(SEARCH("Ministry",M28)),"Government Fees",
        ISNUMBER(SEARCH("Abdullah Abdulkarim",M28)),"Consulting",
        ISNUMBER(SEARCH("Abdullah Fahad",M28)),"Accounting",
        ISNUMBER(SEARCH("ISO Arabia",M28)),"Consulting",
        ISNUMBER(SEARCH("Rejected",L28)),"Refund",
        AF28="COGS","Inventory Purchase",
        AF28="Revenue","Revenue",
        AF28="OPEX","Other",
        AF28="ZATCA","Zakat",
        TRUE,"-"
    ),
    "-"
)</f>
        <v>Inventory Purchase</v>
      </c>
      <c r="AH28" s="25" t="str" cm="1">
        <f t="array" ref="AH28">_xlfn.IFNA(
    _xlfn.IFS(
        AF28="-","Low",
        AF28="Other","Low",
        TRUE,"Medium"
    ),
    "-"
)</f>
        <v>Medium</v>
      </c>
      <c r="AI28" s="25" t="str">
        <f t="shared" si="3"/>
        <v>-</v>
      </c>
    </row>
    <row r="29" spans="1:35" x14ac:dyDescent="0.25">
      <c r="A29" s="10">
        <v>2</v>
      </c>
      <c r="B29" s="10" t="s">
        <v>35</v>
      </c>
      <c r="C29" s="10" t="s">
        <v>36</v>
      </c>
      <c r="D29" s="10" t="s">
        <v>37</v>
      </c>
      <c r="E29" s="10" t="s">
        <v>38</v>
      </c>
      <c r="F29" s="11" t="s">
        <v>39</v>
      </c>
      <c r="G29" s="11" t="s">
        <v>40</v>
      </c>
      <c r="H29" s="12">
        <v>45006</v>
      </c>
      <c r="I29" s="20">
        <v>237152.55</v>
      </c>
      <c r="J29" s="20">
        <v>50005.75</v>
      </c>
      <c r="K29" s="10" t="s">
        <v>41</v>
      </c>
      <c r="L29" s="9" t="s">
        <v>173</v>
      </c>
      <c r="M29" s="9" t="s">
        <v>174</v>
      </c>
      <c r="N29" s="9" t="s">
        <v>175</v>
      </c>
      <c r="O29" s="9" t="s">
        <v>72</v>
      </c>
      <c r="P29" s="15">
        <v>45006</v>
      </c>
      <c r="Q29" s="9" t="s">
        <v>176</v>
      </c>
      <c r="R29" s="16">
        <v>50000</v>
      </c>
      <c r="S29" s="18">
        <v>5</v>
      </c>
      <c r="T29" s="18">
        <v>0.75</v>
      </c>
      <c r="U29" s="9" t="s">
        <v>55</v>
      </c>
      <c r="V29" s="24" t="str" cm="1">
        <f t="array" ref="V29">_xlfn.IFNA(
    _xlfn.IFS(
        ISNUMBER(SEARCH("Fast Outgoing Transfer",L29)),"Transfer",
        ISNUMBER(SEARCH("Incoming Fast Transfer",L29)),"Transfer",
        ISNUMBER(SEARCH("Outgoing International Transfer",L29)),"Transfer",
        ISNUMBER(SEARCH("Bill Payment",L29)),"SADAD",
        ISNUMBER(SEARCH("Payroll",L29)),"Payroll",
        ISNUMBER(SEARCH("Cash Deposit",L29)),"Cash",
        ISNUMBER(SEARCH("Internal Transfer",L29)),"Transfer",
        ISNUMBER(SEARCH("Expatriate Services Payment",L29)),"SADAD",
        ISNUMBER(SEARCH("Rejected",L29)),"Transfer"
    ),
    "-"
)</f>
        <v>Transfer</v>
      </c>
      <c r="W29" s="25" t="str" cm="1">
        <f t="array" ref="W29">_xlfn.IFNA(
    _xlfn.IFS(
        AND(V29="Transfer",ISNUMBER(SEARCH("RIYAD BANK",L29))),"External FI",
        AND(V29="Transfer",ISNUMBER(SEARCH("Al Ahli",L29))),"External FI",
        AND(V29="Transfer",ISNUMBER(SEARCH("CIB via",L29))),"Local Transfer",
        AND(V29="Transfer",ISNUMBER(SEARCH("CIB)",L29))),"Local Transfer",
        AND(V29="Transfer",ISNUMBER(SEARCH("SMRT",L29))),"Local Transfer",
        AND(V29="Transfer",ISNUMBER(SEARCH("Al Murabba",L29))),"Local Transfer",
        AND(V29="Transfer",ISNUMBER(SEARCH("Internal Transfer",L29))),"Same FI",
        AND(V29="Transfer",ISNUMBER(SEARCH("Rejected",L29))),"Failed",
        V29="SADAD",
            _xlfn.IFS(
                ISNUMBER(SEARCH("Expatriate",L29)),"Expat Fees",
                TRUE,"Online Payment"
            ),
        V29="Payroll","Payroll",
        V29="Cash","Deposit",
        TRUE,"-"
    ),
    "-"
)</f>
        <v>Local Transfer</v>
      </c>
      <c r="X29" s="25" t="str" cm="1">
        <f t="array" ref="X29">_xlfn.IFNA(
    _xlfn.IFS(
        V29="-","Low",
        W29="-","Low",
        TRUE,"High"
    ),
    "-"
)</f>
        <v>High</v>
      </c>
      <c r="Y29" s="25" t="str">
        <f t="shared" si="0"/>
        <v>-</v>
      </c>
      <c r="Z29" s="25" t="str" cm="1">
        <f t="array" ref="Z29">_xlfn.IFNA(
    _xlfn.IFS(
        ISNUMBER(SEARCH("Abdul Latif Jameel",M29)),"Lender",
        ISNUMBER(SEARCH("Abdullah Abdulkarim Al Sudais",M29)),"Accounting",
        ISNUMBER(SEARCH("Abdullah Fahad for Accounting",M29)),"Accounting",
        ISNUMBER(SEARCH("Abdullah Rashid Shaikh",M29)),"Shareholder",
        ISNUMBER(SEARCH("Advanced Equipments",M29)),"Equipment Rental",
        ISNUMBER(SEARCH("Al Banuk Sana",M29)),"Telecom Company",
        ISNUMBER(SEARCH("Al Khaleefa Factory",M29)),"Manufacturer",
        ISNUMBER(SEARCH("Al Saadeh Trading",M29)),"Trading Company",
        ISNUMBER(SEARCH("Al Zaehaan",M29)),"Trading Company",
        ISNUMBER(SEARCH("Ali Abdullah K Al Darwish",M29)),"Airlines",
        ISNUMBER(SEARCH("Bupa Arabia",M29)),"Health Insurance",
        ISNUMBER(SEARCH("Dar Fahoosaat",M29)),"Consultant",
        ISNUMBER(SEARCH("General Authority of Zakat",M29)),"Tax Collection",
        ISNUMBER(SEARCH("Gulf Voyager",M29)),"Travel Agency",
        ISNUMBER(SEARCH("Hopeway Trading",M29)),"Trading Company",
        ISNUMBER(SEARCH("Interhealth Medical",M29)),"Medical Services",
        ISNUMBER(SEARCH("Ishaar",M29)),"Online Payment Service",
        ISNUMBER(SEARCH("ISO Arabia",M29)),"Certification",
        ISNUMBER(SEARCH("Khalid Saad Al Otaibi",M29)),"Trading Company",
        ISNUMBER(SEARCH("MERAS for Decoration",M29)),"Decor Company",
        ISNUMBER(SEARCH("Middle East Customs Clearance",M29)),"Customs",
        ISNUMBER(SEARCH("Ministry of Human Resources",M29)),"Government",
        ISNUMBER(SEARCH("My Business Services",M29)),"Service Provider",
        ISNUMBER(SEARCH("National Water Company",M29)),"Water Company",
        ISNUMBER(SEARCH("Rania Contracting",M29)),"Contracting",
        ISNUMBER(SEARCH("Rashid Ali Sheikh",M29)),"Shareholder",
        ISNUMBER(SEARCH("Sahab United Motors",M29)),"Car Show Room",
        ISNUMBER(SEARCH("Saud Mohammed Al Tamimi",M29)),"Shareholder",
        ISNUMBER(SEARCH("Saud Mohammed Tamimi",M29)),"Shareholder",
        ISNUMBER(SEARCH("Saudi Electric Company",M29)),"Electricity Company",
        ISNUMBER(SEARCH("Saudi Vetonit",M29)),"Building Materials",
        ISNUMBER(SEARCH("Shomoul Eng",M29)),"Safety",
        ISNUMBER(SEARCH("STC",M29)),"Telecom Company",
        ISNUMBER(SEARCH("The General Organization for Social Insurance",M29)),"Social Insurance Agency",
        ISNUMBER(SEARCH("TUV Rheinland",M29)),"Certification",
        ISNUMBER(SEARCH("Al Arabia Ceramic",M29)),"Building Materials",
        ISNUMBER(SEARCH("National Company for Building and Marketing",M29)),"Parent Company",
        ISNUMBER(SEARCH("Athraa Holding",M29)),"Holding Company",
        ISNUMBER(SEARCH("Al Rasan",M29)),"Contracting",
        ISNUMBER(SEARCH("Raboua Al Haid",M29)),"Trading Company",
        ISNUMBER(SEARCH("Al Jazeera Paint",M29)),"Manufacturer",
        ISNUMBER(SEARCH("Rania Works Contracting",M29)),"Contracting",
        ISNUMBER(SEARCH("Bandar Jarallah",M29)),"Trading Establishment",
        ISNUMBER(SEARCH("RS Infratec Saudi",M29)),"Same Company",
        ISNUMBER(SEARCH("Payroll",M29)),"Bank",
        ISNUMBER(SEARCH("Expatriate",M29)),"Government",
        ISNUMBER(SEARCH("Unknown Sender",M29)),"Unknown",
        TRUE,"Unknown"
    ),
    "-"
)</f>
        <v>Shareholder</v>
      </c>
      <c r="AA29" s="25" t="str" cm="1">
        <f t="array" ref="AA29">_xlfn.IFNA(
    _xlfn.IFS(
        Z29="Lender","Financing",
        Z29="Accounting","Accounting",
        Z29="Shareholder","Individual",
        Z29="Equipment Rental","Equipment Rental",
        Z29="Telecom Company","Telecom",
        Z29="Manufacturer","Manufacturer",
        Z29="Trading Company","Trading And Transport",
        Z29="Trading Establishment","Trading",
        Z29="Airlines","Airlines",
        Z29="Health Insurance","Insurance",
        Z29="Consultant","Consultant",
        Z29="Tax Collection","Government",
        Z29="Travel Agency","Travel Agency",
        Z29="Medical Services","Medical Center",
        Z29="Online Payment Service","Payment Facilitator",
        Z29="Certification","Safety",
        Z29="Decor Company","Design",
        Z29="Customs","Customs",
        Z29="Government","Government",
        Z29="Service Provider","Service Provider",
        Z29="Water Company","Water Company",
        Z29="Contracting","Contracting",
        Z29="Car Show Room","Car Trader",
        Z29="Electricity Company","Electricity Company",
        Z29="Building Materials","Building Materials",
        Z29="Safety","Safety",
        Z29="Social Insurance Agency","Government Fund",
        Z29="Parent Company","Holding Company",
        Z29="Holding Company","Holding Company",
        Z29="Same Company","Construction",
        Z29="Bank","Bank",
        Z29="Unknown","Unknown",
        TRUE,"-"
    ),
    "-"
)</f>
        <v>Individual</v>
      </c>
      <c r="AB29" s="25" t="str">
        <f t="shared" si="1"/>
        <v>-</v>
      </c>
      <c r="AC29" s="25" t="str" cm="1">
        <f t="array" ref="AC29">_xlfn.IFNA(
    _xlfn.IFS(
        Z29="Shareholder","Shareholder",
        Z29="Same Company","Same Company",
        Z29="Bank","Bank",
        Z29="Government","Government",
        Z29="Social Insurance Agency","Government",
        Z29="Parent Company","Customer",
        Z29="Lender","Lender",
        Z29="Unknown","Unknown",
        ISNUMBER(SEARCH("Abdullah Abdulkarim",M29)),"Service Provider",
        ISNUMBER(SEARCH("Abdullah Fahad",M29)),"Service Provider",
        ISNUMBER(SEARCH("Advanced Equipments",M29)),"Supplier",
        ISNUMBER(SEARCH("Al Banuk Sana",M29)),"Supplier",
        ISNUMBER(SEARCH("Al Khaleefa Factory",M29)),"Supplier",
        ISNUMBER(SEARCH("Al Saadeh Trading",M29)),"Supplier",
        ISNUMBER(SEARCH("Al Zaehaan",M29)),"Supplier",
        ISNUMBER(SEARCH("Ali Abdullah K Al Darwish",M29)),"Service Provider",
        ISNUMBER(SEARCH("Bupa Arabia",M29)),"Insurance Company",
        ISNUMBER(SEARCH("Dar Fahoosaat",M29)),"Service Provider",
        ISNUMBER(SEARCH("General Authority of Zakat",M29)),"Tax Authority",
        ISNUMBER(SEARCH("Gulf Voyager",M29)),"Service Provider",
        ISNUMBER(SEARCH("Hopeway Trading",M29)),"Supplier",
        ISNUMBER(SEARCH("Interhealth Medical",M29)),"Customer",
        ISNUMBER(SEARCH("Ishaar",M29)),"Service Provider",
        ISNUMBER(SEARCH("ISO Arabia",M29)),"Service Provider",
        ISNUMBER(SEARCH("Khalid Saad Al Otaibi",M29)),"Supplier",
        ISNUMBER(SEARCH("MERAS for Decoration",M29)),"Supplier",
        ISNUMBER(SEARCH("Middle East Customs Clearance",M29)),"Service Provider",
        ISNUMBER(SEARCH("Ministry of Human Resources",M29)),"Regulatory Agency",
        ISNUMBER(SEARCH("My Business Services",M29)),"Service Provider",
        ISNUMBER(SEARCH("National Water Company",M29)),"Utility Provider",
        ISNUMBER(SEARCH("Rania Contracting",M29)),"Supplier",
        ISNUMBER(SEARCH("Sahab United Motors",M29)),"Supplier",
        ISNUMBER(SEARCH("Saudi Electric Company",M29)),"Utility Provider",
        ISNUMBER(SEARCH("Saudi Vetonit",M29)),"Supplier",
        ISNUMBER(SEARCH("Shomoul Eng",M29)),"Service Provider",
        ISNUMBER(SEARCH("STC",M29)),"Utility Provider",
        ISNUMBER(SEARCH("The General Organization for Social Insurance",M29)),"Social Insurance Agency",
        ISNUMBER(SEARCH("TUV Rheinland",M29)),"Service Provider",
        ISNUMBER(SEARCH("Al Arabia Ceramic",M29)),"Supplier",
        ISNUMBER(SEARCH("National Company for Building",M29)),"Customer",
        ISNUMBER(SEARCH("Athraa Holding",M29)),"Customer",
        ISNUMBER(SEARCH("Al Rasan",M29)),"Supplier",
        ISNUMBER(SEARCH("Raboua Al Haid",M29)),"Customer",
        ISNUMBER(SEARCH("Al Jazeera Paint",M29)),"Supplier",
        ISNUMBER(SEARCH("Rania Works Contracting",M29)),"Supplier",
        ISNUMBER(SEARCH("Bandar Jarallah",M29)),"Supplier",
        TRUE,"Supplier"
    ),
    "-"
)</f>
        <v>Shareholder</v>
      </c>
      <c r="AD29" s="25" t="str" cm="1">
        <f t="array" ref="AD29">_xlfn.IFNA(
    _xlfn.IFS(
        AC29="Same Company","High",
        AC29="Shareholder","High",
        AC29="Government","High",
        AC29="Bank","High",
        AC29="Lender","High",
        AC29="Unknown","Low",
        AC29="-","Low",
        TRUE,"Medium"
    ),
    "-"
)</f>
        <v>High</v>
      </c>
      <c r="AE29" s="25" t="str">
        <f t="shared" si="2"/>
        <v>-</v>
      </c>
      <c r="AF29" s="25" t="str" cm="1">
        <f t="array" ref="AF29">_xlfn.IFNA(
    _xlfn.IFS(
        K29="Credit",
            _xlfn.IFS(
                OR(ISNUMBER(SEARCH("Rejected",L29)),ISNUMBER(SEARCH("Returned",L29))),"Other Income",
                TRUE,"Revenue"
            ),
        K29="Debit",
            _xlfn.IFS(
                ISNUMBER(SEARCH("Payroll",L29)),"OPEX",
                ISNUMBER(SEARCH("Expatriate",L29)),"OPEX",
                ISNUMBER(SEARCH("Zakat",M29)),"ZATCA",
                ISNUMBER(SEARCH("General Organization for Social Insurance",M29)),"OPEX",
                ISNUMBER(SEARCH("Saudi Electric",M29)),"OPEX",
                ISNUMBER(SEARCH("STC",M29)),"OPEX",
                ISNUMBER(SEARCH("National Water",M29)),"OPEX",
                ISNUMBER(SEARCH("Bupa",M29)),"OPEX",
                ISNUMBER(SEARCH("Abdullah Abdulkarim",M29)),"OPEX",
                ISNUMBER(SEARCH("Abdullah Fahad",M29)),"OPEX",
                ISNUMBER(SEARCH("ISO Arabia",M29)),"OPEX",
                ISNUMBER(SEARCH("Gulf Voyager",M29)),"OPEX",
                ISNUMBER(SEARCH("Ministry",M29)),"OPEX",
                ISNUMBER(SEARCH("General Authority of Zakat",M29)),"ZATCA",
                ISNUMBER(SEARCH("Rejected",L29)),"Other Income",
                TRUE,"COGS"
            ),
        TRUE,"-"
    ),
    "-"
)</f>
        <v>COGS</v>
      </c>
      <c r="AG29" s="25" t="str" cm="1">
        <f t="array" ref="AG29">_xlfn.IFNA(
    _xlfn.IFS(
        ISNUMBER(SEARCH("Payroll",L29)),"Payroll",
        ISNUMBER(SEARCH("Expatriate",L29)),"Government Fees",
        ISNUMBER(SEARCH("Zakat",M29)),"Zakat",
        ISNUMBER(SEARCH("Social Insurance",M29)),"Social Insurance",
        ISNUMBER(SEARCH("Saudi Electric",M29)),"Electricity",
        ISNUMBER(SEARCH("STC",M29)),"Telecom",
        ISNUMBER(SEARCH("National Water",M29)),"Water",
        ISNUMBER(SEARCH("Bupa",M29)),"Insurance",
        ISNUMBER(SEARCH("Gulf Voyager",M29)),"Travel",
        ISNUMBER(SEARCH("Ministry",M29)),"Government Fees",
        ISNUMBER(SEARCH("Abdullah Abdulkarim",M29)),"Consulting",
        ISNUMBER(SEARCH("Abdullah Fahad",M29)),"Accounting",
        ISNUMBER(SEARCH("ISO Arabia",M29)),"Consulting",
        ISNUMBER(SEARCH("Rejected",L29)),"Refund",
        AF29="COGS","Inventory Purchase",
        AF29="Revenue","Revenue",
        AF29="OPEX","Other",
        AF29="ZATCA","Zakat",
        TRUE,"-"
    ),
    "-"
)</f>
        <v>Inventory Purchase</v>
      </c>
      <c r="AH29" s="25" t="str" cm="1">
        <f t="array" ref="AH29">_xlfn.IFNA(
    _xlfn.IFS(
        AF29="-","Low",
        AF29="Other","Low",
        TRUE,"Medium"
    ),
    "-"
)</f>
        <v>Medium</v>
      </c>
      <c r="AI29" s="25" t="str">
        <f t="shared" si="3"/>
        <v>-</v>
      </c>
    </row>
    <row r="30" spans="1:35" x14ac:dyDescent="0.25">
      <c r="A30" s="10">
        <v>2</v>
      </c>
      <c r="B30" s="10" t="s">
        <v>35</v>
      </c>
      <c r="C30" s="10" t="s">
        <v>36</v>
      </c>
      <c r="D30" s="10" t="s">
        <v>37</v>
      </c>
      <c r="E30" s="10" t="s">
        <v>38</v>
      </c>
      <c r="F30" s="11" t="s">
        <v>39</v>
      </c>
      <c r="G30" s="11" t="s">
        <v>40</v>
      </c>
      <c r="H30" s="12">
        <v>45091</v>
      </c>
      <c r="I30" s="20">
        <v>1646.2</v>
      </c>
      <c r="J30" s="20">
        <v>50008.05</v>
      </c>
      <c r="K30" s="10" t="s">
        <v>41</v>
      </c>
      <c r="L30" s="9" t="s">
        <v>50</v>
      </c>
      <c r="M30" s="9" t="s">
        <v>174</v>
      </c>
      <c r="N30" s="9" t="s">
        <v>175</v>
      </c>
      <c r="O30" s="9" t="s">
        <v>72</v>
      </c>
      <c r="P30" s="15">
        <v>45091</v>
      </c>
      <c r="Q30" s="9" t="s">
        <v>177</v>
      </c>
      <c r="R30" s="16">
        <v>50000</v>
      </c>
      <c r="S30" s="18">
        <v>7</v>
      </c>
      <c r="T30" s="18">
        <v>1.05</v>
      </c>
      <c r="U30" s="9" t="s">
        <v>55</v>
      </c>
      <c r="V30" s="24" t="str" cm="1">
        <f t="array" ref="V30">_xlfn.IFNA(
    _xlfn.IFS(
        ISNUMBER(SEARCH("Fast Outgoing Transfer",L30)),"Transfer",
        ISNUMBER(SEARCH("Incoming Fast Transfer",L30)),"Transfer",
        ISNUMBER(SEARCH("Outgoing International Transfer",L30)),"Transfer",
        ISNUMBER(SEARCH("Bill Payment",L30)),"SADAD",
        ISNUMBER(SEARCH("Payroll",L30)),"Payroll",
        ISNUMBER(SEARCH("Cash Deposit",L30)),"Cash",
        ISNUMBER(SEARCH("Internal Transfer",L30)),"Transfer",
        ISNUMBER(SEARCH("Expatriate Services Payment",L30)),"SADAD",
        ISNUMBER(SEARCH("Rejected",L30)),"Transfer"
    ),
    "-"
)</f>
        <v>Transfer</v>
      </c>
      <c r="W30" s="25" t="str" cm="1">
        <f t="array" ref="W30">_xlfn.IFNA(
    _xlfn.IFS(
        AND(V30="Transfer",ISNUMBER(SEARCH("RIYAD BANK",L30))),"External FI",
        AND(V30="Transfer",ISNUMBER(SEARCH("Al Ahli",L30))),"External FI",
        AND(V30="Transfer",ISNUMBER(SEARCH("CIB via",L30))),"Local Transfer",
        AND(V30="Transfer",ISNUMBER(SEARCH("CIB)",L30))),"Local Transfer",
        AND(V30="Transfer",ISNUMBER(SEARCH("SMRT",L30))),"Local Transfer",
        AND(V30="Transfer",ISNUMBER(SEARCH("Al Murabba",L30))),"Local Transfer",
        AND(V30="Transfer",ISNUMBER(SEARCH("Internal Transfer",L30))),"Same FI",
        AND(V30="Transfer",ISNUMBER(SEARCH("Rejected",L30))),"Failed",
        V30="SADAD",
            _xlfn.IFS(
                ISNUMBER(SEARCH("Expatriate",L30)),"Expat Fees",
                TRUE,"Online Payment"
            ),
        V30="Payroll","Payroll",
        V30="Cash","Deposit",
        TRUE,"-"
    ),
    "-"
)</f>
        <v>Local Transfer</v>
      </c>
      <c r="X30" s="25" t="str" cm="1">
        <f t="array" ref="X30">_xlfn.IFNA(
    _xlfn.IFS(
        V30="-","Low",
        W30="-","Low",
        TRUE,"High"
    ),
    "-"
)</f>
        <v>High</v>
      </c>
      <c r="Y30" s="25" t="str">
        <f t="shared" si="0"/>
        <v>-</v>
      </c>
      <c r="Z30" s="25" t="str" cm="1">
        <f t="array" ref="Z30">_xlfn.IFNA(
    _xlfn.IFS(
        ISNUMBER(SEARCH("Abdul Latif Jameel",M30)),"Lender",
        ISNUMBER(SEARCH("Abdullah Abdulkarim Al Sudais",M30)),"Accounting",
        ISNUMBER(SEARCH("Abdullah Fahad for Accounting",M30)),"Accounting",
        ISNUMBER(SEARCH("Abdullah Rashid Shaikh",M30)),"Shareholder",
        ISNUMBER(SEARCH("Advanced Equipments",M30)),"Equipment Rental",
        ISNUMBER(SEARCH("Al Banuk Sana",M30)),"Telecom Company",
        ISNUMBER(SEARCH("Al Khaleefa Factory",M30)),"Manufacturer",
        ISNUMBER(SEARCH("Al Saadeh Trading",M30)),"Trading Company",
        ISNUMBER(SEARCH("Al Zaehaan",M30)),"Trading Company",
        ISNUMBER(SEARCH("Ali Abdullah K Al Darwish",M30)),"Airlines",
        ISNUMBER(SEARCH("Bupa Arabia",M30)),"Health Insurance",
        ISNUMBER(SEARCH("Dar Fahoosaat",M30)),"Consultant",
        ISNUMBER(SEARCH("General Authority of Zakat",M30)),"Tax Collection",
        ISNUMBER(SEARCH("Gulf Voyager",M30)),"Travel Agency",
        ISNUMBER(SEARCH("Hopeway Trading",M30)),"Trading Company",
        ISNUMBER(SEARCH("Interhealth Medical",M30)),"Medical Services",
        ISNUMBER(SEARCH("Ishaar",M30)),"Online Payment Service",
        ISNUMBER(SEARCH("ISO Arabia",M30)),"Certification",
        ISNUMBER(SEARCH("Khalid Saad Al Otaibi",M30)),"Trading Company",
        ISNUMBER(SEARCH("MERAS for Decoration",M30)),"Decor Company",
        ISNUMBER(SEARCH("Middle East Customs Clearance",M30)),"Customs",
        ISNUMBER(SEARCH("Ministry of Human Resources",M30)),"Government",
        ISNUMBER(SEARCH("My Business Services",M30)),"Service Provider",
        ISNUMBER(SEARCH("National Water Company",M30)),"Water Company",
        ISNUMBER(SEARCH("Rania Contracting",M30)),"Contracting",
        ISNUMBER(SEARCH("Rashid Ali Sheikh",M30)),"Shareholder",
        ISNUMBER(SEARCH("Sahab United Motors",M30)),"Car Show Room",
        ISNUMBER(SEARCH("Saud Mohammed Al Tamimi",M30)),"Shareholder",
        ISNUMBER(SEARCH("Saud Mohammed Tamimi",M30)),"Shareholder",
        ISNUMBER(SEARCH("Saudi Electric Company",M30)),"Electricity Company",
        ISNUMBER(SEARCH("Saudi Vetonit",M30)),"Building Materials",
        ISNUMBER(SEARCH("Shomoul Eng",M30)),"Safety",
        ISNUMBER(SEARCH("STC",M30)),"Telecom Company",
        ISNUMBER(SEARCH("The General Organization for Social Insurance",M30)),"Social Insurance Agency",
        ISNUMBER(SEARCH("TUV Rheinland",M30)),"Certification",
        ISNUMBER(SEARCH("Al Arabia Ceramic",M30)),"Building Materials",
        ISNUMBER(SEARCH("National Company for Building and Marketing",M30)),"Parent Company",
        ISNUMBER(SEARCH("Athraa Holding",M30)),"Holding Company",
        ISNUMBER(SEARCH("Al Rasan",M30)),"Contracting",
        ISNUMBER(SEARCH("Raboua Al Haid",M30)),"Trading Company",
        ISNUMBER(SEARCH("Al Jazeera Paint",M30)),"Manufacturer",
        ISNUMBER(SEARCH("Rania Works Contracting",M30)),"Contracting",
        ISNUMBER(SEARCH("Bandar Jarallah",M30)),"Trading Establishment",
        ISNUMBER(SEARCH("RS Infratec Saudi",M30)),"Same Company",
        ISNUMBER(SEARCH("Payroll",M30)),"Bank",
        ISNUMBER(SEARCH("Expatriate",M30)),"Government",
        ISNUMBER(SEARCH("Unknown Sender",M30)),"Unknown",
        TRUE,"Unknown"
    ),
    "-"
)</f>
        <v>Shareholder</v>
      </c>
      <c r="AA30" s="25" t="str" cm="1">
        <f t="array" ref="AA30">_xlfn.IFNA(
    _xlfn.IFS(
        Z30="Lender","Financing",
        Z30="Accounting","Accounting",
        Z30="Shareholder","Individual",
        Z30="Equipment Rental","Equipment Rental",
        Z30="Telecom Company","Telecom",
        Z30="Manufacturer","Manufacturer",
        Z30="Trading Company","Trading And Transport",
        Z30="Trading Establishment","Trading",
        Z30="Airlines","Airlines",
        Z30="Health Insurance","Insurance",
        Z30="Consultant","Consultant",
        Z30="Tax Collection","Government",
        Z30="Travel Agency","Travel Agency",
        Z30="Medical Services","Medical Center",
        Z30="Online Payment Service","Payment Facilitator",
        Z30="Certification","Safety",
        Z30="Decor Company","Design",
        Z30="Customs","Customs",
        Z30="Government","Government",
        Z30="Service Provider","Service Provider",
        Z30="Water Company","Water Company",
        Z30="Contracting","Contracting",
        Z30="Car Show Room","Car Trader",
        Z30="Electricity Company","Electricity Company",
        Z30="Building Materials","Building Materials",
        Z30="Safety","Safety",
        Z30="Social Insurance Agency","Government Fund",
        Z30="Parent Company","Holding Company",
        Z30="Holding Company","Holding Company",
        Z30="Same Company","Construction",
        Z30="Bank","Bank",
        Z30="Unknown","Unknown",
        TRUE,"-"
    ),
    "-"
)</f>
        <v>Individual</v>
      </c>
      <c r="AB30" s="25" t="str">
        <f t="shared" si="1"/>
        <v>-</v>
      </c>
      <c r="AC30" s="25" t="str" cm="1">
        <f t="array" ref="AC30">_xlfn.IFNA(
    _xlfn.IFS(
        Z30="Shareholder","Shareholder",
        Z30="Same Company","Same Company",
        Z30="Bank","Bank",
        Z30="Government","Government",
        Z30="Social Insurance Agency","Government",
        Z30="Parent Company","Customer",
        Z30="Lender","Lender",
        Z30="Unknown","Unknown",
        ISNUMBER(SEARCH("Abdullah Abdulkarim",M30)),"Service Provider",
        ISNUMBER(SEARCH("Abdullah Fahad",M30)),"Service Provider",
        ISNUMBER(SEARCH("Advanced Equipments",M30)),"Supplier",
        ISNUMBER(SEARCH("Al Banuk Sana",M30)),"Supplier",
        ISNUMBER(SEARCH("Al Khaleefa Factory",M30)),"Supplier",
        ISNUMBER(SEARCH("Al Saadeh Trading",M30)),"Supplier",
        ISNUMBER(SEARCH("Al Zaehaan",M30)),"Supplier",
        ISNUMBER(SEARCH("Ali Abdullah K Al Darwish",M30)),"Service Provider",
        ISNUMBER(SEARCH("Bupa Arabia",M30)),"Insurance Company",
        ISNUMBER(SEARCH("Dar Fahoosaat",M30)),"Service Provider",
        ISNUMBER(SEARCH("General Authority of Zakat",M30)),"Tax Authority",
        ISNUMBER(SEARCH("Gulf Voyager",M30)),"Service Provider",
        ISNUMBER(SEARCH("Hopeway Trading",M30)),"Supplier",
        ISNUMBER(SEARCH("Interhealth Medical",M30)),"Customer",
        ISNUMBER(SEARCH("Ishaar",M30)),"Service Provider",
        ISNUMBER(SEARCH("ISO Arabia",M30)),"Service Provider",
        ISNUMBER(SEARCH("Khalid Saad Al Otaibi",M30)),"Supplier",
        ISNUMBER(SEARCH("MERAS for Decoration",M30)),"Supplier",
        ISNUMBER(SEARCH("Middle East Customs Clearance",M30)),"Service Provider",
        ISNUMBER(SEARCH("Ministry of Human Resources",M30)),"Regulatory Agency",
        ISNUMBER(SEARCH("My Business Services",M30)),"Service Provider",
        ISNUMBER(SEARCH("National Water Company",M30)),"Utility Provider",
        ISNUMBER(SEARCH("Rania Contracting",M30)),"Supplier",
        ISNUMBER(SEARCH("Sahab United Motors",M30)),"Supplier",
        ISNUMBER(SEARCH("Saudi Electric Company",M30)),"Utility Provider",
        ISNUMBER(SEARCH("Saudi Vetonit",M30)),"Supplier",
        ISNUMBER(SEARCH("Shomoul Eng",M30)),"Service Provider",
        ISNUMBER(SEARCH("STC",M30)),"Utility Provider",
        ISNUMBER(SEARCH("The General Organization for Social Insurance",M30)),"Social Insurance Agency",
        ISNUMBER(SEARCH("TUV Rheinland",M30)),"Service Provider",
        ISNUMBER(SEARCH("Al Arabia Ceramic",M30)),"Supplier",
        ISNUMBER(SEARCH("National Company for Building",M30)),"Customer",
        ISNUMBER(SEARCH("Athraa Holding",M30)),"Customer",
        ISNUMBER(SEARCH("Al Rasan",M30)),"Supplier",
        ISNUMBER(SEARCH("Raboua Al Haid",M30)),"Customer",
        ISNUMBER(SEARCH("Al Jazeera Paint",M30)),"Supplier",
        ISNUMBER(SEARCH("Rania Works Contracting",M30)),"Supplier",
        ISNUMBER(SEARCH("Bandar Jarallah",M30)),"Supplier",
        TRUE,"Supplier"
    ),
    "-"
)</f>
        <v>Shareholder</v>
      </c>
      <c r="AD30" s="25" t="str" cm="1">
        <f t="array" ref="AD30">_xlfn.IFNA(
    _xlfn.IFS(
        AC30="Same Company","High",
        AC30="Shareholder","High",
        AC30="Government","High",
        AC30="Bank","High",
        AC30="Lender","High",
        AC30="Unknown","Low",
        AC30="-","Low",
        TRUE,"Medium"
    ),
    "-"
)</f>
        <v>High</v>
      </c>
      <c r="AE30" s="25" t="str">
        <f t="shared" si="2"/>
        <v>-</v>
      </c>
      <c r="AF30" s="25" t="str" cm="1">
        <f t="array" ref="AF30">_xlfn.IFNA(
    _xlfn.IFS(
        K30="Credit",
            _xlfn.IFS(
                OR(ISNUMBER(SEARCH("Rejected",L30)),ISNUMBER(SEARCH("Returned",L30))),"Other Income",
                TRUE,"Revenue"
            ),
        K30="Debit",
            _xlfn.IFS(
                ISNUMBER(SEARCH("Payroll",L30)),"OPEX",
                ISNUMBER(SEARCH("Expatriate",L30)),"OPEX",
                ISNUMBER(SEARCH("Zakat",M30)),"ZATCA",
                ISNUMBER(SEARCH("General Organization for Social Insurance",M30)),"OPEX",
                ISNUMBER(SEARCH("Saudi Electric",M30)),"OPEX",
                ISNUMBER(SEARCH("STC",M30)),"OPEX",
                ISNUMBER(SEARCH("National Water",M30)),"OPEX",
                ISNUMBER(SEARCH("Bupa",M30)),"OPEX",
                ISNUMBER(SEARCH("Abdullah Abdulkarim",M30)),"OPEX",
                ISNUMBER(SEARCH("Abdullah Fahad",M30)),"OPEX",
                ISNUMBER(SEARCH("ISO Arabia",M30)),"OPEX",
                ISNUMBER(SEARCH("Gulf Voyager",M30)),"OPEX",
                ISNUMBER(SEARCH("Ministry",M30)),"OPEX",
                ISNUMBER(SEARCH("General Authority of Zakat",M30)),"ZATCA",
                ISNUMBER(SEARCH("Rejected",L30)),"Other Income",
                TRUE,"COGS"
            ),
        TRUE,"-"
    ),
    "-"
)</f>
        <v>COGS</v>
      </c>
      <c r="AG30" s="25" t="str" cm="1">
        <f t="array" ref="AG30">_xlfn.IFNA(
    _xlfn.IFS(
        ISNUMBER(SEARCH("Payroll",L30)),"Payroll",
        ISNUMBER(SEARCH("Expatriate",L30)),"Government Fees",
        ISNUMBER(SEARCH("Zakat",M30)),"Zakat",
        ISNUMBER(SEARCH("Social Insurance",M30)),"Social Insurance",
        ISNUMBER(SEARCH("Saudi Electric",M30)),"Electricity",
        ISNUMBER(SEARCH("STC",M30)),"Telecom",
        ISNUMBER(SEARCH("National Water",M30)),"Water",
        ISNUMBER(SEARCH("Bupa",M30)),"Insurance",
        ISNUMBER(SEARCH("Gulf Voyager",M30)),"Travel",
        ISNUMBER(SEARCH("Ministry",M30)),"Government Fees",
        ISNUMBER(SEARCH("Abdullah Abdulkarim",M30)),"Consulting",
        ISNUMBER(SEARCH("Abdullah Fahad",M30)),"Accounting",
        ISNUMBER(SEARCH("ISO Arabia",M30)),"Consulting",
        ISNUMBER(SEARCH("Rejected",L30)),"Refund",
        AF30="COGS","Inventory Purchase",
        AF30="Revenue","Revenue",
        AF30="OPEX","Other",
        AF30="ZATCA","Zakat",
        TRUE,"-"
    ),
    "-"
)</f>
        <v>Inventory Purchase</v>
      </c>
      <c r="AH30" s="25" t="str" cm="1">
        <f t="array" ref="AH30">_xlfn.IFNA(
    _xlfn.IFS(
        AF30="-","Low",
        AF30="Other","Low",
        TRUE,"Medium"
    ),
    "-"
)</f>
        <v>Medium</v>
      </c>
      <c r="AI30" s="25" t="str">
        <f t="shared" si="3"/>
        <v>-</v>
      </c>
    </row>
    <row r="31" spans="1:35" x14ac:dyDescent="0.25">
      <c r="A31" s="10">
        <v>2</v>
      </c>
      <c r="B31" s="10" t="s">
        <v>35</v>
      </c>
      <c r="C31" s="10" t="s">
        <v>36</v>
      </c>
      <c r="D31" s="10" t="s">
        <v>37</v>
      </c>
      <c r="E31" s="10" t="s">
        <v>38</v>
      </c>
      <c r="F31" s="11" t="s">
        <v>39</v>
      </c>
      <c r="G31" s="11" t="s">
        <v>40</v>
      </c>
      <c r="H31" s="12">
        <v>44930</v>
      </c>
      <c r="I31" s="20">
        <v>170378.51</v>
      </c>
      <c r="J31" s="20">
        <v>21000</v>
      </c>
      <c r="K31" s="10" t="s">
        <v>41</v>
      </c>
      <c r="L31" s="9" t="s">
        <v>224</v>
      </c>
      <c r="M31" s="9" t="s">
        <v>324</v>
      </c>
      <c r="N31" s="9">
        <v>68202352833001</v>
      </c>
      <c r="O31" s="9" t="s">
        <v>226</v>
      </c>
      <c r="P31" s="15">
        <v>44930</v>
      </c>
      <c r="Q31" s="9" t="s">
        <v>336</v>
      </c>
      <c r="R31" s="16">
        <v>21000</v>
      </c>
      <c r="U31" s="9" t="s">
        <v>55</v>
      </c>
      <c r="V31" s="24" t="str" cm="1">
        <f t="array" ref="V31">_xlfn.IFNA(
    _xlfn.IFS(
        ISNUMBER(SEARCH("Fast Outgoing Transfer",L31)),"Transfer",
        ISNUMBER(SEARCH("Incoming Fast Transfer",L31)),"Transfer",
        ISNUMBER(SEARCH("Outgoing International Transfer",L31)),"Transfer",
        ISNUMBER(SEARCH("Bill Payment",L31)),"SADAD",
        ISNUMBER(SEARCH("Payroll",L31)),"Payroll",
        ISNUMBER(SEARCH("Cash Deposit",L31)),"Cash",
        ISNUMBER(SEARCH("Internal Transfer",L31)),"Transfer",
        ISNUMBER(SEARCH("Expatriate Services Payment",L31)),"SADAD",
        ISNUMBER(SEARCH("Rejected",L31)),"Transfer"
    ),
    "-"
)</f>
        <v>Transfer</v>
      </c>
      <c r="W31" s="25" t="str" cm="1">
        <f t="array" ref="W31">_xlfn.IFNA(
    _xlfn.IFS(
        AND(V31="Transfer",ISNUMBER(SEARCH("RIYAD BANK",L31))),"External FI",
        AND(V31="Transfer",ISNUMBER(SEARCH("Al Ahli",L31))),"External FI",
        AND(V31="Transfer",ISNUMBER(SEARCH("CIB via",L31))),"Local Transfer",
        AND(V31="Transfer",ISNUMBER(SEARCH("CIB)",L31))),"Local Transfer",
        AND(V31="Transfer",ISNUMBER(SEARCH("SMRT",L31))),"Local Transfer",
        AND(V31="Transfer",ISNUMBER(SEARCH("Al Murabba",L31))),"Local Transfer",
        AND(V31="Transfer",ISNUMBER(SEARCH("Internal Transfer",L31))),"Same FI",
        AND(V31="Transfer",ISNUMBER(SEARCH("Rejected",L31))),"Failed",
        V31="SADAD",
            _xlfn.IFS(
                ISNUMBER(SEARCH("Expatriate",L31)),"Expat Fees",
                TRUE,"Online Payment"
            ),
        V31="Payroll","Payroll",
        V31="Cash","Deposit",
        TRUE,"-"
    ),
    "-"
)</f>
        <v>Local Transfer</v>
      </c>
      <c r="X31" s="25" t="str" cm="1">
        <f t="array" ref="X31">_xlfn.IFNA(
    _xlfn.IFS(
        V31="-","Low",
        W31="-","Low",
        TRUE,"High"
    ),
    "-"
)</f>
        <v>High</v>
      </c>
      <c r="Y31" s="25" t="str">
        <f t="shared" si="0"/>
        <v>-</v>
      </c>
      <c r="Z31" s="25" t="str" cm="1">
        <f t="array" ref="Z31">_xlfn.IFNA(
    _xlfn.IFS(
        ISNUMBER(SEARCH("Abdul Latif Jameel",M31)),"Lender",
        ISNUMBER(SEARCH("Abdullah Abdulkarim Al Sudais",M31)),"Accounting",
        ISNUMBER(SEARCH("Abdullah Fahad for Accounting",M31)),"Accounting",
        ISNUMBER(SEARCH("Abdullah Rashid Shaikh",M31)),"Shareholder",
        ISNUMBER(SEARCH("Advanced Equipments",M31)),"Equipment Rental",
        ISNUMBER(SEARCH("Al Banuk Sana",M31)),"Telecom Company",
        ISNUMBER(SEARCH("Al Khaleefa Factory",M31)),"Manufacturer",
        ISNUMBER(SEARCH("Al Saadeh Trading",M31)),"Trading Company",
        ISNUMBER(SEARCH("Al Zaehaan",M31)),"Trading Company",
        ISNUMBER(SEARCH("Ali Abdullah K Al Darwish",M31)),"Airlines",
        ISNUMBER(SEARCH("Bupa Arabia",M31)),"Health Insurance",
        ISNUMBER(SEARCH("Dar Fahoosaat",M31)),"Consultant",
        ISNUMBER(SEARCH("General Authority of Zakat",M31)),"Tax Collection",
        ISNUMBER(SEARCH("Gulf Voyager",M31)),"Travel Agency",
        ISNUMBER(SEARCH("Hopeway Trading",M31)),"Trading Company",
        ISNUMBER(SEARCH("Interhealth Medical",M31)),"Medical Services",
        ISNUMBER(SEARCH("Ishaar",M31)),"Online Payment Service",
        ISNUMBER(SEARCH("ISO Arabia",M31)),"Certification",
        ISNUMBER(SEARCH("Khalid Saad Al Otaibi",M31)),"Trading Company",
        ISNUMBER(SEARCH("MERAS for Decoration",M31)),"Decor Company",
        ISNUMBER(SEARCH("Middle East Customs Clearance",M31)),"Customs",
        ISNUMBER(SEARCH("Ministry of Human Resources",M31)),"Government",
        ISNUMBER(SEARCH("My Business Services",M31)),"Service Provider",
        ISNUMBER(SEARCH("National Water Company",M31)),"Water Company",
        ISNUMBER(SEARCH("Rania Contracting",M31)),"Contracting",
        ISNUMBER(SEARCH("Rashid Ali Sheikh",M31)),"Shareholder",
        ISNUMBER(SEARCH("Sahab United Motors",M31)),"Car Show Room",
        ISNUMBER(SEARCH("Saud Mohammed Al Tamimi",M31)),"Shareholder",
        ISNUMBER(SEARCH("Saud Mohammed Tamimi",M31)),"Shareholder",
        ISNUMBER(SEARCH("Saudi Electric Company",M31)),"Electricity Company",
        ISNUMBER(SEARCH("Saudi Vetonit",M31)),"Building Materials",
        ISNUMBER(SEARCH("Shomoul Eng",M31)),"Safety",
        ISNUMBER(SEARCH("STC",M31)),"Telecom Company",
        ISNUMBER(SEARCH("The General Organization for Social Insurance",M31)),"Social Insurance Agency",
        ISNUMBER(SEARCH("TUV Rheinland",M31)),"Certification",
        ISNUMBER(SEARCH("Al Arabia Ceramic",M31)),"Building Materials",
        ISNUMBER(SEARCH("National Company for Building and Marketing",M31)),"Parent Company",
        ISNUMBER(SEARCH("Athraa Holding",M31)),"Holding Company",
        ISNUMBER(SEARCH("Al Rasan",M31)),"Contracting",
        ISNUMBER(SEARCH("Raboua Al Haid",M31)),"Trading Company",
        ISNUMBER(SEARCH("Al Jazeera Paint",M31)),"Manufacturer",
        ISNUMBER(SEARCH("Rania Works Contracting",M31)),"Contracting",
        ISNUMBER(SEARCH("Bandar Jarallah",M31)),"Trading Establishment",
        ISNUMBER(SEARCH("RS Infratec Saudi",M31)),"Same Company",
        ISNUMBER(SEARCH("Payroll",M31)),"Bank",
        ISNUMBER(SEARCH("Expatriate",M31)),"Government",
        ISNUMBER(SEARCH("Unknown Sender",M31)),"Unknown",
        TRUE,"Unknown"
    ),
    "-"
)</f>
        <v>Same Company</v>
      </c>
      <c r="AA31" s="25" t="str" cm="1">
        <f t="array" ref="AA31">_xlfn.IFNA(
    _xlfn.IFS(
        Z31="Lender","Financing",
        Z31="Accounting","Accounting",
        Z31="Shareholder","Individual",
        Z31="Equipment Rental","Equipment Rental",
        Z31="Telecom Company","Telecom",
        Z31="Manufacturer","Manufacturer",
        Z31="Trading Company","Trading And Transport",
        Z31="Trading Establishment","Trading",
        Z31="Airlines","Airlines",
        Z31="Health Insurance","Insurance",
        Z31="Consultant","Consultant",
        Z31="Tax Collection","Government",
        Z31="Travel Agency","Travel Agency",
        Z31="Medical Services","Medical Center",
        Z31="Online Payment Service","Payment Facilitator",
        Z31="Certification","Safety",
        Z31="Decor Company","Design",
        Z31="Customs","Customs",
        Z31="Government","Government",
        Z31="Service Provider","Service Provider",
        Z31="Water Company","Water Company",
        Z31="Contracting","Contracting",
        Z31="Car Show Room","Car Trader",
        Z31="Electricity Company","Electricity Company",
        Z31="Building Materials","Building Materials",
        Z31="Safety","Safety",
        Z31="Social Insurance Agency","Government Fund",
        Z31="Parent Company","Holding Company",
        Z31="Holding Company","Holding Company",
        Z31="Same Company","Construction",
        Z31="Bank","Bank",
        Z31="Unknown","Unknown",
        TRUE,"-"
    ),
    "-"
)</f>
        <v>Construction</v>
      </c>
      <c r="AB31" s="25" t="str">
        <f t="shared" si="1"/>
        <v>-</v>
      </c>
      <c r="AC31" s="25" t="str" cm="1">
        <f t="array" ref="AC31">_xlfn.IFNA(
    _xlfn.IFS(
        Z31="Shareholder","Shareholder",
        Z31="Same Company","Same Company",
        Z31="Bank","Bank",
        Z31="Government","Government",
        Z31="Social Insurance Agency","Government",
        Z31="Parent Company","Customer",
        Z31="Lender","Lender",
        Z31="Unknown","Unknown",
        ISNUMBER(SEARCH("Abdullah Abdulkarim",M31)),"Service Provider",
        ISNUMBER(SEARCH("Abdullah Fahad",M31)),"Service Provider",
        ISNUMBER(SEARCH("Advanced Equipments",M31)),"Supplier",
        ISNUMBER(SEARCH("Al Banuk Sana",M31)),"Supplier",
        ISNUMBER(SEARCH("Al Khaleefa Factory",M31)),"Supplier",
        ISNUMBER(SEARCH("Al Saadeh Trading",M31)),"Supplier",
        ISNUMBER(SEARCH("Al Zaehaan",M31)),"Supplier",
        ISNUMBER(SEARCH("Ali Abdullah K Al Darwish",M31)),"Service Provider",
        ISNUMBER(SEARCH("Bupa Arabia",M31)),"Insurance Company",
        ISNUMBER(SEARCH("Dar Fahoosaat",M31)),"Service Provider",
        ISNUMBER(SEARCH("General Authority of Zakat",M31)),"Tax Authority",
        ISNUMBER(SEARCH("Gulf Voyager",M31)),"Service Provider",
        ISNUMBER(SEARCH("Hopeway Trading",M31)),"Supplier",
        ISNUMBER(SEARCH("Interhealth Medical",M31)),"Customer",
        ISNUMBER(SEARCH("Ishaar",M31)),"Service Provider",
        ISNUMBER(SEARCH("ISO Arabia",M31)),"Service Provider",
        ISNUMBER(SEARCH("Khalid Saad Al Otaibi",M31)),"Supplier",
        ISNUMBER(SEARCH("MERAS for Decoration",M31)),"Supplier",
        ISNUMBER(SEARCH("Middle East Customs Clearance",M31)),"Service Provider",
        ISNUMBER(SEARCH("Ministry of Human Resources",M31)),"Regulatory Agency",
        ISNUMBER(SEARCH("My Business Services",M31)),"Service Provider",
        ISNUMBER(SEARCH("National Water Company",M31)),"Utility Provider",
        ISNUMBER(SEARCH("Rania Contracting",M31)),"Supplier",
        ISNUMBER(SEARCH("Sahab United Motors",M31)),"Supplier",
        ISNUMBER(SEARCH("Saudi Electric Company",M31)),"Utility Provider",
        ISNUMBER(SEARCH("Saudi Vetonit",M31)),"Supplier",
        ISNUMBER(SEARCH("Shomoul Eng",M31)),"Service Provider",
        ISNUMBER(SEARCH("STC",M31)),"Utility Provider",
        ISNUMBER(SEARCH("The General Organization for Social Insurance",M31)),"Social Insurance Agency",
        ISNUMBER(SEARCH("TUV Rheinland",M31)),"Service Provider",
        ISNUMBER(SEARCH("Al Arabia Ceramic",M31)),"Supplier",
        ISNUMBER(SEARCH("National Company for Building",M31)),"Customer",
        ISNUMBER(SEARCH("Athraa Holding",M31)),"Customer",
        ISNUMBER(SEARCH("Al Rasan",M31)),"Supplier",
        ISNUMBER(SEARCH("Raboua Al Haid",M31)),"Customer",
        ISNUMBER(SEARCH("Al Jazeera Paint",M31)),"Supplier",
        ISNUMBER(SEARCH("Rania Works Contracting",M31)),"Supplier",
        ISNUMBER(SEARCH("Bandar Jarallah",M31)),"Supplier",
        TRUE,"Supplier"
    ),
    "-"
)</f>
        <v>Same Company</v>
      </c>
      <c r="AD31" s="25" t="str" cm="1">
        <f t="array" ref="AD31">_xlfn.IFNA(
    _xlfn.IFS(
        AC31="Same Company","High",
        AC31="Shareholder","High",
        AC31="Government","High",
        AC31="Bank","High",
        AC31="Lender","High",
        AC31="Unknown","Low",
        AC31="-","Low",
        TRUE,"Medium"
    ),
    "-"
)</f>
        <v>High</v>
      </c>
      <c r="AE31" s="25" t="str">
        <f t="shared" si="2"/>
        <v>-</v>
      </c>
      <c r="AF31" s="25" t="str" cm="1">
        <f t="array" ref="AF31">_xlfn.IFNA(
    _xlfn.IFS(
        K31="Credit",
            _xlfn.IFS(
                OR(ISNUMBER(SEARCH("Rejected",L31)),ISNUMBER(SEARCH("Returned",L31))),"Other Income",
                TRUE,"Revenue"
            ),
        K31="Debit",
            _xlfn.IFS(
                ISNUMBER(SEARCH("Payroll",L31)),"OPEX",
                ISNUMBER(SEARCH("Expatriate",L31)),"OPEX",
                ISNUMBER(SEARCH("Zakat",M31)),"ZATCA",
                ISNUMBER(SEARCH("General Organization for Social Insurance",M31)),"OPEX",
                ISNUMBER(SEARCH("Saudi Electric",M31)),"OPEX",
                ISNUMBER(SEARCH("STC",M31)),"OPEX",
                ISNUMBER(SEARCH("National Water",M31)),"OPEX",
                ISNUMBER(SEARCH("Bupa",M31)),"OPEX",
                ISNUMBER(SEARCH("Abdullah Abdulkarim",M31)),"OPEX",
                ISNUMBER(SEARCH("Abdullah Fahad",M31)),"OPEX",
                ISNUMBER(SEARCH("ISO Arabia",M31)),"OPEX",
                ISNUMBER(SEARCH("Gulf Voyager",M31)),"OPEX",
                ISNUMBER(SEARCH("Ministry",M31)),"OPEX",
                ISNUMBER(SEARCH("General Authority of Zakat",M31)),"ZATCA",
                ISNUMBER(SEARCH("Rejected",L31)),"Other Income",
                TRUE,"COGS"
            ),
        TRUE,"-"
    ),
    "-"
)</f>
        <v>COGS</v>
      </c>
      <c r="AG31" s="25" t="str" cm="1">
        <f t="array" ref="AG31">_xlfn.IFNA(
    _xlfn.IFS(
        ISNUMBER(SEARCH("Payroll",L31)),"Payroll",
        ISNUMBER(SEARCH("Expatriate",L31)),"Government Fees",
        ISNUMBER(SEARCH("Zakat",M31)),"Zakat",
        ISNUMBER(SEARCH("Social Insurance",M31)),"Social Insurance",
        ISNUMBER(SEARCH("Saudi Electric",M31)),"Electricity",
        ISNUMBER(SEARCH("STC",M31)),"Telecom",
        ISNUMBER(SEARCH("National Water",M31)),"Water",
        ISNUMBER(SEARCH("Bupa",M31)),"Insurance",
        ISNUMBER(SEARCH("Gulf Voyager",M31)),"Travel",
        ISNUMBER(SEARCH("Ministry",M31)),"Government Fees",
        ISNUMBER(SEARCH("Abdullah Abdulkarim",M31)),"Consulting",
        ISNUMBER(SEARCH("Abdullah Fahad",M31)),"Accounting",
        ISNUMBER(SEARCH("ISO Arabia",M31)),"Consulting",
        ISNUMBER(SEARCH("Rejected",L31)),"Refund",
        AF31="COGS","Inventory Purchase",
        AF31="Revenue","Revenue",
        AF31="OPEX","Other",
        AF31="ZATCA","Zakat",
        TRUE,"-"
    ),
    "-"
)</f>
        <v>Inventory Purchase</v>
      </c>
      <c r="AH31" s="25" t="str" cm="1">
        <f t="array" ref="AH31">_xlfn.IFNA(
    _xlfn.IFS(
        AF31="-","Low",
        AF31="Other","Low",
        TRUE,"Medium"
    ),
    "-"
)</f>
        <v>Medium</v>
      </c>
      <c r="AI31" s="25" t="str">
        <f t="shared" si="3"/>
        <v>-</v>
      </c>
    </row>
    <row r="32" spans="1:35" x14ac:dyDescent="0.25">
      <c r="A32" s="10">
        <v>2</v>
      </c>
      <c r="B32" s="10" t="s">
        <v>35</v>
      </c>
      <c r="C32" s="10" t="s">
        <v>36</v>
      </c>
      <c r="D32" s="10" t="s">
        <v>37</v>
      </c>
      <c r="E32" s="10" t="s">
        <v>38</v>
      </c>
      <c r="F32" s="11" t="s">
        <v>39</v>
      </c>
      <c r="G32" s="11" t="s">
        <v>40</v>
      </c>
      <c r="H32" s="12">
        <v>44985</v>
      </c>
      <c r="I32" s="20">
        <v>154476.71</v>
      </c>
      <c r="J32" s="20">
        <v>12000</v>
      </c>
      <c r="K32" s="10" t="s">
        <v>41</v>
      </c>
      <c r="L32" s="9" t="s">
        <v>224</v>
      </c>
      <c r="M32" s="9" t="s">
        <v>324</v>
      </c>
      <c r="N32" s="9">
        <v>68202352833001</v>
      </c>
      <c r="O32" s="9" t="s">
        <v>226</v>
      </c>
      <c r="P32" s="15">
        <v>44985</v>
      </c>
      <c r="Q32" s="9" t="s">
        <v>337</v>
      </c>
      <c r="R32" s="16">
        <v>12000</v>
      </c>
      <c r="U32" s="9" t="s">
        <v>55</v>
      </c>
      <c r="V32" s="24" t="str" cm="1">
        <f t="array" ref="V32">_xlfn.IFNA(
    _xlfn.IFS(
        ISNUMBER(SEARCH("Fast Outgoing Transfer",L32)),"Transfer",
        ISNUMBER(SEARCH("Incoming Fast Transfer",L32)),"Transfer",
        ISNUMBER(SEARCH("Outgoing International Transfer",L32)),"Transfer",
        ISNUMBER(SEARCH("Bill Payment",L32)),"SADAD",
        ISNUMBER(SEARCH("Payroll",L32)),"Payroll",
        ISNUMBER(SEARCH("Cash Deposit",L32)),"Cash",
        ISNUMBER(SEARCH("Internal Transfer",L32)),"Transfer",
        ISNUMBER(SEARCH("Expatriate Services Payment",L32)),"SADAD",
        ISNUMBER(SEARCH("Rejected",L32)),"Transfer"
    ),
    "-"
)</f>
        <v>Transfer</v>
      </c>
      <c r="W32" s="25" t="str" cm="1">
        <f t="array" ref="W32">_xlfn.IFNA(
    _xlfn.IFS(
        AND(V32="Transfer",ISNUMBER(SEARCH("RIYAD BANK",L32))),"External FI",
        AND(V32="Transfer",ISNUMBER(SEARCH("Al Ahli",L32))),"External FI",
        AND(V32="Transfer",ISNUMBER(SEARCH("CIB via",L32))),"Local Transfer",
        AND(V32="Transfer",ISNUMBER(SEARCH("CIB)",L32))),"Local Transfer",
        AND(V32="Transfer",ISNUMBER(SEARCH("SMRT",L32))),"Local Transfer",
        AND(V32="Transfer",ISNUMBER(SEARCH("Al Murabba",L32))),"Local Transfer",
        AND(V32="Transfer",ISNUMBER(SEARCH("Internal Transfer",L32))),"Same FI",
        AND(V32="Transfer",ISNUMBER(SEARCH("Rejected",L32))),"Failed",
        V32="SADAD",
            _xlfn.IFS(
                ISNUMBER(SEARCH("Expatriate",L32)),"Expat Fees",
                TRUE,"Online Payment"
            ),
        V32="Payroll","Payroll",
        V32="Cash","Deposit",
        TRUE,"-"
    ),
    "-"
)</f>
        <v>Local Transfer</v>
      </c>
      <c r="X32" s="25" t="str" cm="1">
        <f t="array" ref="X32">_xlfn.IFNA(
    _xlfn.IFS(
        V32="-","Low",
        W32="-","Low",
        TRUE,"High"
    ),
    "-"
)</f>
        <v>High</v>
      </c>
      <c r="Y32" s="25" t="str">
        <f t="shared" si="0"/>
        <v>-</v>
      </c>
      <c r="Z32" s="25" t="str" cm="1">
        <f t="array" ref="Z32">_xlfn.IFNA(
    _xlfn.IFS(
        ISNUMBER(SEARCH("Abdul Latif Jameel",M32)),"Lender",
        ISNUMBER(SEARCH("Abdullah Abdulkarim Al Sudais",M32)),"Accounting",
        ISNUMBER(SEARCH("Abdullah Fahad for Accounting",M32)),"Accounting",
        ISNUMBER(SEARCH("Abdullah Rashid Shaikh",M32)),"Shareholder",
        ISNUMBER(SEARCH("Advanced Equipments",M32)),"Equipment Rental",
        ISNUMBER(SEARCH("Al Banuk Sana",M32)),"Telecom Company",
        ISNUMBER(SEARCH("Al Khaleefa Factory",M32)),"Manufacturer",
        ISNUMBER(SEARCH("Al Saadeh Trading",M32)),"Trading Company",
        ISNUMBER(SEARCH("Al Zaehaan",M32)),"Trading Company",
        ISNUMBER(SEARCH("Ali Abdullah K Al Darwish",M32)),"Airlines",
        ISNUMBER(SEARCH("Bupa Arabia",M32)),"Health Insurance",
        ISNUMBER(SEARCH("Dar Fahoosaat",M32)),"Consultant",
        ISNUMBER(SEARCH("General Authority of Zakat",M32)),"Tax Collection",
        ISNUMBER(SEARCH("Gulf Voyager",M32)),"Travel Agency",
        ISNUMBER(SEARCH("Hopeway Trading",M32)),"Trading Company",
        ISNUMBER(SEARCH("Interhealth Medical",M32)),"Medical Services",
        ISNUMBER(SEARCH("Ishaar",M32)),"Online Payment Service",
        ISNUMBER(SEARCH("ISO Arabia",M32)),"Certification",
        ISNUMBER(SEARCH("Khalid Saad Al Otaibi",M32)),"Trading Company",
        ISNUMBER(SEARCH("MERAS for Decoration",M32)),"Decor Company",
        ISNUMBER(SEARCH("Middle East Customs Clearance",M32)),"Customs",
        ISNUMBER(SEARCH("Ministry of Human Resources",M32)),"Government",
        ISNUMBER(SEARCH("My Business Services",M32)),"Service Provider",
        ISNUMBER(SEARCH("National Water Company",M32)),"Water Company",
        ISNUMBER(SEARCH("Rania Contracting",M32)),"Contracting",
        ISNUMBER(SEARCH("Rashid Ali Sheikh",M32)),"Shareholder",
        ISNUMBER(SEARCH("Sahab United Motors",M32)),"Car Show Room",
        ISNUMBER(SEARCH("Saud Mohammed Al Tamimi",M32)),"Shareholder",
        ISNUMBER(SEARCH("Saud Mohammed Tamimi",M32)),"Shareholder",
        ISNUMBER(SEARCH("Saudi Electric Company",M32)),"Electricity Company",
        ISNUMBER(SEARCH("Saudi Vetonit",M32)),"Building Materials",
        ISNUMBER(SEARCH("Shomoul Eng",M32)),"Safety",
        ISNUMBER(SEARCH("STC",M32)),"Telecom Company",
        ISNUMBER(SEARCH("The General Organization for Social Insurance",M32)),"Social Insurance Agency",
        ISNUMBER(SEARCH("TUV Rheinland",M32)),"Certification",
        ISNUMBER(SEARCH("Al Arabia Ceramic",M32)),"Building Materials",
        ISNUMBER(SEARCH("National Company for Building and Marketing",M32)),"Parent Company",
        ISNUMBER(SEARCH("Athraa Holding",M32)),"Holding Company",
        ISNUMBER(SEARCH("Al Rasan",M32)),"Contracting",
        ISNUMBER(SEARCH("Raboua Al Haid",M32)),"Trading Company",
        ISNUMBER(SEARCH("Al Jazeera Paint",M32)),"Manufacturer",
        ISNUMBER(SEARCH("Rania Works Contracting",M32)),"Contracting",
        ISNUMBER(SEARCH("Bandar Jarallah",M32)),"Trading Establishment",
        ISNUMBER(SEARCH("RS Infratec Saudi",M32)),"Same Company",
        ISNUMBER(SEARCH("Payroll",M32)),"Bank",
        ISNUMBER(SEARCH("Expatriate",M32)),"Government",
        ISNUMBER(SEARCH("Unknown Sender",M32)),"Unknown",
        TRUE,"Unknown"
    ),
    "-"
)</f>
        <v>Same Company</v>
      </c>
      <c r="AA32" s="25" t="str" cm="1">
        <f t="array" ref="AA32">_xlfn.IFNA(
    _xlfn.IFS(
        Z32="Lender","Financing",
        Z32="Accounting","Accounting",
        Z32="Shareholder","Individual",
        Z32="Equipment Rental","Equipment Rental",
        Z32="Telecom Company","Telecom",
        Z32="Manufacturer","Manufacturer",
        Z32="Trading Company","Trading And Transport",
        Z32="Trading Establishment","Trading",
        Z32="Airlines","Airlines",
        Z32="Health Insurance","Insurance",
        Z32="Consultant","Consultant",
        Z32="Tax Collection","Government",
        Z32="Travel Agency","Travel Agency",
        Z32="Medical Services","Medical Center",
        Z32="Online Payment Service","Payment Facilitator",
        Z32="Certification","Safety",
        Z32="Decor Company","Design",
        Z32="Customs","Customs",
        Z32="Government","Government",
        Z32="Service Provider","Service Provider",
        Z32="Water Company","Water Company",
        Z32="Contracting","Contracting",
        Z32="Car Show Room","Car Trader",
        Z32="Electricity Company","Electricity Company",
        Z32="Building Materials","Building Materials",
        Z32="Safety","Safety",
        Z32="Social Insurance Agency","Government Fund",
        Z32="Parent Company","Holding Company",
        Z32="Holding Company","Holding Company",
        Z32="Same Company","Construction",
        Z32="Bank","Bank",
        Z32="Unknown","Unknown",
        TRUE,"-"
    ),
    "-"
)</f>
        <v>Construction</v>
      </c>
      <c r="AB32" s="25" t="str">
        <f t="shared" si="1"/>
        <v>-</v>
      </c>
      <c r="AC32" s="25" t="str" cm="1">
        <f t="array" ref="AC32">_xlfn.IFNA(
    _xlfn.IFS(
        Z32="Shareholder","Shareholder",
        Z32="Same Company","Same Company",
        Z32="Bank","Bank",
        Z32="Government","Government",
        Z32="Social Insurance Agency","Government",
        Z32="Parent Company","Customer",
        Z32="Lender","Lender",
        Z32="Unknown","Unknown",
        ISNUMBER(SEARCH("Abdullah Abdulkarim",M32)),"Service Provider",
        ISNUMBER(SEARCH("Abdullah Fahad",M32)),"Service Provider",
        ISNUMBER(SEARCH("Advanced Equipments",M32)),"Supplier",
        ISNUMBER(SEARCH("Al Banuk Sana",M32)),"Supplier",
        ISNUMBER(SEARCH("Al Khaleefa Factory",M32)),"Supplier",
        ISNUMBER(SEARCH("Al Saadeh Trading",M32)),"Supplier",
        ISNUMBER(SEARCH("Al Zaehaan",M32)),"Supplier",
        ISNUMBER(SEARCH("Ali Abdullah K Al Darwish",M32)),"Service Provider",
        ISNUMBER(SEARCH("Bupa Arabia",M32)),"Insurance Company",
        ISNUMBER(SEARCH("Dar Fahoosaat",M32)),"Service Provider",
        ISNUMBER(SEARCH("General Authority of Zakat",M32)),"Tax Authority",
        ISNUMBER(SEARCH("Gulf Voyager",M32)),"Service Provider",
        ISNUMBER(SEARCH("Hopeway Trading",M32)),"Supplier",
        ISNUMBER(SEARCH("Interhealth Medical",M32)),"Customer",
        ISNUMBER(SEARCH("Ishaar",M32)),"Service Provider",
        ISNUMBER(SEARCH("ISO Arabia",M32)),"Service Provider",
        ISNUMBER(SEARCH("Khalid Saad Al Otaibi",M32)),"Supplier",
        ISNUMBER(SEARCH("MERAS for Decoration",M32)),"Supplier",
        ISNUMBER(SEARCH("Middle East Customs Clearance",M32)),"Service Provider",
        ISNUMBER(SEARCH("Ministry of Human Resources",M32)),"Regulatory Agency",
        ISNUMBER(SEARCH("My Business Services",M32)),"Service Provider",
        ISNUMBER(SEARCH("National Water Company",M32)),"Utility Provider",
        ISNUMBER(SEARCH("Rania Contracting",M32)),"Supplier",
        ISNUMBER(SEARCH("Sahab United Motors",M32)),"Supplier",
        ISNUMBER(SEARCH("Saudi Electric Company",M32)),"Utility Provider",
        ISNUMBER(SEARCH("Saudi Vetonit",M32)),"Supplier",
        ISNUMBER(SEARCH("Shomoul Eng",M32)),"Service Provider",
        ISNUMBER(SEARCH("STC",M32)),"Utility Provider",
        ISNUMBER(SEARCH("The General Organization for Social Insurance",M32)),"Social Insurance Agency",
        ISNUMBER(SEARCH("TUV Rheinland",M32)),"Service Provider",
        ISNUMBER(SEARCH("Al Arabia Ceramic",M32)),"Supplier",
        ISNUMBER(SEARCH("National Company for Building",M32)),"Customer",
        ISNUMBER(SEARCH("Athraa Holding",M32)),"Customer",
        ISNUMBER(SEARCH("Al Rasan",M32)),"Supplier",
        ISNUMBER(SEARCH("Raboua Al Haid",M32)),"Customer",
        ISNUMBER(SEARCH("Al Jazeera Paint",M32)),"Supplier",
        ISNUMBER(SEARCH("Rania Works Contracting",M32)),"Supplier",
        ISNUMBER(SEARCH("Bandar Jarallah",M32)),"Supplier",
        TRUE,"Supplier"
    ),
    "-"
)</f>
        <v>Same Company</v>
      </c>
      <c r="AD32" s="25" t="str" cm="1">
        <f t="array" ref="AD32">_xlfn.IFNA(
    _xlfn.IFS(
        AC32="Same Company","High",
        AC32="Shareholder","High",
        AC32="Government","High",
        AC32="Bank","High",
        AC32="Lender","High",
        AC32="Unknown","Low",
        AC32="-","Low",
        TRUE,"Medium"
    ),
    "-"
)</f>
        <v>High</v>
      </c>
      <c r="AE32" s="25" t="str">
        <f t="shared" si="2"/>
        <v>-</v>
      </c>
      <c r="AF32" s="25" t="str" cm="1">
        <f t="array" ref="AF32">_xlfn.IFNA(
    _xlfn.IFS(
        K32="Credit",
            _xlfn.IFS(
                OR(ISNUMBER(SEARCH("Rejected",L32)),ISNUMBER(SEARCH("Returned",L32))),"Other Income",
                TRUE,"Revenue"
            ),
        K32="Debit",
            _xlfn.IFS(
                ISNUMBER(SEARCH("Payroll",L32)),"OPEX",
                ISNUMBER(SEARCH("Expatriate",L32)),"OPEX",
                ISNUMBER(SEARCH("Zakat",M32)),"ZATCA",
                ISNUMBER(SEARCH("General Organization for Social Insurance",M32)),"OPEX",
                ISNUMBER(SEARCH("Saudi Electric",M32)),"OPEX",
                ISNUMBER(SEARCH("STC",M32)),"OPEX",
                ISNUMBER(SEARCH("National Water",M32)),"OPEX",
                ISNUMBER(SEARCH("Bupa",M32)),"OPEX",
                ISNUMBER(SEARCH("Abdullah Abdulkarim",M32)),"OPEX",
                ISNUMBER(SEARCH("Abdullah Fahad",M32)),"OPEX",
                ISNUMBER(SEARCH("ISO Arabia",M32)),"OPEX",
                ISNUMBER(SEARCH("Gulf Voyager",M32)),"OPEX",
                ISNUMBER(SEARCH("Ministry",M32)),"OPEX",
                ISNUMBER(SEARCH("General Authority of Zakat",M32)),"ZATCA",
                ISNUMBER(SEARCH("Rejected",L32)),"Other Income",
                TRUE,"COGS"
            ),
        TRUE,"-"
    ),
    "-"
)</f>
        <v>COGS</v>
      </c>
      <c r="AG32" s="25" t="str" cm="1">
        <f t="array" ref="AG32">_xlfn.IFNA(
    _xlfn.IFS(
        ISNUMBER(SEARCH("Payroll",L32)),"Payroll",
        ISNUMBER(SEARCH("Expatriate",L32)),"Government Fees",
        ISNUMBER(SEARCH("Zakat",M32)),"Zakat",
        ISNUMBER(SEARCH("Social Insurance",M32)),"Social Insurance",
        ISNUMBER(SEARCH("Saudi Electric",M32)),"Electricity",
        ISNUMBER(SEARCH("STC",M32)),"Telecom",
        ISNUMBER(SEARCH("National Water",M32)),"Water",
        ISNUMBER(SEARCH("Bupa",M32)),"Insurance",
        ISNUMBER(SEARCH("Gulf Voyager",M32)),"Travel",
        ISNUMBER(SEARCH("Ministry",M32)),"Government Fees",
        ISNUMBER(SEARCH("Abdullah Abdulkarim",M32)),"Consulting",
        ISNUMBER(SEARCH("Abdullah Fahad",M32)),"Accounting",
        ISNUMBER(SEARCH("ISO Arabia",M32)),"Consulting",
        ISNUMBER(SEARCH("Rejected",L32)),"Refund",
        AF32="COGS","Inventory Purchase",
        AF32="Revenue","Revenue",
        AF32="OPEX","Other",
        AF32="ZATCA","Zakat",
        TRUE,"-"
    ),
    "-"
)</f>
        <v>Inventory Purchase</v>
      </c>
      <c r="AH32" s="25" t="str" cm="1">
        <f t="array" ref="AH32">_xlfn.IFNA(
    _xlfn.IFS(
        AF32="-","Low",
        AF32="Other","Low",
        TRUE,"Medium"
    ),
    "-"
)</f>
        <v>Medium</v>
      </c>
      <c r="AI32" s="25" t="str">
        <f t="shared" si="3"/>
        <v>-</v>
      </c>
    </row>
    <row r="33" spans="1:35" x14ac:dyDescent="0.25">
      <c r="A33" s="10">
        <v>2</v>
      </c>
      <c r="B33" s="10" t="s">
        <v>35</v>
      </c>
      <c r="C33" s="10" t="s">
        <v>36</v>
      </c>
      <c r="D33" s="10" t="s">
        <v>37</v>
      </c>
      <c r="E33" s="10" t="s">
        <v>38</v>
      </c>
      <c r="F33" s="11" t="s">
        <v>39</v>
      </c>
      <c r="G33" s="11" t="s">
        <v>40</v>
      </c>
      <c r="H33" s="12">
        <v>45069</v>
      </c>
      <c r="I33" s="20">
        <v>7408.36</v>
      </c>
      <c r="J33" s="20">
        <v>2251.15</v>
      </c>
      <c r="K33" s="10" t="s">
        <v>116</v>
      </c>
      <c r="L33" s="9" t="s">
        <v>350</v>
      </c>
      <c r="M33" s="9" t="s">
        <v>351</v>
      </c>
      <c r="O33" s="9" t="s">
        <v>226</v>
      </c>
      <c r="P33" s="15">
        <v>45069</v>
      </c>
      <c r="Q33" s="9" t="s">
        <v>352</v>
      </c>
      <c r="R33" s="16">
        <v>2250</v>
      </c>
      <c r="U33" s="9" t="s">
        <v>353</v>
      </c>
      <c r="V33" s="24" t="str" cm="1">
        <f t="array" ref="V33">_xlfn.IFNA(
    _xlfn.IFS(
        ISNUMBER(SEARCH("Fast Outgoing Transfer",L33)),"Transfer",
        ISNUMBER(SEARCH("Incoming Fast Transfer",L33)),"Transfer",
        ISNUMBER(SEARCH("Outgoing International Transfer",L33)),"Transfer",
        ISNUMBER(SEARCH("Bill Payment",L33)),"SADAD",
        ISNUMBER(SEARCH("Payroll",L33)),"Payroll",
        ISNUMBER(SEARCH("Cash Deposit",L33)),"Cash",
        ISNUMBER(SEARCH("Internal Transfer",L33)),"Transfer",
        ISNUMBER(SEARCH("Expatriate Services Payment",L33)),"SADAD",
        ISNUMBER(SEARCH("Rejected",L33)),"Transfer"
    ),
    "-"
)</f>
        <v>Transfer</v>
      </c>
      <c r="W33" s="25" t="str" cm="1">
        <f t="array" ref="W33">_xlfn.IFNA(
    _xlfn.IFS(
        AND(V33="Transfer",ISNUMBER(SEARCH("RIYAD BANK",L33))),"External FI",
        AND(V33="Transfer",ISNUMBER(SEARCH("Al Ahli",L33))),"External FI",
        AND(V33="Transfer",ISNUMBER(SEARCH("CIB via",L33))),"Local Transfer",
        AND(V33="Transfer",ISNUMBER(SEARCH("CIB)",L33))),"Local Transfer",
        AND(V33="Transfer",ISNUMBER(SEARCH("SMRT",L33))),"Local Transfer",
        AND(V33="Transfer",ISNUMBER(SEARCH("Al Murabba",L33))),"Local Transfer",
        AND(V33="Transfer",ISNUMBER(SEARCH("Internal Transfer",L33))),"Same FI",
        AND(V33="Transfer",ISNUMBER(SEARCH("Rejected",L33))),"Failed",
        V33="SADAD",
            _xlfn.IFS(
                ISNUMBER(SEARCH("Expatriate",L33)),"Expat Fees",
                TRUE,"Online Payment"
            ),
        V33="Payroll","Payroll",
        V33="Cash","Deposit",
        TRUE,"-"
    ),
    "-"
)</f>
        <v>Failed</v>
      </c>
      <c r="X33" s="25" t="str" cm="1">
        <f t="array" ref="X33">_xlfn.IFNA(
    _xlfn.IFS(
        V33="-","Low",
        W33="-","Low",
        TRUE,"High"
    ),
    "-"
)</f>
        <v>High</v>
      </c>
      <c r="Y33" s="25" t="str">
        <f t="shared" si="0"/>
        <v>-</v>
      </c>
      <c r="Z33" s="25" t="str" cm="1">
        <f t="array" ref="Z33">_xlfn.IFNA(
    _xlfn.IFS(
        ISNUMBER(SEARCH("Abdul Latif Jameel",M33)),"Lender",
        ISNUMBER(SEARCH("Abdullah Abdulkarim Al Sudais",M33)),"Accounting",
        ISNUMBER(SEARCH("Abdullah Fahad for Accounting",M33)),"Accounting",
        ISNUMBER(SEARCH("Abdullah Rashid Shaikh",M33)),"Shareholder",
        ISNUMBER(SEARCH("Advanced Equipments",M33)),"Equipment Rental",
        ISNUMBER(SEARCH("Al Banuk Sana",M33)),"Telecom Company",
        ISNUMBER(SEARCH("Al Khaleefa Factory",M33)),"Manufacturer",
        ISNUMBER(SEARCH("Al Saadeh Trading",M33)),"Trading Company",
        ISNUMBER(SEARCH("Al Zaehaan",M33)),"Trading Company",
        ISNUMBER(SEARCH("Ali Abdullah K Al Darwish",M33)),"Airlines",
        ISNUMBER(SEARCH("Bupa Arabia",M33)),"Health Insurance",
        ISNUMBER(SEARCH("Dar Fahoosaat",M33)),"Consultant",
        ISNUMBER(SEARCH("General Authority of Zakat",M33)),"Tax Collection",
        ISNUMBER(SEARCH("Gulf Voyager",M33)),"Travel Agency",
        ISNUMBER(SEARCH("Hopeway Trading",M33)),"Trading Company",
        ISNUMBER(SEARCH("Interhealth Medical",M33)),"Medical Services",
        ISNUMBER(SEARCH("Ishaar",M33)),"Online Payment Service",
        ISNUMBER(SEARCH("ISO Arabia",M33)),"Certification",
        ISNUMBER(SEARCH("Khalid Saad Al Otaibi",M33)),"Trading Company",
        ISNUMBER(SEARCH("MERAS for Decoration",M33)),"Decor Company",
        ISNUMBER(SEARCH("Middle East Customs Clearance",M33)),"Customs",
        ISNUMBER(SEARCH("Ministry of Human Resources",M33)),"Government",
        ISNUMBER(SEARCH("My Business Services",M33)),"Service Provider",
        ISNUMBER(SEARCH("National Water Company",M33)),"Water Company",
        ISNUMBER(SEARCH("Rania Contracting",M33)),"Contracting",
        ISNUMBER(SEARCH("Rashid Ali Sheikh",M33)),"Shareholder",
        ISNUMBER(SEARCH("Sahab United Motors",M33)),"Car Show Room",
        ISNUMBER(SEARCH("Saud Mohammed Al Tamimi",M33)),"Shareholder",
        ISNUMBER(SEARCH("Saud Mohammed Tamimi",M33)),"Shareholder",
        ISNUMBER(SEARCH("Saudi Electric Company",M33)),"Electricity Company",
        ISNUMBER(SEARCH("Saudi Vetonit",M33)),"Building Materials",
        ISNUMBER(SEARCH("Shomoul Eng",M33)),"Safety",
        ISNUMBER(SEARCH("STC",M33)),"Telecom Company",
        ISNUMBER(SEARCH("The General Organization for Social Insurance",M33)),"Social Insurance Agency",
        ISNUMBER(SEARCH("TUV Rheinland",M33)),"Certification",
        ISNUMBER(SEARCH("Al Arabia Ceramic",M33)),"Building Materials",
        ISNUMBER(SEARCH("National Company for Building and Marketing",M33)),"Parent Company",
        ISNUMBER(SEARCH("Athraa Holding",M33)),"Holding Company",
        ISNUMBER(SEARCH("Al Rasan",M33)),"Contracting",
        ISNUMBER(SEARCH("Raboua Al Haid",M33)),"Trading Company",
        ISNUMBER(SEARCH("Al Jazeera Paint",M33)),"Manufacturer",
        ISNUMBER(SEARCH("Rania Works Contracting",M33)),"Contracting",
        ISNUMBER(SEARCH("Bandar Jarallah",M33)),"Trading Establishment",
        ISNUMBER(SEARCH("RS Infratec Saudi",M33)),"Same Company",
        ISNUMBER(SEARCH("Payroll",M33)),"Bank",
        ISNUMBER(SEARCH("Expatriate",M33)),"Government",
        ISNUMBER(SEARCH("Unknown Sender",M33)),"Unknown",
        TRUE,"Unknown"
    ),
    "-"
)</f>
        <v>Unknown</v>
      </c>
      <c r="AA33" s="25" t="str" cm="1">
        <f t="array" ref="AA33">_xlfn.IFNA(
    _xlfn.IFS(
        Z33="Lender","Financing",
        Z33="Accounting","Accounting",
        Z33="Shareholder","Individual",
        Z33="Equipment Rental","Equipment Rental",
        Z33="Telecom Company","Telecom",
        Z33="Manufacturer","Manufacturer",
        Z33="Trading Company","Trading And Transport",
        Z33="Trading Establishment","Trading",
        Z33="Airlines","Airlines",
        Z33="Health Insurance","Insurance",
        Z33="Consultant","Consultant",
        Z33="Tax Collection","Government",
        Z33="Travel Agency","Travel Agency",
        Z33="Medical Services","Medical Center",
        Z33="Online Payment Service","Payment Facilitator",
        Z33="Certification","Safety",
        Z33="Decor Company","Design",
        Z33="Customs","Customs",
        Z33="Government","Government",
        Z33="Service Provider","Service Provider",
        Z33="Water Company","Water Company",
        Z33="Contracting","Contracting",
        Z33="Car Show Room","Car Trader",
        Z33="Electricity Company","Electricity Company",
        Z33="Building Materials","Building Materials",
        Z33="Safety","Safety",
        Z33="Social Insurance Agency","Government Fund",
        Z33="Parent Company","Holding Company",
        Z33="Holding Company","Holding Company",
        Z33="Same Company","Construction",
        Z33="Bank","Bank",
        Z33="Unknown","Unknown",
        TRUE,"-"
    ),
    "-"
)</f>
        <v>Unknown</v>
      </c>
      <c r="AB33" s="25" t="str">
        <f t="shared" si="1"/>
        <v>-</v>
      </c>
      <c r="AC33" s="25" t="str" cm="1">
        <f t="array" ref="AC33">_xlfn.IFNA(
    _xlfn.IFS(
        Z33="Shareholder","Shareholder",
        Z33="Same Company","Same Company",
        Z33="Bank","Bank",
        Z33="Government","Government",
        Z33="Social Insurance Agency","Government",
        Z33="Parent Company","Customer",
        Z33="Lender","Lender",
        Z33="Unknown","Unknown",
        ISNUMBER(SEARCH("Abdullah Abdulkarim",M33)),"Service Provider",
        ISNUMBER(SEARCH("Abdullah Fahad",M33)),"Service Provider",
        ISNUMBER(SEARCH("Advanced Equipments",M33)),"Supplier",
        ISNUMBER(SEARCH("Al Banuk Sana",M33)),"Supplier",
        ISNUMBER(SEARCH("Al Khaleefa Factory",M33)),"Supplier",
        ISNUMBER(SEARCH("Al Saadeh Trading",M33)),"Supplier",
        ISNUMBER(SEARCH("Al Zaehaan",M33)),"Supplier",
        ISNUMBER(SEARCH("Ali Abdullah K Al Darwish",M33)),"Service Provider",
        ISNUMBER(SEARCH("Bupa Arabia",M33)),"Insurance Company",
        ISNUMBER(SEARCH("Dar Fahoosaat",M33)),"Service Provider",
        ISNUMBER(SEARCH("General Authority of Zakat",M33)),"Tax Authority",
        ISNUMBER(SEARCH("Gulf Voyager",M33)),"Service Provider",
        ISNUMBER(SEARCH("Hopeway Trading",M33)),"Supplier",
        ISNUMBER(SEARCH("Interhealth Medical",M33)),"Customer",
        ISNUMBER(SEARCH("Ishaar",M33)),"Service Provider",
        ISNUMBER(SEARCH("ISO Arabia",M33)),"Service Provider",
        ISNUMBER(SEARCH("Khalid Saad Al Otaibi",M33)),"Supplier",
        ISNUMBER(SEARCH("MERAS for Decoration",M33)),"Supplier",
        ISNUMBER(SEARCH("Middle East Customs Clearance",M33)),"Service Provider",
        ISNUMBER(SEARCH("Ministry of Human Resources",M33)),"Regulatory Agency",
        ISNUMBER(SEARCH("My Business Services",M33)),"Service Provider",
        ISNUMBER(SEARCH("National Water Company",M33)),"Utility Provider",
        ISNUMBER(SEARCH("Rania Contracting",M33)),"Supplier",
        ISNUMBER(SEARCH("Sahab United Motors",M33)),"Supplier",
        ISNUMBER(SEARCH("Saudi Electric Company",M33)),"Utility Provider",
        ISNUMBER(SEARCH("Saudi Vetonit",M33)),"Supplier",
        ISNUMBER(SEARCH("Shomoul Eng",M33)),"Service Provider",
        ISNUMBER(SEARCH("STC",M33)),"Utility Provider",
        ISNUMBER(SEARCH("The General Organization for Social Insurance",M33)),"Social Insurance Agency",
        ISNUMBER(SEARCH("TUV Rheinland",M33)),"Service Provider",
        ISNUMBER(SEARCH("Al Arabia Ceramic",M33)),"Supplier",
        ISNUMBER(SEARCH("National Company for Building",M33)),"Customer",
        ISNUMBER(SEARCH("Athraa Holding",M33)),"Customer",
        ISNUMBER(SEARCH("Al Rasan",M33)),"Supplier",
        ISNUMBER(SEARCH("Raboua Al Haid",M33)),"Customer",
        ISNUMBER(SEARCH("Al Jazeera Paint",M33)),"Supplier",
        ISNUMBER(SEARCH("Rania Works Contracting",M33)),"Supplier",
        ISNUMBER(SEARCH("Bandar Jarallah",M33)),"Supplier",
        TRUE,"Supplier"
    ),
    "-"
)</f>
        <v>Unknown</v>
      </c>
      <c r="AD33" s="25" t="str" cm="1">
        <f t="array" ref="AD33">_xlfn.IFNA(
    _xlfn.IFS(
        AC33="Same Company","High",
        AC33="Shareholder","High",
        AC33="Government","High",
        AC33="Bank","High",
        AC33="Lender","High",
        AC33="Unknown","Low",
        AC33="-","Low",
        TRUE,"Medium"
    ),
    "-"
)</f>
        <v>Low</v>
      </c>
      <c r="AE33" s="25" t="str">
        <f t="shared" si="2"/>
        <v>-</v>
      </c>
      <c r="AF33" s="25" t="str" cm="1">
        <f t="array" ref="AF33">_xlfn.IFNA(
    _xlfn.IFS(
        K33="Credit",
            _xlfn.IFS(
                OR(ISNUMBER(SEARCH("Rejected",L33)),ISNUMBER(SEARCH("Returned",L33))),"Other Income",
                TRUE,"Revenue"
            ),
        K33="Debit",
            _xlfn.IFS(
                ISNUMBER(SEARCH("Payroll",L33)),"OPEX",
                ISNUMBER(SEARCH("Expatriate",L33)),"OPEX",
                ISNUMBER(SEARCH("Zakat",M33)),"ZATCA",
                ISNUMBER(SEARCH("General Organization for Social Insurance",M33)),"OPEX",
                ISNUMBER(SEARCH("Saudi Electric",M33)),"OPEX",
                ISNUMBER(SEARCH("STC",M33)),"OPEX",
                ISNUMBER(SEARCH("National Water",M33)),"OPEX",
                ISNUMBER(SEARCH("Bupa",M33)),"OPEX",
                ISNUMBER(SEARCH("Abdullah Abdulkarim",M33)),"OPEX",
                ISNUMBER(SEARCH("Abdullah Fahad",M33)),"OPEX",
                ISNUMBER(SEARCH("ISO Arabia",M33)),"OPEX",
                ISNUMBER(SEARCH("Gulf Voyager",M33)),"OPEX",
                ISNUMBER(SEARCH("Ministry",M33)),"OPEX",
                ISNUMBER(SEARCH("General Authority of Zakat",M33)),"ZATCA",
                ISNUMBER(SEARCH("Rejected",L33)),"Other Income",
                TRUE,"COGS"
            ),
        TRUE,"-"
    ),
    "-"
)</f>
        <v>Other Income</v>
      </c>
      <c r="AG33" s="25" t="str" cm="1">
        <f t="array" ref="AG33">_xlfn.IFNA(
    _xlfn.IFS(
        ISNUMBER(SEARCH("Payroll",L33)),"Payroll",
        ISNUMBER(SEARCH("Expatriate",L33)),"Government Fees",
        ISNUMBER(SEARCH("Zakat",M33)),"Zakat",
        ISNUMBER(SEARCH("Social Insurance",M33)),"Social Insurance",
        ISNUMBER(SEARCH("Saudi Electric",M33)),"Electricity",
        ISNUMBER(SEARCH("STC",M33)),"Telecom",
        ISNUMBER(SEARCH("National Water",M33)),"Water",
        ISNUMBER(SEARCH("Bupa",M33)),"Insurance",
        ISNUMBER(SEARCH("Gulf Voyager",M33)),"Travel",
        ISNUMBER(SEARCH("Ministry",M33)),"Government Fees",
        ISNUMBER(SEARCH("Abdullah Abdulkarim",M33)),"Consulting",
        ISNUMBER(SEARCH("Abdullah Fahad",M33)),"Accounting",
        ISNUMBER(SEARCH("ISO Arabia",M33)),"Consulting",
        ISNUMBER(SEARCH("Rejected",L33)),"Refund",
        AF33="COGS","Inventory Purchase",
        AF33="Revenue","Revenue",
        AF33="OPEX","Other",
        AF33="ZATCA","Zakat",
        TRUE,"-"
    ),
    "-"
)</f>
        <v>Refund</v>
      </c>
      <c r="AH33" s="25" t="str" cm="1">
        <f t="array" ref="AH33">_xlfn.IFNA(
    _xlfn.IFS(
        AF33="-","Low",
        AF33="Other","Low",
        TRUE,"Medium"
    ),
    "-"
)</f>
        <v>Medium</v>
      </c>
      <c r="AI33" s="25" t="str">
        <f t="shared" si="3"/>
        <v>-</v>
      </c>
    </row>
    <row r="34" spans="1:35" x14ac:dyDescent="0.25">
      <c r="A34" s="10">
        <v>2</v>
      </c>
      <c r="B34" s="10" t="s">
        <v>35</v>
      </c>
      <c r="C34" s="10" t="s">
        <v>36</v>
      </c>
      <c r="D34" s="10" t="s">
        <v>37</v>
      </c>
      <c r="E34" s="10" t="s">
        <v>38</v>
      </c>
      <c r="F34" s="11" t="s">
        <v>39</v>
      </c>
      <c r="G34" s="11" t="s">
        <v>40</v>
      </c>
      <c r="H34" s="12">
        <v>45097</v>
      </c>
      <c r="I34" s="20">
        <v>51495.5</v>
      </c>
      <c r="J34" s="20">
        <v>16151.15</v>
      </c>
      <c r="K34" s="10" t="s">
        <v>116</v>
      </c>
      <c r="L34" s="9" t="s">
        <v>350</v>
      </c>
      <c r="M34" s="9" t="s">
        <v>351</v>
      </c>
      <c r="O34" s="9" t="s">
        <v>226</v>
      </c>
      <c r="P34" s="15">
        <v>45097</v>
      </c>
      <c r="Q34" s="9" t="s">
        <v>354</v>
      </c>
      <c r="R34" s="16">
        <v>16150</v>
      </c>
      <c r="U34" s="9" t="s">
        <v>353</v>
      </c>
      <c r="V34" s="24" t="str" cm="1">
        <f t="array" ref="V34">_xlfn.IFNA(
    _xlfn.IFS(
        ISNUMBER(SEARCH("Fast Outgoing Transfer",L34)),"Transfer",
        ISNUMBER(SEARCH("Incoming Fast Transfer",L34)),"Transfer",
        ISNUMBER(SEARCH("Outgoing International Transfer",L34)),"Transfer",
        ISNUMBER(SEARCH("Bill Payment",L34)),"SADAD",
        ISNUMBER(SEARCH("Payroll",L34)),"Payroll",
        ISNUMBER(SEARCH("Cash Deposit",L34)),"Cash",
        ISNUMBER(SEARCH("Internal Transfer",L34)),"Transfer",
        ISNUMBER(SEARCH("Expatriate Services Payment",L34)),"SADAD",
        ISNUMBER(SEARCH("Rejected",L34)),"Transfer"
    ),
    "-"
)</f>
        <v>Transfer</v>
      </c>
      <c r="W34" s="25" t="str" cm="1">
        <f t="array" ref="W34">_xlfn.IFNA(
    _xlfn.IFS(
        AND(V34="Transfer",ISNUMBER(SEARCH("RIYAD BANK",L34))),"External FI",
        AND(V34="Transfer",ISNUMBER(SEARCH("Al Ahli",L34))),"External FI",
        AND(V34="Transfer",ISNUMBER(SEARCH("CIB via",L34))),"Local Transfer",
        AND(V34="Transfer",ISNUMBER(SEARCH("CIB)",L34))),"Local Transfer",
        AND(V34="Transfer",ISNUMBER(SEARCH("SMRT",L34))),"Local Transfer",
        AND(V34="Transfer",ISNUMBER(SEARCH("Al Murabba",L34))),"Local Transfer",
        AND(V34="Transfer",ISNUMBER(SEARCH("Internal Transfer",L34))),"Same FI",
        AND(V34="Transfer",ISNUMBER(SEARCH("Rejected",L34))),"Failed",
        V34="SADAD",
            _xlfn.IFS(
                ISNUMBER(SEARCH("Expatriate",L34)),"Expat Fees",
                TRUE,"Online Payment"
            ),
        V34="Payroll","Payroll",
        V34="Cash","Deposit",
        TRUE,"-"
    ),
    "-"
)</f>
        <v>Failed</v>
      </c>
      <c r="X34" s="25" t="str" cm="1">
        <f t="array" ref="X34">_xlfn.IFNA(
    _xlfn.IFS(
        V34="-","Low",
        W34="-","Low",
        TRUE,"High"
    ),
    "-"
)</f>
        <v>High</v>
      </c>
      <c r="Y34" s="25" t="str">
        <f t="shared" si="0"/>
        <v>-</v>
      </c>
      <c r="Z34" s="25" t="str" cm="1">
        <f t="array" ref="Z34">_xlfn.IFNA(
    _xlfn.IFS(
        ISNUMBER(SEARCH("Abdul Latif Jameel",M34)),"Lender",
        ISNUMBER(SEARCH("Abdullah Abdulkarim Al Sudais",M34)),"Accounting",
        ISNUMBER(SEARCH("Abdullah Fahad for Accounting",M34)),"Accounting",
        ISNUMBER(SEARCH("Abdullah Rashid Shaikh",M34)),"Shareholder",
        ISNUMBER(SEARCH("Advanced Equipments",M34)),"Equipment Rental",
        ISNUMBER(SEARCH("Al Banuk Sana",M34)),"Telecom Company",
        ISNUMBER(SEARCH("Al Khaleefa Factory",M34)),"Manufacturer",
        ISNUMBER(SEARCH("Al Saadeh Trading",M34)),"Trading Company",
        ISNUMBER(SEARCH("Al Zaehaan",M34)),"Trading Company",
        ISNUMBER(SEARCH("Ali Abdullah K Al Darwish",M34)),"Airlines",
        ISNUMBER(SEARCH("Bupa Arabia",M34)),"Health Insurance",
        ISNUMBER(SEARCH("Dar Fahoosaat",M34)),"Consultant",
        ISNUMBER(SEARCH("General Authority of Zakat",M34)),"Tax Collection",
        ISNUMBER(SEARCH("Gulf Voyager",M34)),"Travel Agency",
        ISNUMBER(SEARCH("Hopeway Trading",M34)),"Trading Company",
        ISNUMBER(SEARCH("Interhealth Medical",M34)),"Medical Services",
        ISNUMBER(SEARCH("Ishaar",M34)),"Online Payment Service",
        ISNUMBER(SEARCH("ISO Arabia",M34)),"Certification",
        ISNUMBER(SEARCH("Khalid Saad Al Otaibi",M34)),"Trading Company",
        ISNUMBER(SEARCH("MERAS for Decoration",M34)),"Decor Company",
        ISNUMBER(SEARCH("Middle East Customs Clearance",M34)),"Customs",
        ISNUMBER(SEARCH("Ministry of Human Resources",M34)),"Government",
        ISNUMBER(SEARCH("My Business Services",M34)),"Service Provider",
        ISNUMBER(SEARCH("National Water Company",M34)),"Water Company",
        ISNUMBER(SEARCH("Rania Contracting",M34)),"Contracting",
        ISNUMBER(SEARCH("Rashid Ali Sheikh",M34)),"Shareholder",
        ISNUMBER(SEARCH("Sahab United Motors",M34)),"Car Show Room",
        ISNUMBER(SEARCH("Saud Mohammed Al Tamimi",M34)),"Shareholder",
        ISNUMBER(SEARCH("Saud Mohammed Tamimi",M34)),"Shareholder",
        ISNUMBER(SEARCH("Saudi Electric Company",M34)),"Electricity Company",
        ISNUMBER(SEARCH("Saudi Vetonit",M34)),"Building Materials",
        ISNUMBER(SEARCH("Shomoul Eng",M34)),"Safety",
        ISNUMBER(SEARCH("STC",M34)),"Telecom Company",
        ISNUMBER(SEARCH("The General Organization for Social Insurance",M34)),"Social Insurance Agency",
        ISNUMBER(SEARCH("TUV Rheinland",M34)),"Certification",
        ISNUMBER(SEARCH("Al Arabia Ceramic",M34)),"Building Materials",
        ISNUMBER(SEARCH("National Company for Building and Marketing",M34)),"Parent Company",
        ISNUMBER(SEARCH("Athraa Holding",M34)),"Holding Company",
        ISNUMBER(SEARCH("Al Rasan",M34)),"Contracting",
        ISNUMBER(SEARCH("Raboua Al Haid",M34)),"Trading Company",
        ISNUMBER(SEARCH("Al Jazeera Paint",M34)),"Manufacturer",
        ISNUMBER(SEARCH("Rania Works Contracting",M34)),"Contracting",
        ISNUMBER(SEARCH("Bandar Jarallah",M34)),"Trading Establishment",
        ISNUMBER(SEARCH("RS Infratec Saudi",M34)),"Same Company",
        ISNUMBER(SEARCH("Payroll",M34)),"Bank",
        ISNUMBER(SEARCH("Expatriate",M34)),"Government",
        ISNUMBER(SEARCH("Unknown Sender",M34)),"Unknown",
        TRUE,"Unknown"
    ),
    "-"
)</f>
        <v>Unknown</v>
      </c>
      <c r="AA34" s="25" t="str" cm="1">
        <f t="array" ref="AA34">_xlfn.IFNA(
    _xlfn.IFS(
        Z34="Lender","Financing",
        Z34="Accounting","Accounting",
        Z34="Shareholder","Individual",
        Z34="Equipment Rental","Equipment Rental",
        Z34="Telecom Company","Telecom",
        Z34="Manufacturer","Manufacturer",
        Z34="Trading Company","Trading And Transport",
        Z34="Trading Establishment","Trading",
        Z34="Airlines","Airlines",
        Z34="Health Insurance","Insurance",
        Z34="Consultant","Consultant",
        Z34="Tax Collection","Government",
        Z34="Travel Agency","Travel Agency",
        Z34="Medical Services","Medical Center",
        Z34="Online Payment Service","Payment Facilitator",
        Z34="Certification","Safety",
        Z34="Decor Company","Design",
        Z34="Customs","Customs",
        Z34="Government","Government",
        Z34="Service Provider","Service Provider",
        Z34="Water Company","Water Company",
        Z34="Contracting","Contracting",
        Z34="Car Show Room","Car Trader",
        Z34="Electricity Company","Electricity Company",
        Z34="Building Materials","Building Materials",
        Z34="Safety","Safety",
        Z34="Social Insurance Agency","Government Fund",
        Z34="Parent Company","Holding Company",
        Z34="Holding Company","Holding Company",
        Z34="Same Company","Construction",
        Z34="Bank","Bank",
        Z34="Unknown","Unknown",
        TRUE,"-"
    ),
    "-"
)</f>
        <v>Unknown</v>
      </c>
      <c r="AB34" s="25" t="str">
        <f t="shared" si="1"/>
        <v>-</v>
      </c>
      <c r="AC34" s="25" t="str" cm="1">
        <f t="array" ref="AC34">_xlfn.IFNA(
    _xlfn.IFS(
        Z34="Shareholder","Shareholder",
        Z34="Same Company","Same Company",
        Z34="Bank","Bank",
        Z34="Government","Government",
        Z34="Social Insurance Agency","Government",
        Z34="Parent Company","Customer",
        Z34="Lender","Lender",
        Z34="Unknown","Unknown",
        ISNUMBER(SEARCH("Abdullah Abdulkarim",M34)),"Service Provider",
        ISNUMBER(SEARCH("Abdullah Fahad",M34)),"Service Provider",
        ISNUMBER(SEARCH("Advanced Equipments",M34)),"Supplier",
        ISNUMBER(SEARCH("Al Banuk Sana",M34)),"Supplier",
        ISNUMBER(SEARCH("Al Khaleefa Factory",M34)),"Supplier",
        ISNUMBER(SEARCH("Al Saadeh Trading",M34)),"Supplier",
        ISNUMBER(SEARCH("Al Zaehaan",M34)),"Supplier",
        ISNUMBER(SEARCH("Ali Abdullah K Al Darwish",M34)),"Service Provider",
        ISNUMBER(SEARCH("Bupa Arabia",M34)),"Insurance Company",
        ISNUMBER(SEARCH("Dar Fahoosaat",M34)),"Service Provider",
        ISNUMBER(SEARCH("General Authority of Zakat",M34)),"Tax Authority",
        ISNUMBER(SEARCH("Gulf Voyager",M34)),"Service Provider",
        ISNUMBER(SEARCH("Hopeway Trading",M34)),"Supplier",
        ISNUMBER(SEARCH("Interhealth Medical",M34)),"Customer",
        ISNUMBER(SEARCH("Ishaar",M34)),"Service Provider",
        ISNUMBER(SEARCH("ISO Arabia",M34)),"Service Provider",
        ISNUMBER(SEARCH("Khalid Saad Al Otaibi",M34)),"Supplier",
        ISNUMBER(SEARCH("MERAS for Decoration",M34)),"Supplier",
        ISNUMBER(SEARCH("Middle East Customs Clearance",M34)),"Service Provider",
        ISNUMBER(SEARCH("Ministry of Human Resources",M34)),"Regulatory Agency",
        ISNUMBER(SEARCH("My Business Services",M34)),"Service Provider",
        ISNUMBER(SEARCH("National Water Company",M34)),"Utility Provider",
        ISNUMBER(SEARCH("Rania Contracting",M34)),"Supplier",
        ISNUMBER(SEARCH("Sahab United Motors",M34)),"Supplier",
        ISNUMBER(SEARCH("Saudi Electric Company",M34)),"Utility Provider",
        ISNUMBER(SEARCH("Saudi Vetonit",M34)),"Supplier",
        ISNUMBER(SEARCH("Shomoul Eng",M34)),"Service Provider",
        ISNUMBER(SEARCH("STC",M34)),"Utility Provider",
        ISNUMBER(SEARCH("The General Organization for Social Insurance",M34)),"Social Insurance Agency",
        ISNUMBER(SEARCH("TUV Rheinland",M34)),"Service Provider",
        ISNUMBER(SEARCH("Al Arabia Ceramic",M34)),"Supplier",
        ISNUMBER(SEARCH("National Company for Building",M34)),"Customer",
        ISNUMBER(SEARCH("Athraa Holding",M34)),"Customer",
        ISNUMBER(SEARCH("Al Rasan",M34)),"Supplier",
        ISNUMBER(SEARCH("Raboua Al Haid",M34)),"Customer",
        ISNUMBER(SEARCH("Al Jazeera Paint",M34)),"Supplier",
        ISNUMBER(SEARCH("Rania Works Contracting",M34)),"Supplier",
        ISNUMBER(SEARCH("Bandar Jarallah",M34)),"Supplier",
        TRUE,"Supplier"
    ),
    "-"
)</f>
        <v>Unknown</v>
      </c>
      <c r="AD34" s="25" t="str" cm="1">
        <f t="array" ref="AD34">_xlfn.IFNA(
    _xlfn.IFS(
        AC34="Same Company","High",
        AC34="Shareholder","High",
        AC34="Government","High",
        AC34="Bank","High",
        AC34="Lender","High",
        AC34="Unknown","Low",
        AC34="-","Low",
        TRUE,"Medium"
    ),
    "-"
)</f>
        <v>Low</v>
      </c>
      <c r="AE34" s="25" t="str">
        <f t="shared" si="2"/>
        <v>-</v>
      </c>
      <c r="AF34" s="25" t="str" cm="1">
        <f t="array" ref="AF34">_xlfn.IFNA(
    _xlfn.IFS(
        K34="Credit",
            _xlfn.IFS(
                OR(ISNUMBER(SEARCH("Rejected",L34)),ISNUMBER(SEARCH("Returned",L34))),"Other Income",
                TRUE,"Revenue"
            ),
        K34="Debit",
            _xlfn.IFS(
                ISNUMBER(SEARCH("Payroll",L34)),"OPEX",
                ISNUMBER(SEARCH("Expatriate",L34)),"OPEX",
                ISNUMBER(SEARCH("Zakat",M34)),"ZATCA",
                ISNUMBER(SEARCH("General Organization for Social Insurance",M34)),"OPEX",
                ISNUMBER(SEARCH("Saudi Electric",M34)),"OPEX",
                ISNUMBER(SEARCH("STC",M34)),"OPEX",
                ISNUMBER(SEARCH("National Water",M34)),"OPEX",
                ISNUMBER(SEARCH("Bupa",M34)),"OPEX",
                ISNUMBER(SEARCH("Abdullah Abdulkarim",M34)),"OPEX",
                ISNUMBER(SEARCH("Abdullah Fahad",M34)),"OPEX",
                ISNUMBER(SEARCH("ISO Arabia",M34)),"OPEX",
                ISNUMBER(SEARCH("Gulf Voyager",M34)),"OPEX",
                ISNUMBER(SEARCH("Ministry",M34)),"OPEX",
                ISNUMBER(SEARCH("General Authority of Zakat",M34)),"ZATCA",
                ISNUMBER(SEARCH("Rejected",L34)),"Other Income",
                TRUE,"COGS"
            ),
        TRUE,"-"
    ),
    "-"
)</f>
        <v>Other Income</v>
      </c>
      <c r="AG34" s="25" t="str" cm="1">
        <f t="array" ref="AG34">_xlfn.IFNA(
    _xlfn.IFS(
        ISNUMBER(SEARCH("Payroll",L34)),"Payroll",
        ISNUMBER(SEARCH("Expatriate",L34)),"Government Fees",
        ISNUMBER(SEARCH("Zakat",M34)),"Zakat",
        ISNUMBER(SEARCH("Social Insurance",M34)),"Social Insurance",
        ISNUMBER(SEARCH("Saudi Electric",M34)),"Electricity",
        ISNUMBER(SEARCH("STC",M34)),"Telecom",
        ISNUMBER(SEARCH("National Water",M34)),"Water",
        ISNUMBER(SEARCH("Bupa",M34)),"Insurance",
        ISNUMBER(SEARCH("Gulf Voyager",M34)),"Travel",
        ISNUMBER(SEARCH("Ministry",M34)),"Government Fees",
        ISNUMBER(SEARCH("Abdullah Abdulkarim",M34)),"Consulting",
        ISNUMBER(SEARCH("Abdullah Fahad",M34)),"Accounting",
        ISNUMBER(SEARCH("ISO Arabia",M34)),"Consulting",
        ISNUMBER(SEARCH("Rejected",L34)),"Refund",
        AF34="COGS","Inventory Purchase",
        AF34="Revenue","Revenue",
        AF34="OPEX","Other",
        AF34="ZATCA","Zakat",
        TRUE,"-"
    ),
    "-"
)</f>
        <v>Refund</v>
      </c>
      <c r="AH34" s="25" t="str" cm="1">
        <f t="array" ref="AH34">_xlfn.IFNA(
    _xlfn.IFS(
        AF34="-","Low",
        AF34="Other","Low",
        TRUE,"Medium"
    ),
    "-"
)</f>
        <v>Medium</v>
      </c>
      <c r="AI34" s="25" t="str">
        <f t="shared" si="3"/>
        <v>-</v>
      </c>
    </row>
    <row r="35" spans="1:35" x14ac:dyDescent="0.25">
      <c r="A35" s="10">
        <v>3</v>
      </c>
      <c r="B35" s="10" t="s">
        <v>35</v>
      </c>
      <c r="C35" s="10" t="s">
        <v>36</v>
      </c>
      <c r="D35" s="10" t="s">
        <v>37</v>
      </c>
      <c r="E35" s="10" t="s">
        <v>38</v>
      </c>
      <c r="F35" s="11" t="s">
        <v>39</v>
      </c>
      <c r="G35" s="11" t="s">
        <v>40</v>
      </c>
      <c r="H35" s="12">
        <v>45096</v>
      </c>
      <c r="I35" s="20">
        <v>62490.89</v>
      </c>
      <c r="J35" s="20">
        <v>31405.05</v>
      </c>
      <c r="K35" s="10" t="s">
        <v>41</v>
      </c>
      <c r="L35" s="9" t="s">
        <v>50</v>
      </c>
      <c r="M35" s="9" t="s">
        <v>85</v>
      </c>
      <c r="N35" s="9" t="s">
        <v>86</v>
      </c>
      <c r="O35" s="9" t="s">
        <v>53</v>
      </c>
      <c r="P35" s="15">
        <v>45096</v>
      </c>
      <c r="Q35" s="9" t="s">
        <v>87</v>
      </c>
      <c r="R35" s="16">
        <v>31397</v>
      </c>
      <c r="S35" s="18">
        <v>7</v>
      </c>
      <c r="T35" s="18">
        <v>1.05</v>
      </c>
      <c r="U35" s="9" t="s">
        <v>55</v>
      </c>
      <c r="V35" s="24" t="str" cm="1">
        <f t="array" ref="V35">_xlfn.IFNA(
    _xlfn.IFS(
        ISNUMBER(SEARCH("Fast Outgoing Transfer",L35)),"Transfer",
        ISNUMBER(SEARCH("Incoming Fast Transfer",L35)),"Transfer",
        ISNUMBER(SEARCH("Outgoing International Transfer",L35)),"Transfer",
        ISNUMBER(SEARCH("Bill Payment",L35)),"SADAD",
        ISNUMBER(SEARCH("Payroll",L35)),"Payroll",
        ISNUMBER(SEARCH("Cash Deposit",L35)),"Cash",
        ISNUMBER(SEARCH("Internal Transfer",L35)),"Transfer",
        ISNUMBER(SEARCH("Expatriate Services Payment",L35)),"SADAD",
        ISNUMBER(SEARCH("Rejected",L35)),"Transfer"
    ),
    "-"
)</f>
        <v>Transfer</v>
      </c>
      <c r="W35" s="25" t="str" cm="1">
        <f t="array" ref="W35">_xlfn.IFNA(
    _xlfn.IFS(
        AND(V35="Transfer",ISNUMBER(SEARCH("RIYAD BANK",L35))),"External FI",
        AND(V35="Transfer",ISNUMBER(SEARCH("Al Ahli",L35))),"External FI",
        AND(V35="Transfer",ISNUMBER(SEARCH("CIB via",L35))),"Local Transfer",
        AND(V35="Transfer",ISNUMBER(SEARCH("CIB)",L35))),"Local Transfer",
        AND(V35="Transfer",ISNUMBER(SEARCH("SMRT",L35))),"Local Transfer",
        AND(V35="Transfer",ISNUMBER(SEARCH("Al Murabba",L35))),"Local Transfer",
        AND(V35="Transfer",ISNUMBER(SEARCH("Internal Transfer",L35))),"Same FI",
        AND(V35="Transfer",ISNUMBER(SEARCH("Rejected",L35))),"Failed",
        V35="SADAD",
            _xlfn.IFS(
                ISNUMBER(SEARCH("Expatriate",L35)),"Expat Fees",
                TRUE,"Online Payment"
            ),
        V35="Payroll","Payroll",
        V35="Cash","Deposit",
        TRUE,"-"
    ),
    "-"
)</f>
        <v>Local Transfer</v>
      </c>
      <c r="X35" s="25" t="str" cm="1">
        <f t="array" ref="X35">_xlfn.IFNA(
    _xlfn.IFS(
        V35="-","Low",
        W35="-","Low",
        TRUE,"High"
    ),
    "-"
)</f>
        <v>High</v>
      </c>
      <c r="Y35" s="25" t="str">
        <f t="shared" si="0"/>
        <v>-</v>
      </c>
      <c r="Z35" s="25" t="str" cm="1">
        <f t="array" ref="Z35">_xlfn.IFNA(
    _xlfn.IFS(
        ISNUMBER(SEARCH("Abdul Latif Jameel",M35)),"Lender",
        ISNUMBER(SEARCH("Abdullah Abdulkarim Al Sudais",M35)),"Accounting",
        ISNUMBER(SEARCH("Abdullah Fahad for Accounting",M35)),"Accounting",
        ISNUMBER(SEARCH("Abdullah Rashid Shaikh",M35)),"Shareholder",
        ISNUMBER(SEARCH("Advanced Equipments",M35)),"Equipment Rental",
        ISNUMBER(SEARCH("Al Banuk Sana",M35)),"Telecom Company",
        ISNUMBER(SEARCH("Al Khaleefa Factory",M35)),"Manufacturer",
        ISNUMBER(SEARCH("Al Saadeh Trading",M35)),"Trading Company",
        ISNUMBER(SEARCH("Al Zaehaan",M35)),"Trading Company",
        ISNUMBER(SEARCH("Ali Abdullah K Al Darwish",M35)),"Airlines",
        ISNUMBER(SEARCH("Bupa Arabia",M35)),"Health Insurance",
        ISNUMBER(SEARCH("Dar Fahoosaat",M35)),"Consultant",
        ISNUMBER(SEARCH("General Authority of Zakat",M35)),"Tax Collection",
        ISNUMBER(SEARCH("Gulf Voyager",M35)),"Travel Agency",
        ISNUMBER(SEARCH("Hopeway Trading",M35)),"Trading Company",
        ISNUMBER(SEARCH("Interhealth Medical",M35)),"Medical Services",
        ISNUMBER(SEARCH("Ishaar",M35)),"Online Payment Service",
        ISNUMBER(SEARCH("ISO Arabia",M35)),"Certification",
        ISNUMBER(SEARCH("Khalid Saad Al Otaibi",M35)),"Trading Company",
        ISNUMBER(SEARCH("MERAS for Decoration",M35)),"Decor Company",
        ISNUMBER(SEARCH("Middle East Customs Clearance",M35)),"Customs",
        ISNUMBER(SEARCH("Ministry of Human Resources",M35)),"Government",
        ISNUMBER(SEARCH("My Business Services",M35)),"Service Provider",
        ISNUMBER(SEARCH("National Water Company",M35)),"Water Company",
        ISNUMBER(SEARCH("Rania Contracting",M35)),"Contracting",
        ISNUMBER(SEARCH("Rashid Ali Sheikh",M35)),"Shareholder",
        ISNUMBER(SEARCH("Sahab United Motors",M35)),"Car Show Room",
        ISNUMBER(SEARCH("Saud Mohammed Al Tamimi",M35)),"Shareholder",
        ISNUMBER(SEARCH("Saud Mohammed Tamimi",M35)),"Shareholder",
        ISNUMBER(SEARCH("Saudi Electric Company",M35)),"Electricity Company",
        ISNUMBER(SEARCH("Saudi Vetonit",M35)),"Building Materials",
        ISNUMBER(SEARCH("Shomoul Eng",M35)),"Safety",
        ISNUMBER(SEARCH("STC",M35)),"Telecom Company",
        ISNUMBER(SEARCH("The General Organization for Social Insurance",M35)),"Social Insurance Agency",
        ISNUMBER(SEARCH("TUV Rheinland",M35)),"Certification",
        ISNUMBER(SEARCH("Al Arabia Ceramic",M35)),"Building Materials",
        ISNUMBER(SEARCH("National Company for Building and Marketing",M35)),"Parent Company",
        ISNUMBER(SEARCH("Athraa Holding",M35)),"Holding Company",
        ISNUMBER(SEARCH("Al Rasan",M35)),"Contracting",
        ISNUMBER(SEARCH("Raboua Al Haid",M35)),"Trading Company",
        ISNUMBER(SEARCH("Al Jazeera Paint",M35)),"Manufacturer",
        ISNUMBER(SEARCH("Rania Works Contracting",M35)),"Contracting",
        ISNUMBER(SEARCH("Bandar Jarallah",M35)),"Trading Establishment",
        ISNUMBER(SEARCH("RS Infratec Saudi",M35)),"Same Company",
        ISNUMBER(SEARCH("Payroll",M35)),"Bank",
        ISNUMBER(SEARCH("Expatriate",M35)),"Government",
        ISNUMBER(SEARCH("Unknown Sender",M35)),"Unknown",
        TRUE,"Unknown"
    ),
    "-"
)</f>
        <v>Trading Company</v>
      </c>
      <c r="AA35" s="25" t="str" cm="1">
        <f t="array" ref="AA35">_xlfn.IFNA(
    _xlfn.IFS(
        Z35="Lender","Financing",
        Z35="Accounting","Accounting",
        Z35="Shareholder","Individual",
        Z35="Equipment Rental","Equipment Rental",
        Z35="Telecom Company","Telecom",
        Z35="Manufacturer","Manufacturer",
        Z35="Trading Company","Trading And Transport",
        Z35="Trading Establishment","Trading",
        Z35="Airlines","Airlines",
        Z35="Health Insurance","Insurance",
        Z35="Consultant","Consultant",
        Z35="Tax Collection","Government",
        Z35="Travel Agency","Travel Agency",
        Z35="Medical Services","Medical Center",
        Z35="Online Payment Service","Payment Facilitator",
        Z35="Certification","Safety",
        Z35="Decor Company","Design",
        Z35="Customs","Customs",
        Z35="Government","Government",
        Z35="Service Provider","Service Provider",
        Z35="Water Company","Water Company",
        Z35="Contracting","Contracting",
        Z35="Car Show Room","Car Trader",
        Z35="Electricity Company","Electricity Company",
        Z35="Building Materials","Building Materials",
        Z35="Safety","Safety",
        Z35="Social Insurance Agency","Government Fund",
        Z35="Parent Company","Holding Company",
        Z35="Holding Company","Holding Company",
        Z35="Same Company","Construction",
        Z35="Bank","Bank",
        Z35="Unknown","Unknown",
        TRUE,"-"
    ),
    "-"
)</f>
        <v>Trading And Transport</v>
      </c>
      <c r="AB35" s="25" t="str">
        <f t="shared" si="1"/>
        <v>-</v>
      </c>
      <c r="AC35" s="25" t="str" cm="1">
        <f t="array" ref="AC35">_xlfn.IFNA(
    _xlfn.IFS(
        Z35="Shareholder","Shareholder",
        Z35="Same Company","Same Company",
        Z35="Bank","Bank",
        Z35="Government","Government",
        Z35="Social Insurance Agency","Government",
        Z35="Parent Company","Customer",
        Z35="Lender","Lender",
        Z35="Unknown","Unknown",
        ISNUMBER(SEARCH("Abdullah Abdulkarim",M35)),"Service Provider",
        ISNUMBER(SEARCH("Abdullah Fahad",M35)),"Service Provider",
        ISNUMBER(SEARCH("Advanced Equipments",M35)),"Supplier",
        ISNUMBER(SEARCH("Al Banuk Sana",M35)),"Supplier",
        ISNUMBER(SEARCH("Al Khaleefa Factory",M35)),"Supplier",
        ISNUMBER(SEARCH("Al Saadeh Trading",M35)),"Supplier",
        ISNUMBER(SEARCH("Al Zaehaan",M35)),"Supplier",
        ISNUMBER(SEARCH("Ali Abdullah K Al Darwish",M35)),"Service Provider",
        ISNUMBER(SEARCH("Bupa Arabia",M35)),"Insurance Company",
        ISNUMBER(SEARCH("Dar Fahoosaat",M35)),"Service Provider",
        ISNUMBER(SEARCH("General Authority of Zakat",M35)),"Tax Authority",
        ISNUMBER(SEARCH("Gulf Voyager",M35)),"Service Provider",
        ISNUMBER(SEARCH("Hopeway Trading",M35)),"Supplier",
        ISNUMBER(SEARCH("Interhealth Medical",M35)),"Customer",
        ISNUMBER(SEARCH("Ishaar",M35)),"Service Provider",
        ISNUMBER(SEARCH("ISO Arabia",M35)),"Service Provider",
        ISNUMBER(SEARCH("Khalid Saad Al Otaibi",M35)),"Supplier",
        ISNUMBER(SEARCH("MERAS for Decoration",M35)),"Supplier",
        ISNUMBER(SEARCH("Middle East Customs Clearance",M35)),"Service Provider",
        ISNUMBER(SEARCH("Ministry of Human Resources",M35)),"Regulatory Agency",
        ISNUMBER(SEARCH("My Business Services",M35)),"Service Provider",
        ISNUMBER(SEARCH("National Water Company",M35)),"Utility Provider",
        ISNUMBER(SEARCH("Rania Contracting",M35)),"Supplier",
        ISNUMBER(SEARCH("Sahab United Motors",M35)),"Supplier",
        ISNUMBER(SEARCH("Saudi Electric Company",M35)),"Utility Provider",
        ISNUMBER(SEARCH("Saudi Vetonit",M35)),"Supplier",
        ISNUMBER(SEARCH("Shomoul Eng",M35)),"Service Provider",
        ISNUMBER(SEARCH("STC",M35)),"Utility Provider",
        ISNUMBER(SEARCH("The General Organization for Social Insurance",M35)),"Social Insurance Agency",
        ISNUMBER(SEARCH("TUV Rheinland",M35)),"Service Provider",
        ISNUMBER(SEARCH("Al Arabia Ceramic",M35)),"Supplier",
        ISNUMBER(SEARCH("National Company for Building",M35)),"Customer",
        ISNUMBER(SEARCH("Athraa Holding",M35)),"Customer",
        ISNUMBER(SEARCH("Al Rasan",M35)),"Supplier",
        ISNUMBER(SEARCH("Raboua Al Haid",M35)),"Customer",
        ISNUMBER(SEARCH("Al Jazeera Paint",M35)),"Supplier",
        ISNUMBER(SEARCH("Rania Works Contracting",M35)),"Supplier",
        ISNUMBER(SEARCH("Bandar Jarallah",M35)),"Supplier",
        TRUE,"Supplier"
    ),
    "-"
)</f>
        <v>Supplier</v>
      </c>
      <c r="AD35" s="25" t="str" cm="1">
        <f t="array" ref="AD35">_xlfn.IFNA(
    _xlfn.IFS(
        AC35="Same Company","High",
        AC35="Shareholder","High",
        AC35="Government","High",
        AC35="Bank","High",
        AC35="Lender","High",
        AC35="Unknown","Low",
        AC35="-","Low",
        TRUE,"Medium"
    ),
    "-"
)</f>
        <v>Medium</v>
      </c>
      <c r="AE35" s="25" t="str">
        <f t="shared" si="2"/>
        <v>-</v>
      </c>
      <c r="AF35" s="25" t="str" cm="1">
        <f t="array" ref="AF35">_xlfn.IFNA(
    _xlfn.IFS(
        K35="Credit",
            _xlfn.IFS(
                OR(ISNUMBER(SEARCH("Rejected",L35)),ISNUMBER(SEARCH("Returned",L35))),"Other Income",
                TRUE,"Revenue"
            ),
        K35="Debit",
            _xlfn.IFS(
                ISNUMBER(SEARCH("Payroll",L35)),"OPEX",
                ISNUMBER(SEARCH("Expatriate",L35)),"OPEX",
                ISNUMBER(SEARCH("Zakat",M35)),"ZATCA",
                ISNUMBER(SEARCH("General Organization for Social Insurance",M35)),"OPEX",
                ISNUMBER(SEARCH("Saudi Electric",M35)),"OPEX",
                ISNUMBER(SEARCH("STC",M35)),"OPEX",
                ISNUMBER(SEARCH("National Water",M35)),"OPEX",
                ISNUMBER(SEARCH("Bupa",M35)),"OPEX",
                ISNUMBER(SEARCH("Abdullah Abdulkarim",M35)),"OPEX",
                ISNUMBER(SEARCH("Abdullah Fahad",M35)),"OPEX",
                ISNUMBER(SEARCH("ISO Arabia",M35)),"OPEX",
                ISNUMBER(SEARCH("Gulf Voyager",M35)),"OPEX",
                ISNUMBER(SEARCH("Ministry",M35)),"OPEX",
                ISNUMBER(SEARCH("General Authority of Zakat",M35)),"ZATCA",
                ISNUMBER(SEARCH("Rejected",L35)),"Other Income",
                TRUE,"COGS"
            ),
        TRUE,"-"
    ),
    "-"
)</f>
        <v>COGS</v>
      </c>
      <c r="AG35" s="25" t="str" cm="1">
        <f t="array" ref="AG35">_xlfn.IFNA(
    _xlfn.IFS(
        ISNUMBER(SEARCH("Payroll",L35)),"Payroll",
        ISNUMBER(SEARCH("Expatriate",L35)),"Government Fees",
        ISNUMBER(SEARCH("Zakat",M35)),"Zakat",
        ISNUMBER(SEARCH("Social Insurance",M35)),"Social Insurance",
        ISNUMBER(SEARCH("Saudi Electric",M35)),"Electricity",
        ISNUMBER(SEARCH("STC",M35)),"Telecom",
        ISNUMBER(SEARCH("National Water",M35)),"Water",
        ISNUMBER(SEARCH("Bupa",M35)),"Insurance",
        ISNUMBER(SEARCH("Gulf Voyager",M35)),"Travel",
        ISNUMBER(SEARCH("Ministry",M35)),"Government Fees",
        ISNUMBER(SEARCH("Abdullah Abdulkarim",M35)),"Consulting",
        ISNUMBER(SEARCH("Abdullah Fahad",M35)),"Accounting",
        ISNUMBER(SEARCH("ISO Arabia",M35)),"Consulting",
        ISNUMBER(SEARCH("Rejected",L35)),"Refund",
        AF35="COGS","Inventory Purchase",
        AF35="Revenue","Revenue",
        AF35="OPEX","Other",
        AF35="ZATCA","Zakat",
        TRUE,"-"
    ),
    "-"
)</f>
        <v>Inventory Purchase</v>
      </c>
      <c r="AH35" s="25" t="str" cm="1">
        <f t="array" ref="AH35">_xlfn.IFNA(
    _xlfn.IFS(
        AF35="-","Low",
        AF35="Other","Low",
        TRUE,"Medium"
    ),
    "-"
)</f>
        <v>Medium</v>
      </c>
      <c r="AI35" s="25" t="str">
        <f t="shared" si="3"/>
        <v>-</v>
      </c>
    </row>
    <row r="36" spans="1:35" x14ac:dyDescent="0.25">
      <c r="A36" s="10">
        <v>3</v>
      </c>
      <c r="B36" s="10" t="s">
        <v>35</v>
      </c>
      <c r="C36" s="10" t="s">
        <v>36</v>
      </c>
      <c r="D36" s="10" t="s">
        <v>37</v>
      </c>
      <c r="E36" s="10" t="s">
        <v>38</v>
      </c>
      <c r="F36" s="11" t="s">
        <v>39</v>
      </c>
      <c r="G36" s="10" t="s">
        <v>40</v>
      </c>
      <c r="H36" s="12">
        <v>45101</v>
      </c>
      <c r="I36" s="20">
        <v>140133.17000000001</v>
      </c>
      <c r="J36" s="20">
        <v>11208.53</v>
      </c>
      <c r="K36" s="10" t="s">
        <v>41</v>
      </c>
      <c r="L36" s="9" t="s">
        <v>56</v>
      </c>
      <c r="M36" s="9" t="s">
        <v>85</v>
      </c>
      <c r="N36" s="9" t="s">
        <v>86</v>
      </c>
      <c r="O36" s="9" t="s">
        <v>53</v>
      </c>
      <c r="P36" s="15">
        <v>45101</v>
      </c>
      <c r="Q36" s="9" t="s">
        <v>88</v>
      </c>
      <c r="R36" s="16">
        <v>11208.53</v>
      </c>
      <c r="S36" s="18">
        <v>1</v>
      </c>
      <c r="T36" s="18">
        <v>0.15</v>
      </c>
      <c r="U36" s="9" t="s">
        <v>55</v>
      </c>
      <c r="V36" s="24" t="str" cm="1">
        <f t="array" ref="V36">_xlfn.IFNA(
    _xlfn.IFS(
        ISNUMBER(SEARCH("Fast Outgoing Transfer",L36)),"Transfer",
        ISNUMBER(SEARCH("Incoming Fast Transfer",L36)),"Transfer",
        ISNUMBER(SEARCH("Outgoing International Transfer",L36)),"Transfer",
        ISNUMBER(SEARCH("Bill Payment",L36)),"SADAD",
        ISNUMBER(SEARCH("Payroll",L36)),"Payroll",
        ISNUMBER(SEARCH("Cash Deposit",L36)),"Cash",
        ISNUMBER(SEARCH("Internal Transfer",L36)),"Transfer",
        ISNUMBER(SEARCH("Expatriate Services Payment",L36)),"SADAD",
        ISNUMBER(SEARCH("Rejected",L36)),"Transfer"
    ),
    "-"
)</f>
        <v>Transfer</v>
      </c>
      <c r="W36" s="25" t="str" cm="1">
        <f t="array" ref="W36">_xlfn.IFNA(
    _xlfn.IFS(
        AND(V36="Transfer",ISNUMBER(SEARCH("RIYAD BANK",L36))),"External FI",
        AND(V36="Transfer",ISNUMBER(SEARCH("Al Ahli",L36))),"External FI",
        AND(V36="Transfer",ISNUMBER(SEARCH("CIB via",L36))),"Local Transfer",
        AND(V36="Transfer",ISNUMBER(SEARCH("CIB)",L36))),"Local Transfer",
        AND(V36="Transfer",ISNUMBER(SEARCH("SMRT",L36))),"Local Transfer",
        AND(V36="Transfer",ISNUMBER(SEARCH("Al Murabba",L36))),"Local Transfer",
        AND(V36="Transfer",ISNUMBER(SEARCH("Internal Transfer",L36))),"Same FI",
        AND(V36="Transfer",ISNUMBER(SEARCH("Rejected",L36))),"Failed",
        V36="SADAD",
            _xlfn.IFS(
                ISNUMBER(SEARCH("Expatriate",L36)),"Expat Fees",
                TRUE,"Online Payment"
            ),
        V36="Payroll","Payroll",
        V36="Cash","Deposit",
        TRUE,"-"
    ),
    "-"
)</f>
        <v>Local Transfer</v>
      </c>
      <c r="X36" s="25" t="str" cm="1">
        <f t="array" ref="X36">_xlfn.IFNA(
    _xlfn.IFS(
        V36="-","Low",
        W36="-","Low",
        TRUE,"High"
    ),
    "-"
)</f>
        <v>High</v>
      </c>
      <c r="Y36" s="25" t="str">
        <f t="shared" si="0"/>
        <v>-</v>
      </c>
      <c r="Z36" s="25" t="str" cm="1">
        <f t="array" ref="Z36">_xlfn.IFNA(
    _xlfn.IFS(
        ISNUMBER(SEARCH("Abdul Latif Jameel",M36)),"Lender",
        ISNUMBER(SEARCH("Abdullah Abdulkarim Al Sudais",M36)),"Accounting",
        ISNUMBER(SEARCH("Abdullah Fahad for Accounting",M36)),"Accounting",
        ISNUMBER(SEARCH("Abdullah Rashid Shaikh",M36)),"Shareholder",
        ISNUMBER(SEARCH("Advanced Equipments",M36)),"Equipment Rental",
        ISNUMBER(SEARCH("Al Banuk Sana",M36)),"Telecom Company",
        ISNUMBER(SEARCH("Al Khaleefa Factory",M36)),"Manufacturer",
        ISNUMBER(SEARCH("Al Saadeh Trading",M36)),"Trading Company",
        ISNUMBER(SEARCH("Al Zaehaan",M36)),"Trading Company",
        ISNUMBER(SEARCH("Ali Abdullah K Al Darwish",M36)),"Airlines",
        ISNUMBER(SEARCH("Bupa Arabia",M36)),"Health Insurance",
        ISNUMBER(SEARCH("Dar Fahoosaat",M36)),"Consultant",
        ISNUMBER(SEARCH("General Authority of Zakat",M36)),"Tax Collection",
        ISNUMBER(SEARCH("Gulf Voyager",M36)),"Travel Agency",
        ISNUMBER(SEARCH("Hopeway Trading",M36)),"Trading Company",
        ISNUMBER(SEARCH("Interhealth Medical",M36)),"Medical Services",
        ISNUMBER(SEARCH("Ishaar",M36)),"Online Payment Service",
        ISNUMBER(SEARCH("ISO Arabia",M36)),"Certification",
        ISNUMBER(SEARCH("Khalid Saad Al Otaibi",M36)),"Trading Company",
        ISNUMBER(SEARCH("MERAS for Decoration",M36)),"Decor Company",
        ISNUMBER(SEARCH("Middle East Customs Clearance",M36)),"Customs",
        ISNUMBER(SEARCH("Ministry of Human Resources",M36)),"Government",
        ISNUMBER(SEARCH("My Business Services",M36)),"Service Provider",
        ISNUMBER(SEARCH("National Water Company",M36)),"Water Company",
        ISNUMBER(SEARCH("Rania Contracting",M36)),"Contracting",
        ISNUMBER(SEARCH("Rashid Ali Sheikh",M36)),"Shareholder",
        ISNUMBER(SEARCH("Sahab United Motors",M36)),"Car Show Room",
        ISNUMBER(SEARCH("Saud Mohammed Al Tamimi",M36)),"Shareholder",
        ISNUMBER(SEARCH("Saud Mohammed Tamimi",M36)),"Shareholder",
        ISNUMBER(SEARCH("Saudi Electric Company",M36)),"Electricity Company",
        ISNUMBER(SEARCH("Saudi Vetonit",M36)),"Building Materials",
        ISNUMBER(SEARCH("Shomoul Eng",M36)),"Safety",
        ISNUMBER(SEARCH("STC",M36)),"Telecom Company",
        ISNUMBER(SEARCH("The General Organization for Social Insurance",M36)),"Social Insurance Agency",
        ISNUMBER(SEARCH("TUV Rheinland",M36)),"Certification",
        ISNUMBER(SEARCH("Al Arabia Ceramic",M36)),"Building Materials",
        ISNUMBER(SEARCH("National Company for Building and Marketing",M36)),"Parent Company",
        ISNUMBER(SEARCH("Athraa Holding",M36)),"Holding Company",
        ISNUMBER(SEARCH("Al Rasan",M36)),"Contracting",
        ISNUMBER(SEARCH("Raboua Al Haid",M36)),"Trading Company",
        ISNUMBER(SEARCH("Al Jazeera Paint",M36)),"Manufacturer",
        ISNUMBER(SEARCH("Rania Works Contracting",M36)),"Contracting",
        ISNUMBER(SEARCH("Bandar Jarallah",M36)),"Trading Establishment",
        ISNUMBER(SEARCH("RS Infratec Saudi",M36)),"Same Company",
        ISNUMBER(SEARCH("Payroll",M36)),"Bank",
        ISNUMBER(SEARCH("Expatriate",M36)),"Government",
        ISNUMBER(SEARCH("Unknown Sender",M36)),"Unknown",
        TRUE,"Unknown"
    ),
    "-"
)</f>
        <v>Trading Company</v>
      </c>
      <c r="AA36" s="25" t="str" cm="1">
        <f t="array" ref="AA36">_xlfn.IFNA(
    _xlfn.IFS(
        Z36="Lender","Financing",
        Z36="Accounting","Accounting",
        Z36="Shareholder","Individual",
        Z36="Equipment Rental","Equipment Rental",
        Z36="Telecom Company","Telecom",
        Z36="Manufacturer","Manufacturer",
        Z36="Trading Company","Trading And Transport",
        Z36="Trading Establishment","Trading",
        Z36="Airlines","Airlines",
        Z36="Health Insurance","Insurance",
        Z36="Consultant","Consultant",
        Z36="Tax Collection","Government",
        Z36="Travel Agency","Travel Agency",
        Z36="Medical Services","Medical Center",
        Z36="Online Payment Service","Payment Facilitator",
        Z36="Certification","Safety",
        Z36="Decor Company","Design",
        Z36="Customs","Customs",
        Z36="Government","Government",
        Z36="Service Provider","Service Provider",
        Z36="Water Company","Water Company",
        Z36="Contracting","Contracting",
        Z36="Car Show Room","Car Trader",
        Z36="Electricity Company","Electricity Company",
        Z36="Building Materials","Building Materials",
        Z36="Safety","Safety",
        Z36="Social Insurance Agency","Government Fund",
        Z36="Parent Company","Holding Company",
        Z36="Holding Company","Holding Company",
        Z36="Same Company","Construction",
        Z36="Bank","Bank",
        Z36="Unknown","Unknown",
        TRUE,"-"
    ),
    "-"
)</f>
        <v>Trading And Transport</v>
      </c>
      <c r="AB36" s="25" t="str">
        <f t="shared" si="1"/>
        <v>-</v>
      </c>
      <c r="AC36" s="25" t="str" cm="1">
        <f t="array" ref="AC36">_xlfn.IFNA(
    _xlfn.IFS(
        Z36="Shareholder","Shareholder",
        Z36="Same Company","Same Company",
        Z36="Bank","Bank",
        Z36="Government","Government",
        Z36="Social Insurance Agency","Government",
        Z36="Parent Company","Customer",
        Z36="Lender","Lender",
        Z36="Unknown","Unknown",
        ISNUMBER(SEARCH("Abdullah Abdulkarim",M36)),"Service Provider",
        ISNUMBER(SEARCH("Abdullah Fahad",M36)),"Service Provider",
        ISNUMBER(SEARCH("Advanced Equipments",M36)),"Supplier",
        ISNUMBER(SEARCH("Al Banuk Sana",M36)),"Supplier",
        ISNUMBER(SEARCH("Al Khaleefa Factory",M36)),"Supplier",
        ISNUMBER(SEARCH("Al Saadeh Trading",M36)),"Supplier",
        ISNUMBER(SEARCH("Al Zaehaan",M36)),"Supplier",
        ISNUMBER(SEARCH("Ali Abdullah K Al Darwish",M36)),"Service Provider",
        ISNUMBER(SEARCH("Bupa Arabia",M36)),"Insurance Company",
        ISNUMBER(SEARCH("Dar Fahoosaat",M36)),"Service Provider",
        ISNUMBER(SEARCH("General Authority of Zakat",M36)),"Tax Authority",
        ISNUMBER(SEARCH("Gulf Voyager",M36)),"Service Provider",
        ISNUMBER(SEARCH("Hopeway Trading",M36)),"Supplier",
        ISNUMBER(SEARCH("Interhealth Medical",M36)),"Customer",
        ISNUMBER(SEARCH("Ishaar",M36)),"Service Provider",
        ISNUMBER(SEARCH("ISO Arabia",M36)),"Service Provider",
        ISNUMBER(SEARCH("Khalid Saad Al Otaibi",M36)),"Supplier",
        ISNUMBER(SEARCH("MERAS for Decoration",M36)),"Supplier",
        ISNUMBER(SEARCH("Middle East Customs Clearance",M36)),"Service Provider",
        ISNUMBER(SEARCH("Ministry of Human Resources",M36)),"Regulatory Agency",
        ISNUMBER(SEARCH("My Business Services",M36)),"Service Provider",
        ISNUMBER(SEARCH("National Water Company",M36)),"Utility Provider",
        ISNUMBER(SEARCH("Rania Contracting",M36)),"Supplier",
        ISNUMBER(SEARCH("Sahab United Motors",M36)),"Supplier",
        ISNUMBER(SEARCH("Saudi Electric Company",M36)),"Utility Provider",
        ISNUMBER(SEARCH("Saudi Vetonit",M36)),"Supplier",
        ISNUMBER(SEARCH("Shomoul Eng",M36)),"Service Provider",
        ISNUMBER(SEARCH("STC",M36)),"Utility Provider",
        ISNUMBER(SEARCH("The General Organization for Social Insurance",M36)),"Social Insurance Agency",
        ISNUMBER(SEARCH("TUV Rheinland",M36)),"Service Provider",
        ISNUMBER(SEARCH("Al Arabia Ceramic",M36)),"Supplier",
        ISNUMBER(SEARCH("National Company for Building",M36)),"Customer",
        ISNUMBER(SEARCH("Athraa Holding",M36)),"Customer",
        ISNUMBER(SEARCH("Al Rasan",M36)),"Supplier",
        ISNUMBER(SEARCH("Raboua Al Haid",M36)),"Customer",
        ISNUMBER(SEARCH("Al Jazeera Paint",M36)),"Supplier",
        ISNUMBER(SEARCH("Rania Works Contracting",M36)),"Supplier",
        ISNUMBER(SEARCH("Bandar Jarallah",M36)),"Supplier",
        TRUE,"Supplier"
    ),
    "-"
)</f>
        <v>Supplier</v>
      </c>
      <c r="AD36" s="25" t="str" cm="1">
        <f t="array" ref="AD36">_xlfn.IFNA(
    _xlfn.IFS(
        AC36="Same Company","High",
        AC36="Shareholder","High",
        AC36="Government","High",
        AC36="Bank","High",
        AC36="Lender","High",
        AC36="Unknown","Low",
        AC36="-","Low",
        TRUE,"Medium"
    ),
    "-"
)</f>
        <v>Medium</v>
      </c>
      <c r="AE36" s="25" t="str">
        <f t="shared" si="2"/>
        <v>-</v>
      </c>
      <c r="AF36" s="25" t="str" cm="1">
        <f t="array" ref="AF36">_xlfn.IFNA(
    _xlfn.IFS(
        K36="Credit",
            _xlfn.IFS(
                OR(ISNUMBER(SEARCH("Rejected",L36)),ISNUMBER(SEARCH("Returned",L36))),"Other Income",
                TRUE,"Revenue"
            ),
        K36="Debit",
            _xlfn.IFS(
                ISNUMBER(SEARCH("Payroll",L36)),"OPEX",
                ISNUMBER(SEARCH("Expatriate",L36)),"OPEX",
                ISNUMBER(SEARCH("Zakat",M36)),"ZATCA",
                ISNUMBER(SEARCH("General Organization for Social Insurance",M36)),"OPEX",
                ISNUMBER(SEARCH("Saudi Electric",M36)),"OPEX",
                ISNUMBER(SEARCH("STC",M36)),"OPEX",
                ISNUMBER(SEARCH("National Water",M36)),"OPEX",
                ISNUMBER(SEARCH("Bupa",M36)),"OPEX",
                ISNUMBER(SEARCH("Abdullah Abdulkarim",M36)),"OPEX",
                ISNUMBER(SEARCH("Abdullah Fahad",M36)),"OPEX",
                ISNUMBER(SEARCH("ISO Arabia",M36)),"OPEX",
                ISNUMBER(SEARCH("Gulf Voyager",M36)),"OPEX",
                ISNUMBER(SEARCH("Ministry",M36)),"OPEX",
                ISNUMBER(SEARCH("General Authority of Zakat",M36)),"ZATCA",
                ISNUMBER(SEARCH("Rejected",L36)),"Other Income",
                TRUE,"COGS"
            ),
        TRUE,"-"
    ),
    "-"
)</f>
        <v>COGS</v>
      </c>
      <c r="AG36" s="25" t="str" cm="1">
        <f t="array" ref="AG36">_xlfn.IFNA(
    _xlfn.IFS(
        ISNUMBER(SEARCH("Payroll",L36)),"Payroll",
        ISNUMBER(SEARCH("Expatriate",L36)),"Government Fees",
        ISNUMBER(SEARCH("Zakat",M36)),"Zakat",
        ISNUMBER(SEARCH("Social Insurance",M36)),"Social Insurance",
        ISNUMBER(SEARCH("Saudi Electric",M36)),"Electricity",
        ISNUMBER(SEARCH("STC",M36)),"Telecom",
        ISNUMBER(SEARCH("National Water",M36)),"Water",
        ISNUMBER(SEARCH("Bupa",M36)),"Insurance",
        ISNUMBER(SEARCH("Gulf Voyager",M36)),"Travel",
        ISNUMBER(SEARCH("Ministry",M36)),"Government Fees",
        ISNUMBER(SEARCH("Abdullah Abdulkarim",M36)),"Consulting",
        ISNUMBER(SEARCH("Abdullah Fahad",M36)),"Accounting",
        ISNUMBER(SEARCH("ISO Arabia",M36)),"Consulting",
        ISNUMBER(SEARCH("Rejected",L36)),"Refund",
        AF36="COGS","Inventory Purchase",
        AF36="Revenue","Revenue",
        AF36="OPEX","Other",
        AF36="ZATCA","Zakat",
        TRUE,"-"
    ),
    "-"
)</f>
        <v>Inventory Purchase</v>
      </c>
      <c r="AH36" s="25" t="str" cm="1">
        <f t="array" ref="AH36">_xlfn.IFNA(
    _xlfn.IFS(
        AF36="-","Low",
        AF36="Other","Low",
        TRUE,"Medium"
    ),
    "-"
)</f>
        <v>Medium</v>
      </c>
      <c r="AI36" s="25" t="str">
        <f t="shared" si="3"/>
        <v>-</v>
      </c>
    </row>
    <row r="37" spans="1:35" x14ac:dyDescent="0.25">
      <c r="A37" s="10">
        <v>3</v>
      </c>
      <c r="B37" s="10" t="s">
        <v>35</v>
      </c>
      <c r="C37" s="10" t="s">
        <v>36</v>
      </c>
      <c r="D37" s="10" t="s">
        <v>37</v>
      </c>
      <c r="E37" s="10" t="s">
        <v>38</v>
      </c>
      <c r="F37" s="11" t="s">
        <v>39</v>
      </c>
      <c r="G37" s="11" t="s">
        <v>40</v>
      </c>
      <c r="H37" s="12">
        <v>45103</v>
      </c>
      <c r="I37" s="20">
        <v>3708.14</v>
      </c>
      <c r="J37" s="20">
        <v>418.58</v>
      </c>
      <c r="K37" s="10" t="s">
        <v>41</v>
      </c>
      <c r="L37" s="9" t="s">
        <v>89</v>
      </c>
      <c r="M37" s="9" t="s">
        <v>85</v>
      </c>
      <c r="N37" s="9" t="s">
        <v>86</v>
      </c>
      <c r="O37" s="9" t="s">
        <v>53</v>
      </c>
      <c r="P37" s="15">
        <v>45103</v>
      </c>
      <c r="Q37" s="9" t="s">
        <v>90</v>
      </c>
      <c r="R37" s="16">
        <v>418</v>
      </c>
      <c r="S37" s="18">
        <v>0.5</v>
      </c>
      <c r="T37" s="18">
        <v>0.08</v>
      </c>
      <c r="U37" s="9" t="s">
        <v>55</v>
      </c>
      <c r="V37" s="24" t="str" cm="1">
        <f t="array" ref="V37">_xlfn.IFNA(
    _xlfn.IFS(
        ISNUMBER(SEARCH("Fast Outgoing Transfer",L37)),"Transfer",
        ISNUMBER(SEARCH("Incoming Fast Transfer",L37)),"Transfer",
        ISNUMBER(SEARCH("Outgoing International Transfer",L37)),"Transfer",
        ISNUMBER(SEARCH("Bill Payment",L37)),"SADAD",
        ISNUMBER(SEARCH("Payroll",L37)),"Payroll",
        ISNUMBER(SEARCH("Cash Deposit",L37)),"Cash",
        ISNUMBER(SEARCH("Internal Transfer",L37)),"Transfer",
        ISNUMBER(SEARCH("Expatriate Services Payment",L37)),"SADAD",
        ISNUMBER(SEARCH("Rejected",L37)),"Transfer"
    ),
    "-"
)</f>
        <v>Transfer</v>
      </c>
      <c r="W37" s="25" t="str" cm="1">
        <f t="array" ref="W37">_xlfn.IFNA(
    _xlfn.IFS(
        AND(V37="Transfer",ISNUMBER(SEARCH("RIYAD BANK",L37))),"External FI",
        AND(V37="Transfer",ISNUMBER(SEARCH("Al Ahli",L37))),"External FI",
        AND(V37="Transfer",ISNUMBER(SEARCH("CIB via",L37))),"Local Transfer",
        AND(V37="Transfer",ISNUMBER(SEARCH("CIB)",L37))),"Local Transfer",
        AND(V37="Transfer",ISNUMBER(SEARCH("SMRT",L37))),"Local Transfer",
        AND(V37="Transfer",ISNUMBER(SEARCH("Al Murabba",L37))),"Local Transfer",
        AND(V37="Transfer",ISNUMBER(SEARCH("Internal Transfer",L37))),"Same FI",
        AND(V37="Transfer",ISNUMBER(SEARCH("Rejected",L37))),"Failed",
        V37="SADAD",
            _xlfn.IFS(
                ISNUMBER(SEARCH("Expatriate",L37)),"Expat Fees",
                TRUE,"Online Payment"
            ),
        V37="Payroll","Payroll",
        V37="Cash","Deposit",
        TRUE,"-"
    ),
    "-"
)</f>
        <v>Local Transfer</v>
      </c>
      <c r="X37" s="25" t="str" cm="1">
        <f t="array" ref="X37">_xlfn.IFNA(
    _xlfn.IFS(
        V37="-","Low",
        W37="-","Low",
        TRUE,"High"
    ),
    "-"
)</f>
        <v>High</v>
      </c>
      <c r="Y37" s="25" t="str">
        <f t="shared" si="0"/>
        <v>-</v>
      </c>
      <c r="Z37" s="25" t="str" cm="1">
        <f t="array" ref="Z37">_xlfn.IFNA(
    _xlfn.IFS(
        ISNUMBER(SEARCH("Abdul Latif Jameel",M37)),"Lender",
        ISNUMBER(SEARCH("Abdullah Abdulkarim Al Sudais",M37)),"Accounting",
        ISNUMBER(SEARCH("Abdullah Fahad for Accounting",M37)),"Accounting",
        ISNUMBER(SEARCH("Abdullah Rashid Shaikh",M37)),"Shareholder",
        ISNUMBER(SEARCH("Advanced Equipments",M37)),"Equipment Rental",
        ISNUMBER(SEARCH("Al Banuk Sana",M37)),"Telecom Company",
        ISNUMBER(SEARCH("Al Khaleefa Factory",M37)),"Manufacturer",
        ISNUMBER(SEARCH("Al Saadeh Trading",M37)),"Trading Company",
        ISNUMBER(SEARCH("Al Zaehaan",M37)),"Trading Company",
        ISNUMBER(SEARCH("Ali Abdullah K Al Darwish",M37)),"Airlines",
        ISNUMBER(SEARCH("Bupa Arabia",M37)),"Health Insurance",
        ISNUMBER(SEARCH("Dar Fahoosaat",M37)),"Consultant",
        ISNUMBER(SEARCH("General Authority of Zakat",M37)),"Tax Collection",
        ISNUMBER(SEARCH("Gulf Voyager",M37)),"Travel Agency",
        ISNUMBER(SEARCH("Hopeway Trading",M37)),"Trading Company",
        ISNUMBER(SEARCH("Interhealth Medical",M37)),"Medical Services",
        ISNUMBER(SEARCH("Ishaar",M37)),"Online Payment Service",
        ISNUMBER(SEARCH("ISO Arabia",M37)),"Certification",
        ISNUMBER(SEARCH("Khalid Saad Al Otaibi",M37)),"Trading Company",
        ISNUMBER(SEARCH("MERAS for Decoration",M37)),"Decor Company",
        ISNUMBER(SEARCH("Middle East Customs Clearance",M37)),"Customs",
        ISNUMBER(SEARCH("Ministry of Human Resources",M37)),"Government",
        ISNUMBER(SEARCH("My Business Services",M37)),"Service Provider",
        ISNUMBER(SEARCH("National Water Company",M37)),"Water Company",
        ISNUMBER(SEARCH("Rania Contracting",M37)),"Contracting",
        ISNUMBER(SEARCH("Rashid Ali Sheikh",M37)),"Shareholder",
        ISNUMBER(SEARCH("Sahab United Motors",M37)),"Car Show Room",
        ISNUMBER(SEARCH("Saud Mohammed Al Tamimi",M37)),"Shareholder",
        ISNUMBER(SEARCH("Saud Mohammed Tamimi",M37)),"Shareholder",
        ISNUMBER(SEARCH("Saudi Electric Company",M37)),"Electricity Company",
        ISNUMBER(SEARCH("Saudi Vetonit",M37)),"Building Materials",
        ISNUMBER(SEARCH("Shomoul Eng",M37)),"Safety",
        ISNUMBER(SEARCH("STC",M37)),"Telecom Company",
        ISNUMBER(SEARCH("The General Organization for Social Insurance",M37)),"Social Insurance Agency",
        ISNUMBER(SEARCH("TUV Rheinland",M37)),"Certification",
        ISNUMBER(SEARCH("Al Arabia Ceramic",M37)),"Building Materials",
        ISNUMBER(SEARCH("National Company for Building and Marketing",M37)),"Parent Company",
        ISNUMBER(SEARCH("Athraa Holding",M37)),"Holding Company",
        ISNUMBER(SEARCH("Al Rasan",M37)),"Contracting",
        ISNUMBER(SEARCH("Raboua Al Haid",M37)),"Trading Company",
        ISNUMBER(SEARCH("Al Jazeera Paint",M37)),"Manufacturer",
        ISNUMBER(SEARCH("Rania Works Contracting",M37)),"Contracting",
        ISNUMBER(SEARCH("Bandar Jarallah",M37)),"Trading Establishment",
        ISNUMBER(SEARCH("RS Infratec Saudi",M37)),"Same Company",
        ISNUMBER(SEARCH("Payroll",M37)),"Bank",
        ISNUMBER(SEARCH("Expatriate",M37)),"Government",
        ISNUMBER(SEARCH("Unknown Sender",M37)),"Unknown",
        TRUE,"Unknown"
    ),
    "-"
)</f>
        <v>Trading Company</v>
      </c>
      <c r="AA37" s="25" t="str" cm="1">
        <f t="array" ref="AA37">_xlfn.IFNA(
    _xlfn.IFS(
        Z37="Lender","Financing",
        Z37="Accounting","Accounting",
        Z37="Shareholder","Individual",
        Z37="Equipment Rental","Equipment Rental",
        Z37="Telecom Company","Telecom",
        Z37="Manufacturer","Manufacturer",
        Z37="Trading Company","Trading And Transport",
        Z37="Trading Establishment","Trading",
        Z37="Airlines","Airlines",
        Z37="Health Insurance","Insurance",
        Z37="Consultant","Consultant",
        Z37="Tax Collection","Government",
        Z37="Travel Agency","Travel Agency",
        Z37="Medical Services","Medical Center",
        Z37="Online Payment Service","Payment Facilitator",
        Z37="Certification","Safety",
        Z37="Decor Company","Design",
        Z37="Customs","Customs",
        Z37="Government","Government",
        Z37="Service Provider","Service Provider",
        Z37="Water Company","Water Company",
        Z37="Contracting","Contracting",
        Z37="Car Show Room","Car Trader",
        Z37="Electricity Company","Electricity Company",
        Z37="Building Materials","Building Materials",
        Z37="Safety","Safety",
        Z37="Social Insurance Agency","Government Fund",
        Z37="Parent Company","Holding Company",
        Z37="Holding Company","Holding Company",
        Z37="Same Company","Construction",
        Z37="Bank","Bank",
        Z37="Unknown","Unknown",
        TRUE,"-"
    ),
    "-"
)</f>
        <v>Trading And Transport</v>
      </c>
      <c r="AB37" s="25" t="str">
        <f t="shared" si="1"/>
        <v>-</v>
      </c>
      <c r="AC37" s="25" t="str" cm="1">
        <f t="array" ref="AC37">_xlfn.IFNA(
    _xlfn.IFS(
        Z37="Shareholder","Shareholder",
        Z37="Same Company","Same Company",
        Z37="Bank","Bank",
        Z37="Government","Government",
        Z37="Social Insurance Agency","Government",
        Z37="Parent Company","Customer",
        Z37="Lender","Lender",
        Z37="Unknown","Unknown",
        ISNUMBER(SEARCH("Abdullah Abdulkarim",M37)),"Service Provider",
        ISNUMBER(SEARCH("Abdullah Fahad",M37)),"Service Provider",
        ISNUMBER(SEARCH("Advanced Equipments",M37)),"Supplier",
        ISNUMBER(SEARCH("Al Banuk Sana",M37)),"Supplier",
        ISNUMBER(SEARCH("Al Khaleefa Factory",M37)),"Supplier",
        ISNUMBER(SEARCH("Al Saadeh Trading",M37)),"Supplier",
        ISNUMBER(SEARCH("Al Zaehaan",M37)),"Supplier",
        ISNUMBER(SEARCH("Ali Abdullah K Al Darwish",M37)),"Service Provider",
        ISNUMBER(SEARCH("Bupa Arabia",M37)),"Insurance Company",
        ISNUMBER(SEARCH("Dar Fahoosaat",M37)),"Service Provider",
        ISNUMBER(SEARCH("General Authority of Zakat",M37)),"Tax Authority",
        ISNUMBER(SEARCH("Gulf Voyager",M37)),"Service Provider",
        ISNUMBER(SEARCH("Hopeway Trading",M37)),"Supplier",
        ISNUMBER(SEARCH("Interhealth Medical",M37)),"Customer",
        ISNUMBER(SEARCH("Ishaar",M37)),"Service Provider",
        ISNUMBER(SEARCH("ISO Arabia",M37)),"Service Provider",
        ISNUMBER(SEARCH("Khalid Saad Al Otaibi",M37)),"Supplier",
        ISNUMBER(SEARCH("MERAS for Decoration",M37)),"Supplier",
        ISNUMBER(SEARCH("Middle East Customs Clearance",M37)),"Service Provider",
        ISNUMBER(SEARCH("Ministry of Human Resources",M37)),"Regulatory Agency",
        ISNUMBER(SEARCH("My Business Services",M37)),"Service Provider",
        ISNUMBER(SEARCH("National Water Company",M37)),"Utility Provider",
        ISNUMBER(SEARCH("Rania Contracting",M37)),"Supplier",
        ISNUMBER(SEARCH("Sahab United Motors",M37)),"Supplier",
        ISNUMBER(SEARCH("Saudi Electric Company",M37)),"Utility Provider",
        ISNUMBER(SEARCH("Saudi Vetonit",M37)),"Supplier",
        ISNUMBER(SEARCH("Shomoul Eng",M37)),"Service Provider",
        ISNUMBER(SEARCH("STC",M37)),"Utility Provider",
        ISNUMBER(SEARCH("The General Organization for Social Insurance",M37)),"Social Insurance Agency",
        ISNUMBER(SEARCH("TUV Rheinland",M37)),"Service Provider",
        ISNUMBER(SEARCH("Al Arabia Ceramic",M37)),"Supplier",
        ISNUMBER(SEARCH("National Company for Building",M37)),"Customer",
        ISNUMBER(SEARCH("Athraa Holding",M37)),"Customer",
        ISNUMBER(SEARCH("Al Rasan",M37)),"Supplier",
        ISNUMBER(SEARCH("Raboua Al Haid",M37)),"Customer",
        ISNUMBER(SEARCH("Al Jazeera Paint",M37)),"Supplier",
        ISNUMBER(SEARCH("Rania Works Contracting",M37)),"Supplier",
        ISNUMBER(SEARCH("Bandar Jarallah",M37)),"Supplier",
        TRUE,"Supplier"
    ),
    "-"
)</f>
        <v>Supplier</v>
      </c>
      <c r="AD37" s="25" t="str" cm="1">
        <f t="array" ref="AD37">_xlfn.IFNA(
    _xlfn.IFS(
        AC37="Same Company","High",
        AC37="Shareholder","High",
        AC37="Government","High",
        AC37="Bank","High",
        AC37="Lender","High",
        AC37="Unknown","Low",
        AC37="-","Low",
        TRUE,"Medium"
    ),
    "-"
)</f>
        <v>Medium</v>
      </c>
      <c r="AE37" s="25" t="str">
        <f t="shared" si="2"/>
        <v>-</v>
      </c>
      <c r="AF37" s="25" t="str" cm="1">
        <f t="array" ref="AF37">_xlfn.IFNA(
    _xlfn.IFS(
        K37="Credit",
            _xlfn.IFS(
                OR(ISNUMBER(SEARCH("Rejected",L37)),ISNUMBER(SEARCH("Returned",L37))),"Other Income",
                TRUE,"Revenue"
            ),
        K37="Debit",
            _xlfn.IFS(
                ISNUMBER(SEARCH("Payroll",L37)),"OPEX",
                ISNUMBER(SEARCH("Expatriate",L37)),"OPEX",
                ISNUMBER(SEARCH("Zakat",M37)),"ZATCA",
                ISNUMBER(SEARCH("General Organization for Social Insurance",M37)),"OPEX",
                ISNUMBER(SEARCH("Saudi Electric",M37)),"OPEX",
                ISNUMBER(SEARCH("STC",M37)),"OPEX",
                ISNUMBER(SEARCH("National Water",M37)),"OPEX",
                ISNUMBER(SEARCH("Bupa",M37)),"OPEX",
                ISNUMBER(SEARCH("Abdullah Abdulkarim",M37)),"OPEX",
                ISNUMBER(SEARCH("Abdullah Fahad",M37)),"OPEX",
                ISNUMBER(SEARCH("ISO Arabia",M37)),"OPEX",
                ISNUMBER(SEARCH("Gulf Voyager",M37)),"OPEX",
                ISNUMBER(SEARCH("Ministry",M37)),"OPEX",
                ISNUMBER(SEARCH("General Authority of Zakat",M37)),"ZATCA",
                ISNUMBER(SEARCH("Rejected",L37)),"Other Income",
                TRUE,"COGS"
            ),
        TRUE,"-"
    ),
    "-"
)</f>
        <v>COGS</v>
      </c>
      <c r="AG37" s="25" t="str" cm="1">
        <f t="array" ref="AG37">_xlfn.IFNA(
    _xlfn.IFS(
        ISNUMBER(SEARCH("Payroll",L37)),"Payroll",
        ISNUMBER(SEARCH("Expatriate",L37)),"Government Fees",
        ISNUMBER(SEARCH("Zakat",M37)),"Zakat",
        ISNUMBER(SEARCH("Social Insurance",M37)),"Social Insurance",
        ISNUMBER(SEARCH("Saudi Electric",M37)),"Electricity",
        ISNUMBER(SEARCH("STC",M37)),"Telecom",
        ISNUMBER(SEARCH("National Water",M37)),"Water",
        ISNUMBER(SEARCH("Bupa",M37)),"Insurance",
        ISNUMBER(SEARCH("Gulf Voyager",M37)),"Travel",
        ISNUMBER(SEARCH("Ministry",M37)),"Government Fees",
        ISNUMBER(SEARCH("Abdullah Abdulkarim",M37)),"Consulting",
        ISNUMBER(SEARCH("Abdullah Fahad",M37)),"Accounting",
        ISNUMBER(SEARCH("ISO Arabia",M37)),"Consulting",
        ISNUMBER(SEARCH("Rejected",L37)),"Refund",
        AF37="COGS","Inventory Purchase",
        AF37="Revenue","Revenue",
        AF37="OPEX","Other",
        AF37="ZATCA","Zakat",
        TRUE,"-"
    ),
    "-"
)</f>
        <v>Inventory Purchase</v>
      </c>
      <c r="AH37" s="25" t="str" cm="1">
        <f t="array" ref="AH37">_xlfn.IFNA(
    _xlfn.IFS(
        AF37="-","Low",
        AF37="Other","Low",
        TRUE,"Medium"
    ),
    "-"
)</f>
        <v>Medium</v>
      </c>
      <c r="AI37" s="25" t="str">
        <f t="shared" si="3"/>
        <v>-</v>
      </c>
    </row>
    <row r="38" spans="1:35" x14ac:dyDescent="0.25">
      <c r="A38" s="10">
        <v>3</v>
      </c>
      <c r="B38" s="10" t="s">
        <v>35</v>
      </c>
      <c r="C38" s="10" t="s">
        <v>36</v>
      </c>
      <c r="D38" s="10" t="s">
        <v>37</v>
      </c>
      <c r="E38" s="10" t="s">
        <v>38</v>
      </c>
      <c r="F38" s="11" t="s">
        <v>39</v>
      </c>
      <c r="G38" s="11" t="s">
        <v>40</v>
      </c>
      <c r="H38" s="12">
        <v>45022</v>
      </c>
      <c r="I38" s="20">
        <v>30783.279999999999</v>
      </c>
      <c r="J38" s="20">
        <v>26.45</v>
      </c>
      <c r="K38" s="10" t="s">
        <v>41</v>
      </c>
      <c r="L38" s="9" t="s">
        <v>122</v>
      </c>
      <c r="M38" s="9" t="s">
        <v>123</v>
      </c>
      <c r="N38" s="9">
        <v>807005481531</v>
      </c>
      <c r="O38" s="9" t="s">
        <v>44</v>
      </c>
      <c r="P38" s="15">
        <v>45022</v>
      </c>
      <c r="Q38" s="9" t="s">
        <v>124</v>
      </c>
      <c r="R38" s="16">
        <v>26.45</v>
      </c>
      <c r="U38" s="9" t="s">
        <v>46</v>
      </c>
      <c r="V38" s="24" t="str" cm="1">
        <f t="array" ref="V38">_xlfn.IFNA(
    _xlfn.IFS(
        ISNUMBER(SEARCH("Fast Outgoing Transfer",L38)),"Transfer",
        ISNUMBER(SEARCH("Incoming Fast Transfer",L38)),"Transfer",
        ISNUMBER(SEARCH("Outgoing International Transfer",L38)),"Transfer",
        ISNUMBER(SEARCH("Bill Payment",L38)),"SADAD",
        ISNUMBER(SEARCH("Payroll",L38)),"Payroll",
        ISNUMBER(SEARCH("Cash Deposit",L38)),"Cash",
        ISNUMBER(SEARCH("Internal Transfer",L38)),"Transfer",
        ISNUMBER(SEARCH("Expatriate Services Payment",L38)),"SADAD",
        ISNUMBER(SEARCH("Rejected",L38)),"Transfer"
    ),
    "-"
)</f>
        <v>SADAD</v>
      </c>
      <c r="W38" s="25" t="str" cm="1">
        <f t="array" ref="W38">_xlfn.IFNA(
    _xlfn.IFS(
        AND(V38="Transfer",ISNUMBER(SEARCH("RIYAD BANK",L38))),"External FI",
        AND(V38="Transfer",ISNUMBER(SEARCH("Al Ahli",L38))),"External FI",
        AND(V38="Transfer",ISNUMBER(SEARCH("CIB via",L38))),"Local Transfer",
        AND(V38="Transfer",ISNUMBER(SEARCH("CIB)",L38))),"Local Transfer",
        AND(V38="Transfer",ISNUMBER(SEARCH("SMRT",L38))),"Local Transfer",
        AND(V38="Transfer",ISNUMBER(SEARCH("Al Murabba",L38))),"Local Transfer",
        AND(V38="Transfer",ISNUMBER(SEARCH("Internal Transfer",L38))),"Same FI",
        AND(V38="Transfer",ISNUMBER(SEARCH("Rejected",L38))),"Failed",
        V38="SADAD",
            _xlfn.IFS(
                ISNUMBER(SEARCH("Expatriate",L38)),"Expat Fees",
                TRUE,"Online Payment"
            ),
        V38="Payroll","Payroll",
        V38="Cash","Deposit",
        TRUE,"-"
    ),
    "-"
)</f>
        <v>Online Payment</v>
      </c>
      <c r="X38" s="25" t="str" cm="1">
        <f t="array" ref="X38">_xlfn.IFNA(
    _xlfn.IFS(
        V38="-","Low",
        W38="-","Low",
        TRUE,"High"
    ),
    "-"
)</f>
        <v>High</v>
      </c>
      <c r="Y38" s="25" t="str">
        <f t="shared" si="0"/>
        <v>-</v>
      </c>
      <c r="Z38" s="25" t="str" cm="1">
        <f t="array" ref="Z38">_xlfn.IFNA(
    _xlfn.IFS(
        ISNUMBER(SEARCH("Abdul Latif Jameel",M38)),"Lender",
        ISNUMBER(SEARCH("Abdullah Abdulkarim Al Sudais",M38)),"Accounting",
        ISNUMBER(SEARCH("Abdullah Fahad for Accounting",M38)),"Accounting",
        ISNUMBER(SEARCH("Abdullah Rashid Shaikh",M38)),"Shareholder",
        ISNUMBER(SEARCH("Advanced Equipments",M38)),"Equipment Rental",
        ISNUMBER(SEARCH("Al Banuk Sana",M38)),"Telecom Company",
        ISNUMBER(SEARCH("Al Khaleefa Factory",M38)),"Manufacturer",
        ISNUMBER(SEARCH("Al Saadeh Trading",M38)),"Trading Company",
        ISNUMBER(SEARCH("Al Zaehaan",M38)),"Trading Company",
        ISNUMBER(SEARCH("Ali Abdullah K Al Darwish",M38)),"Airlines",
        ISNUMBER(SEARCH("Bupa Arabia",M38)),"Health Insurance",
        ISNUMBER(SEARCH("Dar Fahoosaat",M38)),"Consultant",
        ISNUMBER(SEARCH("General Authority of Zakat",M38)),"Tax Collection",
        ISNUMBER(SEARCH("Gulf Voyager",M38)),"Travel Agency",
        ISNUMBER(SEARCH("Hopeway Trading",M38)),"Trading Company",
        ISNUMBER(SEARCH("Interhealth Medical",M38)),"Medical Services",
        ISNUMBER(SEARCH("Ishaar",M38)),"Online Payment Service",
        ISNUMBER(SEARCH("ISO Arabia",M38)),"Certification",
        ISNUMBER(SEARCH("Khalid Saad Al Otaibi",M38)),"Trading Company",
        ISNUMBER(SEARCH("MERAS for Decoration",M38)),"Decor Company",
        ISNUMBER(SEARCH("Middle East Customs Clearance",M38)),"Customs",
        ISNUMBER(SEARCH("Ministry of Human Resources",M38)),"Government",
        ISNUMBER(SEARCH("My Business Services",M38)),"Service Provider",
        ISNUMBER(SEARCH("National Water Company",M38)),"Water Company",
        ISNUMBER(SEARCH("Rania Contracting",M38)),"Contracting",
        ISNUMBER(SEARCH("Rashid Ali Sheikh",M38)),"Shareholder",
        ISNUMBER(SEARCH("Sahab United Motors",M38)),"Car Show Room",
        ISNUMBER(SEARCH("Saud Mohammed Al Tamimi",M38)),"Shareholder",
        ISNUMBER(SEARCH("Saud Mohammed Tamimi",M38)),"Shareholder",
        ISNUMBER(SEARCH("Saudi Electric Company",M38)),"Electricity Company",
        ISNUMBER(SEARCH("Saudi Vetonit",M38)),"Building Materials",
        ISNUMBER(SEARCH("Shomoul Eng",M38)),"Safety",
        ISNUMBER(SEARCH("STC",M38)),"Telecom Company",
        ISNUMBER(SEARCH("The General Organization for Social Insurance",M38)),"Social Insurance Agency",
        ISNUMBER(SEARCH("TUV Rheinland",M38)),"Certification",
        ISNUMBER(SEARCH("Al Arabia Ceramic",M38)),"Building Materials",
        ISNUMBER(SEARCH("National Company for Building and Marketing",M38)),"Parent Company",
        ISNUMBER(SEARCH("Athraa Holding",M38)),"Holding Company",
        ISNUMBER(SEARCH("Al Rasan",M38)),"Contracting",
        ISNUMBER(SEARCH("Raboua Al Haid",M38)),"Trading Company",
        ISNUMBER(SEARCH("Al Jazeera Paint",M38)),"Manufacturer",
        ISNUMBER(SEARCH("Rania Works Contracting",M38)),"Contracting",
        ISNUMBER(SEARCH("Bandar Jarallah",M38)),"Trading Establishment",
        ISNUMBER(SEARCH("RS Infratec Saudi",M38)),"Same Company",
        ISNUMBER(SEARCH("Payroll",M38)),"Bank",
        ISNUMBER(SEARCH("Expatriate",M38)),"Government",
        ISNUMBER(SEARCH("Unknown Sender",M38)),"Unknown",
        TRUE,"Unknown"
    ),
    "-"
)</f>
        <v>Online Payment Service</v>
      </c>
      <c r="AA38" s="25" t="str" cm="1">
        <f t="array" ref="AA38">_xlfn.IFNA(
    _xlfn.IFS(
        Z38="Lender","Financing",
        Z38="Accounting","Accounting",
        Z38="Shareholder","Individual",
        Z38="Equipment Rental","Equipment Rental",
        Z38="Telecom Company","Telecom",
        Z38="Manufacturer","Manufacturer",
        Z38="Trading Company","Trading And Transport",
        Z38="Trading Establishment","Trading",
        Z38="Airlines","Airlines",
        Z38="Health Insurance","Insurance",
        Z38="Consultant","Consultant",
        Z38="Tax Collection","Government",
        Z38="Travel Agency","Travel Agency",
        Z38="Medical Services","Medical Center",
        Z38="Online Payment Service","Payment Facilitator",
        Z38="Certification","Safety",
        Z38="Decor Company","Design",
        Z38="Customs","Customs",
        Z38="Government","Government",
        Z38="Service Provider","Service Provider",
        Z38="Water Company","Water Company",
        Z38="Contracting","Contracting",
        Z38="Car Show Room","Car Trader",
        Z38="Electricity Company","Electricity Company",
        Z38="Building Materials","Building Materials",
        Z38="Safety","Safety",
        Z38="Social Insurance Agency","Government Fund",
        Z38="Parent Company","Holding Company",
        Z38="Holding Company","Holding Company",
        Z38="Same Company","Construction",
        Z38="Bank","Bank",
        Z38="Unknown","Unknown",
        TRUE,"-"
    ),
    "-"
)</f>
        <v>Payment Facilitator</v>
      </c>
      <c r="AB38" s="25" t="str">
        <f t="shared" si="1"/>
        <v>-</v>
      </c>
      <c r="AC38" s="25" t="str" cm="1">
        <f t="array" ref="AC38">_xlfn.IFNA(
    _xlfn.IFS(
        Z38="Shareholder","Shareholder",
        Z38="Same Company","Same Company",
        Z38="Bank","Bank",
        Z38="Government","Government",
        Z38="Social Insurance Agency","Government",
        Z38="Parent Company","Customer",
        Z38="Lender","Lender",
        Z38="Unknown","Unknown",
        ISNUMBER(SEARCH("Abdullah Abdulkarim",M38)),"Service Provider",
        ISNUMBER(SEARCH("Abdullah Fahad",M38)),"Service Provider",
        ISNUMBER(SEARCH("Advanced Equipments",M38)),"Supplier",
        ISNUMBER(SEARCH("Al Banuk Sana",M38)),"Supplier",
        ISNUMBER(SEARCH("Al Khaleefa Factory",M38)),"Supplier",
        ISNUMBER(SEARCH("Al Saadeh Trading",M38)),"Supplier",
        ISNUMBER(SEARCH("Al Zaehaan",M38)),"Supplier",
        ISNUMBER(SEARCH("Ali Abdullah K Al Darwish",M38)),"Service Provider",
        ISNUMBER(SEARCH("Bupa Arabia",M38)),"Insurance Company",
        ISNUMBER(SEARCH("Dar Fahoosaat",M38)),"Service Provider",
        ISNUMBER(SEARCH("General Authority of Zakat",M38)),"Tax Authority",
        ISNUMBER(SEARCH("Gulf Voyager",M38)),"Service Provider",
        ISNUMBER(SEARCH("Hopeway Trading",M38)),"Supplier",
        ISNUMBER(SEARCH("Interhealth Medical",M38)),"Customer",
        ISNUMBER(SEARCH("Ishaar",M38)),"Service Provider",
        ISNUMBER(SEARCH("ISO Arabia",M38)),"Service Provider",
        ISNUMBER(SEARCH("Khalid Saad Al Otaibi",M38)),"Supplier",
        ISNUMBER(SEARCH("MERAS for Decoration",M38)),"Supplier",
        ISNUMBER(SEARCH("Middle East Customs Clearance",M38)),"Service Provider",
        ISNUMBER(SEARCH("Ministry of Human Resources",M38)),"Regulatory Agency",
        ISNUMBER(SEARCH("My Business Services",M38)),"Service Provider",
        ISNUMBER(SEARCH("National Water Company",M38)),"Utility Provider",
        ISNUMBER(SEARCH("Rania Contracting",M38)),"Supplier",
        ISNUMBER(SEARCH("Sahab United Motors",M38)),"Supplier",
        ISNUMBER(SEARCH("Saudi Electric Company",M38)),"Utility Provider",
        ISNUMBER(SEARCH("Saudi Vetonit",M38)),"Supplier",
        ISNUMBER(SEARCH("Shomoul Eng",M38)),"Service Provider",
        ISNUMBER(SEARCH("STC",M38)),"Utility Provider",
        ISNUMBER(SEARCH("The General Organization for Social Insurance",M38)),"Social Insurance Agency",
        ISNUMBER(SEARCH("TUV Rheinland",M38)),"Service Provider",
        ISNUMBER(SEARCH("Al Arabia Ceramic",M38)),"Supplier",
        ISNUMBER(SEARCH("National Company for Building",M38)),"Customer",
        ISNUMBER(SEARCH("Athraa Holding",M38)),"Customer",
        ISNUMBER(SEARCH("Al Rasan",M38)),"Supplier",
        ISNUMBER(SEARCH("Raboua Al Haid",M38)),"Customer",
        ISNUMBER(SEARCH("Al Jazeera Paint",M38)),"Supplier",
        ISNUMBER(SEARCH("Rania Works Contracting",M38)),"Supplier",
        ISNUMBER(SEARCH("Bandar Jarallah",M38)),"Supplier",
        TRUE,"Supplier"
    ),
    "-"
)</f>
        <v>Service Provider</v>
      </c>
      <c r="AD38" s="25" t="str" cm="1">
        <f t="array" ref="AD38">_xlfn.IFNA(
    _xlfn.IFS(
        AC38="Same Company","High",
        AC38="Shareholder","High",
        AC38="Government","High",
        AC38="Bank","High",
        AC38="Lender","High",
        AC38="Unknown","Low",
        AC38="-","Low",
        TRUE,"Medium"
    ),
    "-"
)</f>
        <v>Medium</v>
      </c>
      <c r="AE38" s="25" t="str">
        <f t="shared" si="2"/>
        <v>-</v>
      </c>
      <c r="AF38" s="25" t="str" cm="1">
        <f t="array" ref="AF38">_xlfn.IFNA(
    _xlfn.IFS(
        K38="Credit",
            _xlfn.IFS(
                OR(ISNUMBER(SEARCH("Rejected",L38)),ISNUMBER(SEARCH("Returned",L38))),"Other Income",
                TRUE,"Revenue"
            ),
        K38="Debit",
            _xlfn.IFS(
                ISNUMBER(SEARCH("Payroll",L38)),"OPEX",
                ISNUMBER(SEARCH("Expatriate",L38)),"OPEX",
                ISNUMBER(SEARCH("Zakat",M38)),"ZATCA",
                ISNUMBER(SEARCH("General Organization for Social Insurance",M38)),"OPEX",
                ISNUMBER(SEARCH("Saudi Electric",M38)),"OPEX",
                ISNUMBER(SEARCH("STC",M38)),"OPEX",
                ISNUMBER(SEARCH("National Water",M38)),"OPEX",
                ISNUMBER(SEARCH("Bupa",M38)),"OPEX",
                ISNUMBER(SEARCH("Abdullah Abdulkarim",M38)),"OPEX",
                ISNUMBER(SEARCH("Abdullah Fahad",M38)),"OPEX",
                ISNUMBER(SEARCH("ISO Arabia",M38)),"OPEX",
                ISNUMBER(SEARCH("Gulf Voyager",M38)),"OPEX",
                ISNUMBER(SEARCH("Ministry",M38)),"OPEX",
                ISNUMBER(SEARCH("General Authority of Zakat",M38)),"ZATCA",
                ISNUMBER(SEARCH("Rejected",L38)),"Other Income",
                TRUE,"COGS"
            ),
        TRUE,"-"
    ),
    "-"
)</f>
        <v>COGS</v>
      </c>
      <c r="AG38" s="25" t="str" cm="1">
        <f t="array" ref="AG38">_xlfn.IFNA(
    _xlfn.IFS(
        ISNUMBER(SEARCH("Payroll",L38)),"Payroll",
        ISNUMBER(SEARCH("Expatriate",L38)),"Government Fees",
        ISNUMBER(SEARCH("Zakat",M38)),"Zakat",
        ISNUMBER(SEARCH("Social Insurance",M38)),"Social Insurance",
        ISNUMBER(SEARCH("Saudi Electric",M38)),"Electricity",
        ISNUMBER(SEARCH("STC",M38)),"Telecom",
        ISNUMBER(SEARCH("National Water",M38)),"Water",
        ISNUMBER(SEARCH("Bupa",M38)),"Insurance",
        ISNUMBER(SEARCH("Gulf Voyager",M38)),"Travel",
        ISNUMBER(SEARCH("Ministry",M38)),"Government Fees",
        ISNUMBER(SEARCH("Abdullah Abdulkarim",M38)),"Consulting",
        ISNUMBER(SEARCH("Abdullah Fahad",M38)),"Accounting",
        ISNUMBER(SEARCH("ISO Arabia",M38)),"Consulting",
        ISNUMBER(SEARCH("Rejected",L38)),"Refund",
        AF38="COGS","Inventory Purchase",
        AF38="Revenue","Revenue",
        AF38="OPEX","Other",
        AF38="ZATCA","Zakat",
        TRUE,"-"
    ),
    "-"
)</f>
        <v>Inventory Purchase</v>
      </c>
      <c r="AH38" s="25" t="str" cm="1">
        <f t="array" ref="AH38">_xlfn.IFNA(
    _xlfn.IFS(
        AF38="-","Low",
        AF38="Other","Low",
        TRUE,"Medium"
    ),
    "-"
)</f>
        <v>Medium</v>
      </c>
      <c r="AI38" s="25" t="str">
        <f t="shared" si="3"/>
        <v>-</v>
      </c>
    </row>
    <row r="39" spans="1:35" x14ac:dyDescent="0.25">
      <c r="A39" s="10">
        <v>3</v>
      </c>
      <c r="B39" s="10" t="s">
        <v>35</v>
      </c>
      <c r="C39" s="10" t="s">
        <v>36</v>
      </c>
      <c r="D39" s="10" t="s">
        <v>37</v>
      </c>
      <c r="E39" s="10" t="s">
        <v>38</v>
      </c>
      <c r="F39" s="11" t="s">
        <v>39</v>
      </c>
      <c r="G39" s="11" t="s">
        <v>40</v>
      </c>
      <c r="H39" s="12">
        <v>45033</v>
      </c>
      <c r="I39" s="20">
        <v>214008.29</v>
      </c>
      <c r="J39" s="20">
        <v>575</v>
      </c>
      <c r="K39" s="10" t="s">
        <v>41</v>
      </c>
      <c r="L39" s="9" t="s">
        <v>122</v>
      </c>
      <c r="M39" s="9" t="s">
        <v>123</v>
      </c>
      <c r="N39" s="9">
        <v>62130957787719</v>
      </c>
      <c r="O39" s="9" t="s">
        <v>44</v>
      </c>
      <c r="P39" s="15">
        <v>45033</v>
      </c>
      <c r="Q39" s="9" t="s">
        <v>125</v>
      </c>
      <c r="R39" s="16">
        <v>575</v>
      </c>
      <c r="U39" s="9" t="s">
        <v>46</v>
      </c>
      <c r="V39" s="24" t="str" cm="1">
        <f t="array" ref="V39">_xlfn.IFNA(
    _xlfn.IFS(
        ISNUMBER(SEARCH("Fast Outgoing Transfer",L39)),"Transfer",
        ISNUMBER(SEARCH("Incoming Fast Transfer",L39)),"Transfer",
        ISNUMBER(SEARCH("Outgoing International Transfer",L39)),"Transfer",
        ISNUMBER(SEARCH("Bill Payment",L39)),"SADAD",
        ISNUMBER(SEARCH("Payroll",L39)),"Payroll",
        ISNUMBER(SEARCH("Cash Deposit",L39)),"Cash",
        ISNUMBER(SEARCH("Internal Transfer",L39)),"Transfer",
        ISNUMBER(SEARCH("Expatriate Services Payment",L39)),"SADAD",
        ISNUMBER(SEARCH("Rejected",L39)),"Transfer"
    ),
    "-"
)</f>
        <v>SADAD</v>
      </c>
      <c r="W39" s="25" t="str" cm="1">
        <f t="array" ref="W39">_xlfn.IFNA(
    _xlfn.IFS(
        AND(V39="Transfer",ISNUMBER(SEARCH("RIYAD BANK",L39))),"External FI",
        AND(V39="Transfer",ISNUMBER(SEARCH("Al Ahli",L39))),"External FI",
        AND(V39="Transfer",ISNUMBER(SEARCH("CIB via",L39))),"Local Transfer",
        AND(V39="Transfer",ISNUMBER(SEARCH("CIB)",L39))),"Local Transfer",
        AND(V39="Transfer",ISNUMBER(SEARCH("SMRT",L39))),"Local Transfer",
        AND(V39="Transfer",ISNUMBER(SEARCH("Al Murabba",L39))),"Local Transfer",
        AND(V39="Transfer",ISNUMBER(SEARCH("Internal Transfer",L39))),"Same FI",
        AND(V39="Transfer",ISNUMBER(SEARCH("Rejected",L39))),"Failed",
        V39="SADAD",
            _xlfn.IFS(
                ISNUMBER(SEARCH("Expatriate",L39)),"Expat Fees",
                TRUE,"Online Payment"
            ),
        V39="Payroll","Payroll",
        V39="Cash","Deposit",
        TRUE,"-"
    ),
    "-"
)</f>
        <v>Online Payment</v>
      </c>
      <c r="X39" s="25" t="str" cm="1">
        <f t="array" ref="X39">_xlfn.IFNA(
    _xlfn.IFS(
        V39="-","Low",
        W39="-","Low",
        TRUE,"High"
    ),
    "-"
)</f>
        <v>High</v>
      </c>
      <c r="Y39" s="25" t="str">
        <f t="shared" si="0"/>
        <v>-</v>
      </c>
      <c r="Z39" s="25" t="str" cm="1">
        <f t="array" ref="Z39">_xlfn.IFNA(
    _xlfn.IFS(
        ISNUMBER(SEARCH("Abdul Latif Jameel",M39)),"Lender",
        ISNUMBER(SEARCH("Abdullah Abdulkarim Al Sudais",M39)),"Accounting",
        ISNUMBER(SEARCH("Abdullah Fahad for Accounting",M39)),"Accounting",
        ISNUMBER(SEARCH("Abdullah Rashid Shaikh",M39)),"Shareholder",
        ISNUMBER(SEARCH("Advanced Equipments",M39)),"Equipment Rental",
        ISNUMBER(SEARCH("Al Banuk Sana",M39)),"Telecom Company",
        ISNUMBER(SEARCH("Al Khaleefa Factory",M39)),"Manufacturer",
        ISNUMBER(SEARCH("Al Saadeh Trading",M39)),"Trading Company",
        ISNUMBER(SEARCH("Al Zaehaan",M39)),"Trading Company",
        ISNUMBER(SEARCH("Ali Abdullah K Al Darwish",M39)),"Airlines",
        ISNUMBER(SEARCH("Bupa Arabia",M39)),"Health Insurance",
        ISNUMBER(SEARCH("Dar Fahoosaat",M39)),"Consultant",
        ISNUMBER(SEARCH("General Authority of Zakat",M39)),"Tax Collection",
        ISNUMBER(SEARCH("Gulf Voyager",M39)),"Travel Agency",
        ISNUMBER(SEARCH("Hopeway Trading",M39)),"Trading Company",
        ISNUMBER(SEARCH("Interhealth Medical",M39)),"Medical Services",
        ISNUMBER(SEARCH("Ishaar",M39)),"Online Payment Service",
        ISNUMBER(SEARCH("ISO Arabia",M39)),"Certification",
        ISNUMBER(SEARCH("Khalid Saad Al Otaibi",M39)),"Trading Company",
        ISNUMBER(SEARCH("MERAS for Decoration",M39)),"Decor Company",
        ISNUMBER(SEARCH("Middle East Customs Clearance",M39)),"Customs",
        ISNUMBER(SEARCH("Ministry of Human Resources",M39)),"Government",
        ISNUMBER(SEARCH("My Business Services",M39)),"Service Provider",
        ISNUMBER(SEARCH("National Water Company",M39)),"Water Company",
        ISNUMBER(SEARCH("Rania Contracting",M39)),"Contracting",
        ISNUMBER(SEARCH("Rashid Ali Sheikh",M39)),"Shareholder",
        ISNUMBER(SEARCH("Sahab United Motors",M39)),"Car Show Room",
        ISNUMBER(SEARCH("Saud Mohammed Al Tamimi",M39)),"Shareholder",
        ISNUMBER(SEARCH("Saud Mohammed Tamimi",M39)),"Shareholder",
        ISNUMBER(SEARCH("Saudi Electric Company",M39)),"Electricity Company",
        ISNUMBER(SEARCH("Saudi Vetonit",M39)),"Building Materials",
        ISNUMBER(SEARCH("Shomoul Eng",M39)),"Safety",
        ISNUMBER(SEARCH("STC",M39)),"Telecom Company",
        ISNUMBER(SEARCH("The General Organization for Social Insurance",M39)),"Social Insurance Agency",
        ISNUMBER(SEARCH("TUV Rheinland",M39)),"Certification",
        ISNUMBER(SEARCH("Al Arabia Ceramic",M39)),"Building Materials",
        ISNUMBER(SEARCH("National Company for Building and Marketing",M39)),"Parent Company",
        ISNUMBER(SEARCH("Athraa Holding",M39)),"Holding Company",
        ISNUMBER(SEARCH("Al Rasan",M39)),"Contracting",
        ISNUMBER(SEARCH("Raboua Al Haid",M39)),"Trading Company",
        ISNUMBER(SEARCH("Al Jazeera Paint",M39)),"Manufacturer",
        ISNUMBER(SEARCH("Rania Works Contracting",M39)),"Contracting",
        ISNUMBER(SEARCH("Bandar Jarallah",M39)),"Trading Establishment",
        ISNUMBER(SEARCH("RS Infratec Saudi",M39)),"Same Company",
        ISNUMBER(SEARCH("Payroll",M39)),"Bank",
        ISNUMBER(SEARCH("Expatriate",M39)),"Government",
        ISNUMBER(SEARCH("Unknown Sender",M39)),"Unknown",
        TRUE,"Unknown"
    ),
    "-"
)</f>
        <v>Online Payment Service</v>
      </c>
      <c r="AA39" s="25" t="str" cm="1">
        <f t="array" ref="AA39">_xlfn.IFNA(
    _xlfn.IFS(
        Z39="Lender","Financing",
        Z39="Accounting","Accounting",
        Z39="Shareholder","Individual",
        Z39="Equipment Rental","Equipment Rental",
        Z39="Telecom Company","Telecom",
        Z39="Manufacturer","Manufacturer",
        Z39="Trading Company","Trading And Transport",
        Z39="Trading Establishment","Trading",
        Z39="Airlines","Airlines",
        Z39="Health Insurance","Insurance",
        Z39="Consultant","Consultant",
        Z39="Tax Collection","Government",
        Z39="Travel Agency","Travel Agency",
        Z39="Medical Services","Medical Center",
        Z39="Online Payment Service","Payment Facilitator",
        Z39="Certification","Safety",
        Z39="Decor Company","Design",
        Z39="Customs","Customs",
        Z39="Government","Government",
        Z39="Service Provider","Service Provider",
        Z39="Water Company","Water Company",
        Z39="Contracting","Contracting",
        Z39="Car Show Room","Car Trader",
        Z39="Electricity Company","Electricity Company",
        Z39="Building Materials","Building Materials",
        Z39="Safety","Safety",
        Z39="Social Insurance Agency","Government Fund",
        Z39="Parent Company","Holding Company",
        Z39="Holding Company","Holding Company",
        Z39="Same Company","Construction",
        Z39="Bank","Bank",
        Z39="Unknown","Unknown",
        TRUE,"-"
    ),
    "-"
)</f>
        <v>Payment Facilitator</v>
      </c>
      <c r="AB39" s="25" t="str">
        <f t="shared" si="1"/>
        <v>-</v>
      </c>
      <c r="AC39" s="25" t="str" cm="1">
        <f t="array" ref="AC39">_xlfn.IFNA(
    _xlfn.IFS(
        Z39="Shareholder","Shareholder",
        Z39="Same Company","Same Company",
        Z39="Bank","Bank",
        Z39="Government","Government",
        Z39="Social Insurance Agency","Government",
        Z39="Parent Company","Customer",
        Z39="Lender","Lender",
        Z39="Unknown","Unknown",
        ISNUMBER(SEARCH("Abdullah Abdulkarim",M39)),"Service Provider",
        ISNUMBER(SEARCH("Abdullah Fahad",M39)),"Service Provider",
        ISNUMBER(SEARCH("Advanced Equipments",M39)),"Supplier",
        ISNUMBER(SEARCH("Al Banuk Sana",M39)),"Supplier",
        ISNUMBER(SEARCH("Al Khaleefa Factory",M39)),"Supplier",
        ISNUMBER(SEARCH("Al Saadeh Trading",M39)),"Supplier",
        ISNUMBER(SEARCH("Al Zaehaan",M39)),"Supplier",
        ISNUMBER(SEARCH("Ali Abdullah K Al Darwish",M39)),"Service Provider",
        ISNUMBER(SEARCH("Bupa Arabia",M39)),"Insurance Company",
        ISNUMBER(SEARCH("Dar Fahoosaat",M39)),"Service Provider",
        ISNUMBER(SEARCH("General Authority of Zakat",M39)),"Tax Authority",
        ISNUMBER(SEARCH("Gulf Voyager",M39)),"Service Provider",
        ISNUMBER(SEARCH("Hopeway Trading",M39)),"Supplier",
        ISNUMBER(SEARCH("Interhealth Medical",M39)),"Customer",
        ISNUMBER(SEARCH("Ishaar",M39)),"Service Provider",
        ISNUMBER(SEARCH("ISO Arabia",M39)),"Service Provider",
        ISNUMBER(SEARCH("Khalid Saad Al Otaibi",M39)),"Supplier",
        ISNUMBER(SEARCH("MERAS for Decoration",M39)),"Supplier",
        ISNUMBER(SEARCH("Middle East Customs Clearance",M39)),"Service Provider",
        ISNUMBER(SEARCH("Ministry of Human Resources",M39)),"Regulatory Agency",
        ISNUMBER(SEARCH("My Business Services",M39)),"Service Provider",
        ISNUMBER(SEARCH("National Water Company",M39)),"Utility Provider",
        ISNUMBER(SEARCH("Rania Contracting",M39)),"Supplier",
        ISNUMBER(SEARCH("Sahab United Motors",M39)),"Supplier",
        ISNUMBER(SEARCH("Saudi Electric Company",M39)),"Utility Provider",
        ISNUMBER(SEARCH("Saudi Vetonit",M39)),"Supplier",
        ISNUMBER(SEARCH("Shomoul Eng",M39)),"Service Provider",
        ISNUMBER(SEARCH("STC",M39)),"Utility Provider",
        ISNUMBER(SEARCH("The General Organization for Social Insurance",M39)),"Social Insurance Agency",
        ISNUMBER(SEARCH("TUV Rheinland",M39)),"Service Provider",
        ISNUMBER(SEARCH("Al Arabia Ceramic",M39)),"Supplier",
        ISNUMBER(SEARCH("National Company for Building",M39)),"Customer",
        ISNUMBER(SEARCH("Athraa Holding",M39)),"Customer",
        ISNUMBER(SEARCH("Al Rasan",M39)),"Supplier",
        ISNUMBER(SEARCH("Raboua Al Haid",M39)),"Customer",
        ISNUMBER(SEARCH("Al Jazeera Paint",M39)),"Supplier",
        ISNUMBER(SEARCH("Rania Works Contracting",M39)),"Supplier",
        ISNUMBER(SEARCH("Bandar Jarallah",M39)),"Supplier",
        TRUE,"Supplier"
    ),
    "-"
)</f>
        <v>Service Provider</v>
      </c>
      <c r="AD39" s="25" t="str" cm="1">
        <f t="array" ref="AD39">_xlfn.IFNA(
    _xlfn.IFS(
        AC39="Same Company","High",
        AC39="Shareholder","High",
        AC39="Government","High",
        AC39="Bank","High",
        AC39="Lender","High",
        AC39="Unknown","Low",
        AC39="-","Low",
        TRUE,"Medium"
    ),
    "-"
)</f>
        <v>Medium</v>
      </c>
      <c r="AE39" s="25" t="str">
        <f t="shared" si="2"/>
        <v>-</v>
      </c>
      <c r="AF39" s="25" t="str" cm="1">
        <f t="array" ref="AF39">_xlfn.IFNA(
    _xlfn.IFS(
        K39="Credit",
            _xlfn.IFS(
                OR(ISNUMBER(SEARCH("Rejected",L39)),ISNUMBER(SEARCH("Returned",L39))),"Other Income",
                TRUE,"Revenue"
            ),
        K39="Debit",
            _xlfn.IFS(
                ISNUMBER(SEARCH("Payroll",L39)),"OPEX",
                ISNUMBER(SEARCH("Expatriate",L39)),"OPEX",
                ISNUMBER(SEARCH("Zakat",M39)),"ZATCA",
                ISNUMBER(SEARCH("General Organization for Social Insurance",M39)),"OPEX",
                ISNUMBER(SEARCH("Saudi Electric",M39)),"OPEX",
                ISNUMBER(SEARCH("STC",M39)),"OPEX",
                ISNUMBER(SEARCH("National Water",M39)),"OPEX",
                ISNUMBER(SEARCH("Bupa",M39)),"OPEX",
                ISNUMBER(SEARCH("Abdullah Abdulkarim",M39)),"OPEX",
                ISNUMBER(SEARCH("Abdullah Fahad",M39)),"OPEX",
                ISNUMBER(SEARCH("ISO Arabia",M39)),"OPEX",
                ISNUMBER(SEARCH("Gulf Voyager",M39)),"OPEX",
                ISNUMBER(SEARCH("Ministry",M39)),"OPEX",
                ISNUMBER(SEARCH("General Authority of Zakat",M39)),"ZATCA",
                ISNUMBER(SEARCH("Rejected",L39)),"Other Income",
                TRUE,"COGS"
            ),
        TRUE,"-"
    ),
    "-"
)</f>
        <v>COGS</v>
      </c>
      <c r="AG39" s="25" t="str" cm="1">
        <f t="array" ref="AG39">_xlfn.IFNA(
    _xlfn.IFS(
        ISNUMBER(SEARCH("Payroll",L39)),"Payroll",
        ISNUMBER(SEARCH("Expatriate",L39)),"Government Fees",
        ISNUMBER(SEARCH("Zakat",M39)),"Zakat",
        ISNUMBER(SEARCH("Social Insurance",M39)),"Social Insurance",
        ISNUMBER(SEARCH("Saudi Electric",M39)),"Electricity",
        ISNUMBER(SEARCH("STC",M39)),"Telecom",
        ISNUMBER(SEARCH("National Water",M39)),"Water",
        ISNUMBER(SEARCH("Bupa",M39)),"Insurance",
        ISNUMBER(SEARCH("Gulf Voyager",M39)),"Travel",
        ISNUMBER(SEARCH("Ministry",M39)),"Government Fees",
        ISNUMBER(SEARCH("Abdullah Abdulkarim",M39)),"Consulting",
        ISNUMBER(SEARCH("Abdullah Fahad",M39)),"Accounting",
        ISNUMBER(SEARCH("ISO Arabia",M39)),"Consulting",
        ISNUMBER(SEARCH("Rejected",L39)),"Refund",
        AF39="COGS","Inventory Purchase",
        AF39="Revenue","Revenue",
        AF39="OPEX","Other",
        AF39="ZATCA","Zakat",
        TRUE,"-"
    ),
    "-"
)</f>
        <v>Inventory Purchase</v>
      </c>
      <c r="AH39" s="25" t="str" cm="1">
        <f t="array" ref="AH39">_xlfn.IFNA(
    _xlfn.IFS(
        AF39="-","Low",
        AF39="Other","Low",
        TRUE,"Medium"
    ),
    "-"
)</f>
        <v>Medium</v>
      </c>
      <c r="AI39" s="25" t="str">
        <f t="shared" si="3"/>
        <v>-</v>
      </c>
    </row>
    <row r="40" spans="1:35" x14ac:dyDescent="0.25">
      <c r="A40" s="10">
        <v>3</v>
      </c>
      <c r="B40" s="10" t="s">
        <v>35</v>
      </c>
      <c r="C40" s="10" t="s">
        <v>36</v>
      </c>
      <c r="D40" s="10" t="s">
        <v>37</v>
      </c>
      <c r="E40" s="10" t="s">
        <v>38</v>
      </c>
      <c r="F40" s="11" t="s">
        <v>39</v>
      </c>
      <c r="G40" s="11" t="s">
        <v>40</v>
      </c>
      <c r="H40" s="12">
        <v>45056</v>
      </c>
      <c r="I40" s="20">
        <v>2175.9</v>
      </c>
      <c r="J40" s="20">
        <v>575</v>
      </c>
      <c r="K40" s="10" t="s">
        <v>41</v>
      </c>
      <c r="L40" s="9" t="s">
        <v>122</v>
      </c>
      <c r="M40" s="9" t="s">
        <v>123</v>
      </c>
      <c r="N40" s="9">
        <v>62133099907024</v>
      </c>
      <c r="O40" s="9" t="s">
        <v>44</v>
      </c>
      <c r="P40" s="15">
        <v>45056</v>
      </c>
      <c r="Q40" s="9" t="s">
        <v>126</v>
      </c>
      <c r="R40" s="16">
        <v>575</v>
      </c>
      <c r="U40" s="9" t="s">
        <v>46</v>
      </c>
      <c r="V40" s="24" t="str" cm="1">
        <f t="array" ref="V40">_xlfn.IFNA(
    _xlfn.IFS(
        ISNUMBER(SEARCH("Fast Outgoing Transfer",L40)),"Transfer",
        ISNUMBER(SEARCH("Incoming Fast Transfer",L40)),"Transfer",
        ISNUMBER(SEARCH("Outgoing International Transfer",L40)),"Transfer",
        ISNUMBER(SEARCH("Bill Payment",L40)),"SADAD",
        ISNUMBER(SEARCH("Payroll",L40)),"Payroll",
        ISNUMBER(SEARCH("Cash Deposit",L40)),"Cash",
        ISNUMBER(SEARCH("Internal Transfer",L40)),"Transfer",
        ISNUMBER(SEARCH("Expatriate Services Payment",L40)),"SADAD",
        ISNUMBER(SEARCH("Rejected",L40)),"Transfer"
    ),
    "-"
)</f>
        <v>SADAD</v>
      </c>
      <c r="W40" s="25" t="str" cm="1">
        <f t="array" ref="W40">_xlfn.IFNA(
    _xlfn.IFS(
        AND(V40="Transfer",ISNUMBER(SEARCH("RIYAD BANK",L40))),"External FI",
        AND(V40="Transfer",ISNUMBER(SEARCH("Al Ahli",L40))),"External FI",
        AND(V40="Transfer",ISNUMBER(SEARCH("CIB via",L40))),"Local Transfer",
        AND(V40="Transfer",ISNUMBER(SEARCH("CIB)",L40))),"Local Transfer",
        AND(V40="Transfer",ISNUMBER(SEARCH("SMRT",L40))),"Local Transfer",
        AND(V40="Transfer",ISNUMBER(SEARCH("Al Murabba",L40))),"Local Transfer",
        AND(V40="Transfer",ISNUMBER(SEARCH("Internal Transfer",L40))),"Same FI",
        AND(V40="Transfer",ISNUMBER(SEARCH("Rejected",L40))),"Failed",
        V40="SADAD",
            _xlfn.IFS(
                ISNUMBER(SEARCH("Expatriate",L40)),"Expat Fees",
                TRUE,"Online Payment"
            ),
        V40="Payroll","Payroll",
        V40="Cash","Deposit",
        TRUE,"-"
    ),
    "-"
)</f>
        <v>Online Payment</v>
      </c>
      <c r="X40" s="25" t="str" cm="1">
        <f t="array" ref="X40">_xlfn.IFNA(
    _xlfn.IFS(
        V40="-","Low",
        W40="-","Low",
        TRUE,"High"
    ),
    "-"
)</f>
        <v>High</v>
      </c>
      <c r="Y40" s="25" t="str">
        <f t="shared" si="0"/>
        <v>-</v>
      </c>
      <c r="Z40" s="25" t="str" cm="1">
        <f t="array" ref="Z40">_xlfn.IFNA(
    _xlfn.IFS(
        ISNUMBER(SEARCH("Abdul Latif Jameel",M40)),"Lender",
        ISNUMBER(SEARCH("Abdullah Abdulkarim Al Sudais",M40)),"Accounting",
        ISNUMBER(SEARCH("Abdullah Fahad for Accounting",M40)),"Accounting",
        ISNUMBER(SEARCH("Abdullah Rashid Shaikh",M40)),"Shareholder",
        ISNUMBER(SEARCH("Advanced Equipments",M40)),"Equipment Rental",
        ISNUMBER(SEARCH("Al Banuk Sana",M40)),"Telecom Company",
        ISNUMBER(SEARCH("Al Khaleefa Factory",M40)),"Manufacturer",
        ISNUMBER(SEARCH("Al Saadeh Trading",M40)),"Trading Company",
        ISNUMBER(SEARCH("Al Zaehaan",M40)),"Trading Company",
        ISNUMBER(SEARCH("Ali Abdullah K Al Darwish",M40)),"Airlines",
        ISNUMBER(SEARCH("Bupa Arabia",M40)),"Health Insurance",
        ISNUMBER(SEARCH("Dar Fahoosaat",M40)),"Consultant",
        ISNUMBER(SEARCH("General Authority of Zakat",M40)),"Tax Collection",
        ISNUMBER(SEARCH("Gulf Voyager",M40)),"Travel Agency",
        ISNUMBER(SEARCH("Hopeway Trading",M40)),"Trading Company",
        ISNUMBER(SEARCH("Interhealth Medical",M40)),"Medical Services",
        ISNUMBER(SEARCH("Ishaar",M40)),"Online Payment Service",
        ISNUMBER(SEARCH("ISO Arabia",M40)),"Certification",
        ISNUMBER(SEARCH("Khalid Saad Al Otaibi",M40)),"Trading Company",
        ISNUMBER(SEARCH("MERAS for Decoration",M40)),"Decor Company",
        ISNUMBER(SEARCH("Middle East Customs Clearance",M40)),"Customs",
        ISNUMBER(SEARCH("Ministry of Human Resources",M40)),"Government",
        ISNUMBER(SEARCH("My Business Services",M40)),"Service Provider",
        ISNUMBER(SEARCH("National Water Company",M40)),"Water Company",
        ISNUMBER(SEARCH("Rania Contracting",M40)),"Contracting",
        ISNUMBER(SEARCH("Rashid Ali Sheikh",M40)),"Shareholder",
        ISNUMBER(SEARCH("Sahab United Motors",M40)),"Car Show Room",
        ISNUMBER(SEARCH("Saud Mohammed Al Tamimi",M40)),"Shareholder",
        ISNUMBER(SEARCH("Saud Mohammed Tamimi",M40)),"Shareholder",
        ISNUMBER(SEARCH("Saudi Electric Company",M40)),"Electricity Company",
        ISNUMBER(SEARCH("Saudi Vetonit",M40)),"Building Materials",
        ISNUMBER(SEARCH("Shomoul Eng",M40)),"Safety",
        ISNUMBER(SEARCH("STC",M40)),"Telecom Company",
        ISNUMBER(SEARCH("The General Organization for Social Insurance",M40)),"Social Insurance Agency",
        ISNUMBER(SEARCH("TUV Rheinland",M40)),"Certification",
        ISNUMBER(SEARCH("Al Arabia Ceramic",M40)),"Building Materials",
        ISNUMBER(SEARCH("National Company for Building and Marketing",M40)),"Parent Company",
        ISNUMBER(SEARCH("Athraa Holding",M40)),"Holding Company",
        ISNUMBER(SEARCH("Al Rasan",M40)),"Contracting",
        ISNUMBER(SEARCH("Raboua Al Haid",M40)),"Trading Company",
        ISNUMBER(SEARCH("Al Jazeera Paint",M40)),"Manufacturer",
        ISNUMBER(SEARCH("Rania Works Contracting",M40)),"Contracting",
        ISNUMBER(SEARCH("Bandar Jarallah",M40)),"Trading Establishment",
        ISNUMBER(SEARCH("RS Infratec Saudi",M40)),"Same Company",
        ISNUMBER(SEARCH("Payroll",M40)),"Bank",
        ISNUMBER(SEARCH("Expatriate",M40)),"Government",
        ISNUMBER(SEARCH("Unknown Sender",M40)),"Unknown",
        TRUE,"Unknown"
    ),
    "-"
)</f>
        <v>Online Payment Service</v>
      </c>
      <c r="AA40" s="25" t="str" cm="1">
        <f t="array" ref="AA40">_xlfn.IFNA(
    _xlfn.IFS(
        Z40="Lender","Financing",
        Z40="Accounting","Accounting",
        Z40="Shareholder","Individual",
        Z40="Equipment Rental","Equipment Rental",
        Z40="Telecom Company","Telecom",
        Z40="Manufacturer","Manufacturer",
        Z40="Trading Company","Trading And Transport",
        Z40="Trading Establishment","Trading",
        Z40="Airlines","Airlines",
        Z40="Health Insurance","Insurance",
        Z40="Consultant","Consultant",
        Z40="Tax Collection","Government",
        Z40="Travel Agency","Travel Agency",
        Z40="Medical Services","Medical Center",
        Z40="Online Payment Service","Payment Facilitator",
        Z40="Certification","Safety",
        Z40="Decor Company","Design",
        Z40="Customs","Customs",
        Z40="Government","Government",
        Z40="Service Provider","Service Provider",
        Z40="Water Company","Water Company",
        Z40="Contracting","Contracting",
        Z40="Car Show Room","Car Trader",
        Z40="Electricity Company","Electricity Company",
        Z40="Building Materials","Building Materials",
        Z40="Safety","Safety",
        Z40="Social Insurance Agency","Government Fund",
        Z40="Parent Company","Holding Company",
        Z40="Holding Company","Holding Company",
        Z40="Same Company","Construction",
        Z40="Bank","Bank",
        Z40="Unknown","Unknown",
        TRUE,"-"
    ),
    "-"
)</f>
        <v>Payment Facilitator</v>
      </c>
      <c r="AB40" s="25" t="str">
        <f t="shared" si="1"/>
        <v>-</v>
      </c>
      <c r="AC40" s="25" t="str" cm="1">
        <f t="array" ref="AC40">_xlfn.IFNA(
    _xlfn.IFS(
        Z40="Shareholder","Shareholder",
        Z40="Same Company","Same Company",
        Z40="Bank","Bank",
        Z40="Government","Government",
        Z40="Social Insurance Agency","Government",
        Z40="Parent Company","Customer",
        Z40="Lender","Lender",
        Z40="Unknown","Unknown",
        ISNUMBER(SEARCH("Abdullah Abdulkarim",M40)),"Service Provider",
        ISNUMBER(SEARCH("Abdullah Fahad",M40)),"Service Provider",
        ISNUMBER(SEARCH("Advanced Equipments",M40)),"Supplier",
        ISNUMBER(SEARCH("Al Banuk Sana",M40)),"Supplier",
        ISNUMBER(SEARCH("Al Khaleefa Factory",M40)),"Supplier",
        ISNUMBER(SEARCH("Al Saadeh Trading",M40)),"Supplier",
        ISNUMBER(SEARCH("Al Zaehaan",M40)),"Supplier",
        ISNUMBER(SEARCH("Ali Abdullah K Al Darwish",M40)),"Service Provider",
        ISNUMBER(SEARCH("Bupa Arabia",M40)),"Insurance Company",
        ISNUMBER(SEARCH("Dar Fahoosaat",M40)),"Service Provider",
        ISNUMBER(SEARCH("General Authority of Zakat",M40)),"Tax Authority",
        ISNUMBER(SEARCH("Gulf Voyager",M40)),"Service Provider",
        ISNUMBER(SEARCH("Hopeway Trading",M40)),"Supplier",
        ISNUMBER(SEARCH("Interhealth Medical",M40)),"Customer",
        ISNUMBER(SEARCH("Ishaar",M40)),"Service Provider",
        ISNUMBER(SEARCH("ISO Arabia",M40)),"Service Provider",
        ISNUMBER(SEARCH("Khalid Saad Al Otaibi",M40)),"Supplier",
        ISNUMBER(SEARCH("MERAS for Decoration",M40)),"Supplier",
        ISNUMBER(SEARCH("Middle East Customs Clearance",M40)),"Service Provider",
        ISNUMBER(SEARCH("Ministry of Human Resources",M40)),"Regulatory Agency",
        ISNUMBER(SEARCH("My Business Services",M40)),"Service Provider",
        ISNUMBER(SEARCH("National Water Company",M40)),"Utility Provider",
        ISNUMBER(SEARCH("Rania Contracting",M40)),"Supplier",
        ISNUMBER(SEARCH("Sahab United Motors",M40)),"Supplier",
        ISNUMBER(SEARCH("Saudi Electric Company",M40)),"Utility Provider",
        ISNUMBER(SEARCH("Saudi Vetonit",M40)),"Supplier",
        ISNUMBER(SEARCH("Shomoul Eng",M40)),"Service Provider",
        ISNUMBER(SEARCH("STC",M40)),"Utility Provider",
        ISNUMBER(SEARCH("The General Organization for Social Insurance",M40)),"Social Insurance Agency",
        ISNUMBER(SEARCH("TUV Rheinland",M40)),"Service Provider",
        ISNUMBER(SEARCH("Al Arabia Ceramic",M40)),"Supplier",
        ISNUMBER(SEARCH("National Company for Building",M40)),"Customer",
        ISNUMBER(SEARCH("Athraa Holding",M40)),"Customer",
        ISNUMBER(SEARCH("Al Rasan",M40)),"Supplier",
        ISNUMBER(SEARCH("Raboua Al Haid",M40)),"Customer",
        ISNUMBER(SEARCH("Al Jazeera Paint",M40)),"Supplier",
        ISNUMBER(SEARCH("Rania Works Contracting",M40)),"Supplier",
        ISNUMBER(SEARCH("Bandar Jarallah",M40)),"Supplier",
        TRUE,"Supplier"
    ),
    "-"
)</f>
        <v>Service Provider</v>
      </c>
      <c r="AD40" s="25" t="str" cm="1">
        <f t="array" ref="AD40">_xlfn.IFNA(
    _xlfn.IFS(
        AC40="Same Company","High",
        AC40="Shareholder","High",
        AC40="Government","High",
        AC40="Bank","High",
        AC40="Lender","High",
        AC40="Unknown","Low",
        AC40="-","Low",
        TRUE,"Medium"
    ),
    "-"
)</f>
        <v>Medium</v>
      </c>
      <c r="AE40" s="25" t="str">
        <f t="shared" si="2"/>
        <v>-</v>
      </c>
      <c r="AF40" s="25" t="str" cm="1">
        <f t="array" ref="AF40">_xlfn.IFNA(
    _xlfn.IFS(
        K40="Credit",
            _xlfn.IFS(
                OR(ISNUMBER(SEARCH("Rejected",L40)),ISNUMBER(SEARCH("Returned",L40))),"Other Income",
                TRUE,"Revenue"
            ),
        K40="Debit",
            _xlfn.IFS(
                ISNUMBER(SEARCH("Payroll",L40)),"OPEX",
                ISNUMBER(SEARCH("Expatriate",L40)),"OPEX",
                ISNUMBER(SEARCH("Zakat",M40)),"ZATCA",
                ISNUMBER(SEARCH("General Organization for Social Insurance",M40)),"OPEX",
                ISNUMBER(SEARCH("Saudi Electric",M40)),"OPEX",
                ISNUMBER(SEARCH("STC",M40)),"OPEX",
                ISNUMBER(SEARCH("National Water",M40)),"OPEX",
                ISNUMBER(SEARCH("Bupa",M40)),"OPEX",
                ISNUMBER(SEARCH("Abdullah Abdulkarim",M40)),"OPEX",
                ISNUMBER(SEARCH("Abdullah Fahad",M40)),"OPEX",
                ISNUMBER(SEARCH("ISO Arabia",M40)),"OPEX",
                ISNUMBER(SEARCH("Gulf Voyager",M40)),"OPEX",
                ISNUMBER(SEARCH("Ministry",M40)),"OPEX",
                ISNUMBER(SEARCH("General Authority of Zakat",M40)),"ZATCA",
                ISNUMBER(SEARCH("Rejected",L40)),"Other Income",
                TRUE,"COGS"
            ),
        TRUE,"-"
    ),
    "-"
)</f>
        <v>COGS</v>
      </c>
      <c r="AG40" s="25" t="str" cm="1">
        <f t="array" ref="AG40">_xlfn.IFNA(
    _xlfn.IFS(
        ISNUMBER(SEARCH("Payroll",L40)),"Payroll",
        ISNUMBER(SEARCH("Expatriate",L40)),"Government Fees",
        ISNUMBER(SEARCH("Zakat",M40)),"Zakat",
        ISNUMBER(SEARCH("Social Insurance",M40)),"Social Insurance",
        ISNUMBER(SEARCH("Saudi Electric",M40)),"Electricity",
        ISNUMBER(SEARCH("STC",M40)),"Telecom",
        ISNUMBER(SEARCH("National Water",M40)),"Water",
        ISNUMBER(SEARCH("Bupa",M40)),"Insurance",
        ISNUMBER(SEARCH("Gulf Voyager",M40)),"Travel",
        ISNUMBER(SEARCH("Ministry",M40)),"Government Fees",
        ISNUMBER(SEARCH("Abdullah Abdulkarim",M40)),"Consulting",
        ISNUMBER(SEARCH("Abdullah Fahad",M40)),"Accounting",
        ISNUMBER(SEARCH("ISO Arabia",M40)),"Consulting",
        ISNUMBER(SEARCH("Rejected",L40)),"Refund",
        AF40="COGS","Inventory Purchase",
        AF40="Revenue","Revenue",
        AF40="OPEX","Other",
        AF40="ZATCA","Zakat",
        TRUE,"-"
    ),
    "-"
)</f>
        <v>Inventory Purchase</v>
      </c>
      <c r="AH40" s="25" t="str" cm="1">
        <f t="array" ref="AH40">_xlfn.IFNA(
    _xlfn.IFS(
        AF40="-","Low",
        AF40="Other","Low",
        TRUE,"Medium"
    ),
    "-"
)</f>
        <v>Medium</v>
      </c>
      <c r="AI40" s="25" t="str">
        <f t="shared" si="3"/>
        <v>-</v>
      </c>
    </row>
    <row r="41" spans="1:35" x14ac:dyDescent="0.25">
      <c r="A41" s="10">
        <v>3</v>
      </c>
      <c r="B41" s="10" t="s">
        <v>35</v>
      </c>
      <c r="C41" s="10" t="s">
        <v>36</v>
      </c>
      <c r="D41" s="10" t="s">
        <v>37</v>
      </c>
      <c r="E41" s="10" t="s">
        <v>38</v>
      </c>
      <c r="F41" s="11" t="s">
        <v>39</v>
      </c>
      <c r="G41" s="11" t="s">
        <v>40</v>
      </c>
      <c r="H41" s="12">
        <v>45006</v>
      </c>
      <c r="I41" s="20">
        <v>199709.65</v>
      </c>
      <c r="J41" s="20">
        <v>12437.15</v>
      </c>
      <c r="K41" s="10" t="s">
        <v>41</v>
      </c>
      <c r="L41" s="9" t="s">
        <v>56</v>
      </c>
      <c r="M41" s="9" t="s">
        <v>132</v>
      </c>
      <c r="N41" s="9" t="s">
        <v>133</v>
      </c>
      <c r="O41" s="9" t="s">
        <v>53</v>
      </c>
      <c r="P41" s="15">
        <v>45006</v>
      </c>
      <c r="Q41" s="9" t="s">
        <v>134</v>
      </c>
      <c r="R41" s="16">
        <v>12437</v>
      </c>
      <c r="S41" s="18">
        <v>1</v>
      </c>
      <c r="T41" s="18">
        <v>0.15</v>
      </c>
      <c r="U41" s="9" t="s">
        <v>55</v>
      </c>
      <c r="V41" s="24" t="str" cm="1">
        <f t="array" ref="V41">_xlfn.IFNA(
    _xlfn.IFS(
        ISNUMBER(SEARCH("Fast Outgoing Transfer",L41)),"Transfer",
        ISNUMBER(SEARCH("Incoming Fast Transfer",L41)),"Transfer",
        ISNUMBER(SEARCH("Outgoing International Transfer",L41)),"Transfer",
        ISNUMBER(SEARCH("Bill Payment",L41)),"SADAD",
        ISNUMBER(SEARCH("Payroll",L41)),"Payroll",
        ISNUMBER(SEARCH("Cash Deposit",L41)),"Cash",
        ISNUMBER(SEARCH("Internal Transfer",L41)),"Transfer",
        ISNUMBER(SEARCH("Expatriate Services Payment",L41)),"SADAD",
        ISNUMBER(SEARCH("Rejected",L41)),"Transfer"
    ),
    "-"
)</f>
        <v>Transfer</v>
      </c>
      <c r="W41" s="25" t="str" cm="1">
        <f t="array" ref="W41">_xlfn.IFNA(
    _xlfn.IFS(
        AND(V41="Transfer",ISNUMBER(SEARCH("RIYAD BANK",L41))),"External FI",
        AND(V41="Transfer",ISNUMBER(SEARCH("Al Ahli",L41))),"External FI",
        AND(V41="Transfer",ISNUMBER(SEARCH("CIB via",L41))),"Local Transfer",
        AND(V41="Transfer",ISNUMBER(SEARCH("CIB)",L41))),"Local Transfer",
        AND(V41="Transfer",ISNUMBER(SEARCH("SMRT",L41))),"Local Transfer",
        AND(V41="Transfer",ISNUMBER(SEARCH("Al Murabba",L41))),"Local Transfer",
        AND(V41="Transfer",ISNUMBER(SEARCH("Internal Transfer",L41))),"Same FI",
        AND(V41="Transfer",ISNUMBER(SEARCH("Rejected",L41))),"Failed",
        V41="SADAD",
            _xlfn.IFS(
                ISNUMBER(SEARCH("Expatriate",L41)),"Expat Fees",
                TRUE,"Online Payment"
            ),
        V41="Payroll","Payroll",
        V41="Cash","Deposit",
        TRUE,"-"
    ),
    "-"
)</f>
        <v>Local Transfer</v>
      </c>
      <c r="X41" s="25" t="str" cm="1">
        <f t="array" ref="X41">_xlfn.IFNA(
    _xlfn.IFS(
        V41="-","Low",
        W41="-","Low",
        TRUE,"High"
    ),
    "-"
)</f>
        <v>High</v>
      </c>
      <c r="Y41" s="25" t="str">
        <f t="shared" si="0"/>
        <v>-</v>
      </c>
      <c r="Z41" s="25" t="str" cm="1">
        <f t="array" ref="Z41">_xlfn.IFNA(
    _xlfn.IFS(
        ISNUMBER(SEARCH("Abdul Latif Jameel",M41)),"Lender",
        ISNUMBER(SEARCH("Abdullah Abdulkarim Al Sudais",M41)),"Accounting",
        ISNUMBER(SEARCH("Abdullah Fahad for Accounting",M41)),"Accounting",
        ISNUMBER(SEARCH("Abdullah Rashid Shaikh",M41)),"Shareholder",
        ISNUMBER(SEARCH("Advanced Equipments",M41)),"Equipment Rental",
        ISNUMBER(SEARCH("Al Banuk Sana",M41)),"Telecom Company",
        ISNUMBER(SEARCH("Al Khaleefa Factory",M41)),"Manufacturer",
        ISNUMBER(SEARCH("Al Saadeh Trading",M41)),"Trading Company",
        ISNUMBER(SEARCH("Al Zaehaan",M41)),"Trading Company",
        ISNUMBER(SEARCH("Ali Abdullah K Al Darwish",M41)),"Airlines",
        ISNUMBER(SEARCH("Bupa Arabia",M41)),"Health Insurance",
        ISNUMBER(SEARCH("Dar Fahoosaat",M41)),"Consultant",
        ISNUMBER(SEARCH("General Authority of Zakat",M41)),"Tax Collection",
        ISNUMBER(SEARCH("Gulf Voyager",M41)),"Travel Agency",
        ISNUMBER(SEARCH("Hopeway Trading",M41)),"Trading Company",
        ISNUMBER(SEARCH("Interhealth Medical",M41)),"Medical Services",
        ISNUMBER(SEARCH("Ishaar",M41)),"Online Payment Service",
        ISNUMBER(SEARCH("ISO Arabia",M41)),"Certification",
        ISNUMBER(SEARCH("Khalid Saad Al Otaibi",M41)),"Trading Company",
        ISNUMBER(SEARCH("MERAS for Decoration",M41)),"Decor Company",
        ISNUMBER(SEARCH("Middle East Customs Clearance",M41)),"Customs",
        ISNUMBER(SEARCH("Ministry of Human Resources",M41)),"Government",
        ISNUMBER(SEARCH("My Business Services",M41)),"Service Provider",
        ISNUMBER(SEARCH("National Water Company",M41)),"Water Company",
        ISNUMBER(SEARCH("Rania Contracting",M41)),"Contracting",
        ISNUMBER(SEARCH("Rashid Ali Sheikh",M41)),"Shareholder",
        ISNUMBER(SEARCH("Sahab United Motors",M41)),"Car Show Room",
        ISNUMBER(SEARCH("Saud Mohammed Al Tamimi",M41)),"Shareholder",
        ISNUMBER(SEARCH("Saud Mohammed Tamimi",M41)),"Shareholder",
        ISNUMBER(SEARCH("Saudi Electric Company",M41)),"Electricity Company",
        ISNUMBER(SEARCH("Saudi Vetonit",M41)),"Building Materials",
        ISNUMBER(SEARCH("Shomoul Eng",M41)),"Safety",
        ISNUMBER(SEARCH("STC",M41)),"Telecom Company",
        ISNUMBER(SEARCH("The General Organization for Social Insurance",M41)),"Social Insurance Agency",
        ISNUMBER(SEARCH("TUV Rheinland",M41)),"Certification",
        ISNUMBER(SEARCH("Al Arabia Ceramic",M41)),"Building Materials",
        ISNUMBER(SEARCH("National Company for Building and Marketing",M41)),"Parent Company",
        ISNUMBER(SEARCH("Athraa Holding",M41)),"Holding Company",
        ISNUMBER(SEARCH("Al Rasan",M41)),"Contracting",
        ISNUMBER(SEARCH("Raboua Al Haid",M41)),"Trading Company",
        ISNUMBER(SEARCH("Al Jazeera Paint",M41)),"Manufacturer",
        ISNUMBER(SEARCH("Rania Works Contracting",M41)),"Contracting",
        ISNUMBER(SEARCH("Bandar Jarallah",M41)),"Trading Establishment",
        ISNUMBER(SEARCH("RS Infratec Saudi",M41)),"Same Company",
        ISNUMBER(SEARCH("Payroll",M41)),"Bank",
        ISNUMBER(SEARCH("Expatriate",M41)),"Government",
        ISNUMBER(SEARCH("Unknown Sender",M41)),"Unknown",
        TRUE,"Unknown"
    ),
    "-"
)</f>
        <v>Trading Company</v>
      </c>
      <c r="AA41" s="25" t="str" cm="1">
        <f t="array" ref="AA41">_xlfn.IFNA(
    _xlfn.IFS(
        Z41="Lender","Financing",
        Z41="Accounting","Accounting",
        Z41="Shareholder","Individual",
        Z41="Equipment Rental","Equipment Rental",
        Z41="Telecom Company","Telecom",
        Z41="Manufacturer","Manufacturer",
        Z41="Trading Company","Trading And Transport",
        Z41="Trading Establishment","Trading",
        Z41="Airlines","Airlines",
        Z41="Health Insurance","Insurance",
        Z41="Consultant","Consultant",
        Z41="Tax Collection","Government",
        Z41="Travel Agency","Travel Agency",
        Z41="Medical Services","Medical Center",
        Z41="Online Payment Service","Payment Facilitator",
        Z41="Certification","Safety",
        Z41="Decor Company","Design",
        Z41="Customs","Customs",
        Z41="Government","Government",
        Z41="Service Provider","Service Provider",
        Z41="Water Company","Water Company",
        Z41="Contracting","Contracting",
        Z41="Car Show Room","Car Trader",
        Z41="Electricity Company","Electricity Company",
        Z41="Building Materials","Building Materials",
        Z41="Safety","Safety",
        Z41="Social Insurance Agency","Government Fund",
        Z41="Parent Company","Holding Company",
        Z41="Holding Company","Holding Company",
        Z41="Same Company","Construction",
        Z41="Bank","Bank",
        Z41="Unknown","Unknown",
        TRUE,"-"
    ),
    "-"
)</f>
        <v>Trading And Transport</v>
      </c>
      <c r="AB41" s="25" t="str">
        <f t="shared" si="1"/>
        <v>-</v>
      </c>
      <c r="AC41" s="25" t="str" cm="1">
        <f t="array" ref="AC41">_xlfn.IFNA(
    _xlfn.IFS(
        Z41="Shareholder","Shareholder",
        Z41="Same Company","Same Company",
        Z41="Bank","Bank",
        Z41="Government","Government",
        Z41="Social Insurance Agency","Government",
        Z41="Parent Company","Customer",
        Z41="Lender","Lender",
        Z41="Unknown","Unknown",
        ISNUMBER(SEARCH("Abdullah Abdulkarim",M41)),"Service Provider",
        ISNUMBER(SEARCH("Abdullah Fahad",M41)),"Service Provider",
        ISNUMBER(SEARCH("Advanced Equipments",M41)),"Supplier",
        ISNUMBER(SEARCH("Al Banuk Sana",M41)),"Supplier",
        ISNUMBER(SEARCH("Al Khaleefa Factory",M41)),"Supplier",
        ISNUMBER(SEARCH("Al Saadeh Trading",M41)),"Supplier",
        ISNUMBER(SEARCH("Al Zaehaan",M41)),"Supplier",
        ISNUMBER(SEARCH("Ali Abdullah K Al Darwish",M41)),"Service Provider",
        ISNUMBER(SEARCH("Bupa Arabia",M41)),"Insurance Company",
        ISNUMBER(SEARCH("Dar Fahoosaat",M41)),"Service Provider",
        ISNUMBER(SEARCH("General Authority of Zakat",M41)),"Tax Authority",
        ISNUMBER(SEARCH("Gulf Voyager",M41)),"Service Provider",
        ISNUMBER(SEARCH("Hopeway Trading",M41)),"Supplier",
        ISNUMBER(SEARCH("Interhealth Medical",M41)),"Customer",
        ISNUMBER(SEARCH("Ishaar",M41)),"Service Provider",
        ISNUMBER(SEARCH("ISO Arabia",M41)),"Service Provider",
        ISNUMBER(SEARCH("Khalid Saad Al Otaibi",M41)),"Supplier",
        ISNUMBER(SEARCH("MERAS for Decoration",M41)),"Supplier",
        ISNUMBER(SEARCH("Middle East Customs Clearance",M41)),"Service Provider",
        ISNUMBER(SEARCH("Ministry of Human Resources",M41)),"Regulatory Agency",
        ISNUMBER(SEARCH("My Business Services",M41)),"Service Provider",
        ISNUMBER(SEARCH("National Water Company",M41)),"Utility Provider",
        ISNUMBER(SEARCH("Rania Contracting",M41)),"Supplier",
        ISNUMBER(SEARCH("Sahab United Motors",M41)),"Supplier",
        ISNUMBER(SEARCH("Saudi Electric Company",M41)),"Utility Provider",
        ISNUMBER(SEARCH("Saudi Vetonit",M41)),"Supplier",
        ISNUMBER(SEARCH("Shomoul Eng",M41)),"Service Provider",
        ISNUMBER(SEARCH("STC",M41)),"Utility Provider",
        ISNUMBER(SEARCH("The General Organization for Social Insurance",M41)),"Social Insurance Agency",
        ISNUMBER(SEARCH("TUV Rheinland",M41)),"Service Provider",
        ISNUMBER(SEARCH("Al Arabia Ceramic",M41)),"Supplier",
        ISNUMBER(SEARCH("National Company for Building",M41)),"Customer",
        ISNUMBER(SEARCH("Athraa Holding",M41)),"Customer",
        ISNUMBER(SEARCH("Al Rasan",M41)),"Supplier",
        ISNUMBER(SEARCH("Raboua Al Haid",M41)),"Customer",
        ISNUMBER(SEARCH("Al Jazeera Paint",M41)),"Supplier",
        ISNUMBER(SEARCH("Rania Works Contracting",M41)),"Supplier",
        ISNUMBER(SEARCH("Bandar Jarallah",M41)),"Supplier",
        TRUE,"Supplier"
    ),
    "-"
)</f>
        <v>Supplier</v>
      </c>
      <c r="AD41" s="25" t="str" cm="1">
        <f t="array" ref="AD41">_xlfn.IFNA(
    _xlfn.IFS(
        AC41="Same Company","High",
        AC41="Shareholder","High",
        AC41="Government","High",
        AC41="Bank","High",
        AC41="Lender","High",
        AC41="Unknown","Low",
        AC41="-","Low",
        TRUE,"Medium"
    ),
    "-"
)</f>
        <v>Medium</v>
      </c>
      <c r="AE41" s="25" t="str">
        <f t="shared" si="2"/>
        <v>-</v>
      </c>
      <c r="AF41" s="25" t="str" cm="1">
        <f t="array" ref="AF41">_xlfn.IFNA(
    _xlfn.IFS(
        K41="Credit",
            _xlfn.IFS(
                OR(ISNUMBER(SEARCH("Rejected",L41)),ISNUMBER(SEARCH("Returned",L41))),"Other Income",
                TRUE,"Revenue"
            ),
        K41="Debit",
            _xlfn.IFS(
                ISNUMBER(SEARCH("Payroll",L41)),"OPEX",
                ISNUMBER(SEARCH("Expatriate",L41)),"OPEX",
                ISNUMBER(SEARCH("Zakat",M41)),"ZATCA",
                ISNUMBER(SEARCH("General Organization for Social Insurance",M41)),"OPEX",
                ISNUMBER(SEARCH("Saudi Electric",M41)),"OPEX",
                ISNUMBER(SEARCH("STC",M41)),"OPEX",
                ISNUMBER(SEARCH("National Water",M41)),"OPEX",
                ISNUMBER(SEARCH("Bupa",M41)),"OPEX",
                ISNUMBER(SEARCH("Abdullah Abdulkarim",M41)),"OPEX",
                ISNUMBER(SEARCH("Abdullah Fahad",M41)),"OPEX",
                ISNUMBER(SEARCH("ISO Arabia",M41)),"OPEX",
                ISNUMBER(SEARCH("Gulf Voyager",M41)),"OPEX",
                ISNUMBER(SEARCH("Ministry",M41)),"OPEX",
                ISNUMBER(SEARCH("General Authority of Zakat",M41)),"ZATCA",
                ISNUMBER(SEARCH("Rejected",L41)),"Other Income",
                TRUE,"COGS"
            ),
        TRUE,"-"
    ),
    "-"
)</f>
        <v>COGS</v>
      </c>
      <c r="AG41" s="25" t="str" cm="1">
        <f t="array" ref="AG41">_xlfn.IFNA(
    _xlfn.IFS(
        ISNUMBER(SEARCH("Payroll",L41)),"Payroll",
        ISNUMBER(SEARCH("Expatriate",L41)),"Government Fees",
        ISNUMBER(SEARCH("Zakat",M41)),"Zakat",
        ISNUMBER(SEARCH("Social Insurance",M41)),"Social Insurance",
        ISNUMBER(SEARCH("Saudi Electric",M41)),"Electricity",
        ISNUMBER(SEARCH("STC",M41)),"Telecom",
        ISNUMBER(SEARCH("National Water",M41)),"Water",
        ISNUMBER(SEARCH("Bupa",M41)),"Insurance",
        ISNUMBER(SEARCH("Gulf Voyager",M41)),"Travel",
        ISNUMBER(SEARCH("Ministry",M41)),"Government Fees",
        ISNUMBER(SEARCH("Abdullah Abdulkarim",M41)),"Consulting",
        ISNUMBER(SEARCH("Abdullah Fahad",M41)),"Accounting",
        ISNUMBER(SEARCH("ISO Arabia",M41)),"Consulting",
        ISNUMBER(SEARCH("Rejected",L41)),"Refund",
        AF41="COGS","Inventory Purchase",
        AF41="Revenue","Revenue",
        AF41="OPEX","Other",
        AF41="ZATCA","Zakat",
        TRUE,"-"
    ),
    "-"
)</f>
        <v>Inventory Purchase</v>
      </c>
      <c r="AH41" s="25" t="str" cm="1">
        <f t="array" ref="AH41">_xlfn.IFNA(
    _xlfn.IFS(
        AF41="-","Low",
        AF41="Other","Low",
        TRUE,"Medium"
    ),
    "-"
)</f>
        <v>Medium</v>
      </c>
      <c r="AI41" s="25" t="str">
        <f t="shared" si="3"/>
        <v>-</v>
      </c>
    </row>
    <row r="42" spans="1:35" x14ac:dyDescent="0.25">
      <c r="A42" s="10">
        <v>3</v>
      </c>
      <c r="B42" s="10" t="s">
        <v>35</v>
      </c>
      <c r="C42" s="10" t="s">
        <v>36</v>
      </c>
      <c r="D42" s="10" t="s">
        <v>37</v>
      </c>
      <c r="E42" s="10" t="s">
        <v>38</v>
      </c>
      <c r="F42" s="11" t="s">
        <v>39</v>
      </c>
      <c r="G42" s="11" t="s">
        <v>40</v>
      </c>
      <c r="H42" s="12">
        <v>45008</v>
      </c>
      <c r="I42" s="20">
        <v>566058.18000000005</v>
      </c>
      <c r="J42" s="20">
        <v>32132.05</v>
      </c>
      <c r="K42" s="10" t="s">
        <v>41</v>
      </c>
      <c r="L42" s="9" t="s">
        <v>50</v>
      </c>
      <c r="M42" s="9" t="s">
        <v>132</v>
      </c>
      <c r="N42" s="9" t="s">
        <v>133</v>
      </c>
      <c r="O42" s="9" t="s">
        <v>53</v>
      </c>
      <c r="P42" s="15">
        <v>45008</v>
      </c>
      <c r="Q42" s="9" t="s">
        <v>135</v>
      </c>
      <c r="R42" s="16">
        <v>32124</v>
      </c>
      <c r="S42" s="18">
        <v>7</v>
      </c>
      <c r="T42" s="18">
        <v>1.05</v>
      </c>
      <c r="U42" s="9" t="s">
        <v>55</v>
      </c>
      <c r="V42" s="24" t="str" cm="1">
        <f t="array" ref="V42">_xlfn.IFNA(
    _xlfn.IFS(
        ISNUMBER(SEARCH("Fast Outgoing Transfer",L42)),"Transfer",
        ISNUMBER(SEARCH("Incoming Fast Transfer",L42)),"Transfer",
        ISNUMBER(SEARCH("Outgoing International Transfer",L42)),"Transfer",
        ISNUMBER(SEARCH("Bill Payment",L42)),"SADAD",
        ISNUMBER(SEARCH("Payroll",L42)),"Payroll",
        ISNUMBER(SEARCH("Cash Deposit",L42)),"Cash",
        ISNUMBER(SEARCH("Internal Transfer",L42)),"Transfer",
        ISNUMBER(SEARCH("Expatriate Services Payment",L42)),"SADAD",
        ISNUMBER(SEARCH("Rejected",L42)),"Transfer"
    ),
    "-"
)</f>
        <v>Transfer</v>
      </c>
      <c r="W42" s="25" t="str" cm="1">
        <f t="array" ref="W42">_xlfn.IFNA(
    _xlfn.IFS(
        AND(V42="Transfer",ISNUMBER(SEARCH("RIYAD BANK",L42))),"External FI",
        AND(V42="Transfer",ISNUMBER(SEARCH("Al Ahli",L42))),"External FI",
        AND(V42="Transfer",ISNUMBER(SEARCH("CIB via",L42))),"Local Transfer",
        AND(V42="Transfer",ISNUMBER(SEARCH("CIB)",L42))),"Local Transfer",
        AND(V42="Transfer",ISNUMBER(SEARCH("SMRT",L42))),"Local Transfer",
        AND(V42="Transfer",ISNUMBER(SEARCH("Al Murabba",L42))),"Local Transfer",
        AND(V42="Transfer",ISNUMBER(SEARCH("Internal Transfer",L42))),"Same FI",
        AND(V42="Transfer",ISNUMBER(SEARCH("Rejected",L42))),"Failed",
        V42="SADAD",
            _xlfn.IFS(
                ISNUMBER(SEARCH("Expatriate",L42)),"Expat Fees",
                TRUE,"Online Payment"
            ),
        V42="Payroll","Payroll",
        V42="Cash","Deposit",
        TRUE,"-"
    ),
    "-"
)</f>
        <v>Local Transfer</v>
      </c>
      <c r="X42" s="25" t="str" cm="1">
        <f t="array" ref="X42">_xlfn.IFNA(
    _xlfn.IFS(
        V42="-","Low",
        W42="-","Low",
        TRUE,"High"
    ),
    "-"
)</f>
        <v>High</v>
      </c>
      <c r="Y42" s="25" t="str">
        <f t="shared" si="0"/>
        <v>-</v>
      </c>
      <c r="Z42" s="25" t="str" cm="1">
        <f t="array" ref="Z42">_xlfn.IFNA(
    _xlfn.IFS(
        ISNUMBER(SEARCH("Abdul Latif Jameel",M42)),"Lender",
        ISNUMBER(SEARCH("Abdullah Abdulkarim Al Sudais",M42)),"Accounting",
        ISNUMBER(SEARCH("Abdullah Fahad for Accounting",M42)),"Accounting",
        ISNUMBER(SEARCH("Abdullah Rashid Shaikh",M42)),"Shareholder",
        ISNUMBER(SEARCH("Advanced Equipments",M42)),"Equipment Rental",
        ISNUMBER(SEARCH("Al Banuk Sana",M42)),"Telecom Company",
        ISNUMBER(SEARCH("Al Khaleefa Factory",M42)),"Manufacturer",
        ISNUMBER(SEARCH("Al Saadeh Trading",M42)),"Trading Company",
        ISNUMBER(SEARCH("Al Zaehaan",M42)),"Trading Company",
        ISNUMBER(SEARCH("Ali Abdullah K Al Darwish",M42)),"Airlines",
        ISNUMBER(SEARCH("Bupa Arabia",M42)),"Health Insurance",
        ISNUMBER(SEARCH("Dar Fahoosaat",M42)),"Consultant",
        ISNUMBER(SEARCH("General Authority of Zakat",M42)),"Tax Collection",
        ISNUMBER(SEARCH("Gulf Voyager",M42)),"Travel Agency",
        ISNUMBER(SEARCH("Hopeway Trading",M42)),"Trading Company",
        ISNUMBER(SEARCH("Interhealth Medical",M42)),"Medical Services",
        ISNUMBER(SEARCH("Ishaar",M42)),"Online Payment Service",
        ISNUMBER(SEARCH("ISO Arabia",M42)),"Certification",
        ISNUMBER(SEARCH("Khalid Saad Al Otaibi",M42)),"Trading Company",
        ISNUMBER(SEARCH("MERAS for Decoration",M42)),"Decor Company",
        ISNUMBER(SEARCH("Middle East Customs Clearance",M42)),"Customs",
        ISNUMBER(SEARCH("Ministry of Human Resources",M42)),"Government",
        ISNUMBER(SEARCH("My Business Services",M42)),"Service Provider",
        ISNUMBER(SEARCH("National Water Company",M42)),"Water Company",
        ISNUMBER(SEARCH("Rania Contracting",M42)),"Contracting",
        ISNUMBER(SEARCH("Rashid Ali Sheikh",M42)),"Shareholder",
        ISNUMBER(SEARCH("Sahab United Motors",M42)),"Car Show Room",
        ISNUMBER(SEARCH("Saud Mohammed Al Tamimi",M42)),"Shareholder",
        ISNUMBER(SEARCH("Saud Mohammed Tamimi",M42)),"Shareholder",
        ISNUMBER(SEARCH("Saudi Electric Company",M42)),"Electricity Company",
        ISNUMBER(SEARCH("Saudi Vetonit",M42)),"Building Materials",
        ISNUMBER(SEARCH("Shomoul Eng",M42)),"Safety",
        ISNUMBER(SEARCH("STC",M42)),"Telecom Company",
        ISNUMBER(SEARCH("The General Organization for Social Insurance",M42)),"Social Insurance Agency",
        ISNUMBER(SEARCH("TUV Rheinland",M42)),"Certification",
        ISNUMBER(SEARCH("Al Arabia Ceramic",M42)),"Building Materials",
        ISNUMBER(SEARCH("National Company for Building and Marketing",M42)),"Parent Company",
        ISNUMBER(SEARCH("Athraa Holding",M42)),"Holding Company",
        ISNUMBER(SEARCH("Al Rasan",M42)),"Contracting",
        ISNUMBER(SEARCH("Raboua Al Haid",M42)),"Trading Company",
        ISNUMBER(SEARCH("Al Jazeera Paint",M42)),"Manufacturer",
        ISNUMBER(SEARCH("Rania Works Contracting",M42)),"Contracting",
        ISNUMBER(SEARCH("Bandar Jarallah",M42)),"Trading Establishment",
        ISNUMBER(SEARCH("RS Infratec Saudi",M42)),"Same Company",
        ISNUMBER(SEARCH("Payroll",M42)),"Bank",
        ISNUMBER(SEARCH("Expatriate",M42)),"Government",
        ISNUMBER(SEARCH("Unknown Sender",M42)),"Unknown",
        TRUE,"Unknown"
    ),
    "-"
)</f>
        <v>Trading Company</v>
      </c>
      <c r="AA42" s="25" t="str" cm="1">
        <f t="array" ref="AA42">_xlfn.IFNA(
    _xlfn.IFS(
        Z42="Lender","Financing",
        Z42="Accounting","Accounting",
        Z42="Shareholder","Individual",
        Z42="Equipment Rental","Equipment Rental",
        Z42="Telecom Company","Telecom",
        Z42="Manufacturer","Manufacturer",
        Z42="Trading Company","Trading And Transport",
        Z42="Trading Establishment","Trading",
        Z42="Airlines","Airlines",
        Z42="Health Insurance","Insurance",
        Z42="Consultant","Consultant",
        Z42="Tax Collection","Government",
        Z42="Travel Agency","Travel Agency",
        Z42="Medical Services","Medical Center",
        Z42="Online Payment Service","Payment Facilitator",
        Z42="Certification","Safety",
        Z42="Decor Company","Design",
        Z42="Customs","Customs",
        Z42="Government","Government",
        Z42="Service Provider","Service Provider",
        Z42="Water Company","Water Company",
        Z42="Contracting","Contracting",
        Z42="Car Show Room","Car Trader",
        Z42="Electricity Company","Electricity Company",
        Z42="Building Materials","Building Materials",
        Z42="Safety","Safety",
        Z42="Social Insurance Agency","Government Fund",
        Z42="Parent Company","Holding Company",
        Z42="Holding Company","Holding Company",
        Z42="Same Company","Construction",
        Z42="Bank","Bank",
        Z42="Unknown","Unknown",
        TRUE,"-"
    ),
    "-"
)</f>
        <v>Trading And Transport</v>
      </c>
      <c r="AB42" s="25" t="str">
        <f t="shared" si="1"/>
        <v>-</v>
      </c>
      <c r="AC42" s="25" t="str" cm="1">
        <f t="array" ref="AC42">_xlfn.IFNA(
    _xlfn.IFS(
        Z42="Shareholder","Shareholder",
        Z42="Same Company","Same Company",
        Z42="Bank","Bank",
        Z42="Government","Government",
        Z42="Social Insurance Agency","Government",
        Z42="Parent Company","Customer",
        Z42="Lender","Lender",
        Z42="Unknown","Unknown",
        ISNUMBER(SEARCH("Abdullah Abdulkarim",M42)),"Service Provider",
        ISNUMBER(SEARCH("Abdullah Fahad",M42)),"Service Provider",
        ISNUMBER(SEARCH("Advanced Equipments",M42)),"Supplier",
        ISNUMBER(SEARCH("Al Banuk Sana",M42)),"Supplier",
        ISNUMBER(SEARCH("Al Khaleefa Factory",M42)),"Supplier",
        ISNUMBER(SEARCH("Al Saadeh Trading",M42)),"Supplier",
        ISNUMBER(SEARCH("Al Zaehaan",M42)),"Supplier",
        ISNUMBER(SEARCH("Ali Abdullah K Al Darwish",M42)),"Service Provider",
        ISNUMBER(SEARCH("Bupa Arabia",M42)),"Insurance Company",
        ISNUMBER(SEARCH("Dar Fahoosaat",M42)),"Service Provider",
        ISNUMBER(SEARCH("General Authority of Zakat",M42)),"Tax Authority",
        ISNUMBER(SEARCH("Gulf Voyager",M42)),"Service Provider",
        ISNUMBER(SEARCH("Hopeway Trading",M42)),"Supplier",
        ISNUMBER(SEARCH("Interhealth Medical",M42)),"Customer",
        ISNUMBER(SEARCH("Ishaar",M42)),"Service Provider",
        ISNUMBER(SEARCH("ISO Arabia",M42)),"Service Provider",
        ISNUMBER(SEARCH("Khalid Saad Al Otaibi",M42)),"Supplier",
        ISNUMBER(SEARCH("MERAS for Decoration",M42)),"Supplier",
        ISNUMBER(SEARCH("Middle East Customs Clearance",M42)),"Service Provider",
        ISNUMBER(SEARCH("Ministry of Human Resources",M42)),"Regulatory Agency",
        ISNUMBER(SEARCH("My Business Services",M42)),"Service Provider",
        ISNUMBER(SEARCH("National Water Company",M42)),"Utility Provider",
        ISNUMBER(SEARCH("Rania Contracting",M42)),"Supplier",
        ISNUMBER(SEARCH("Sahab United Motors",M42)),"Supplier",
        ISNUMBER(SEARCH("Saudi Electric Company",M42)),"Utility Provider",
        ISNUMBER(SEARCH("Saudi Vetonit",M42)),"Supplier",
        ISNUMBER(SEARCH("Shomoul Eng",M42)),"Service Provider",
        ISNUMBER(SEARCH("STC",M42)),"Utility Provider",
        ISNUMBER(SEARCH("The General Organization for Social Insurance",M42)),"Social Insurance Agency",
        ISNUMBER(SEARCH("TUV Rheinland",M42)),"Service Provider",
        ISNUMBER(SEARCH("Al Arabia Ceramic",M42)),"Supplier",
        ISNUMBER(SEARCH("National Company for Building",M42)),"Customer",
        ISNUMBER(SEARCH("Athraa Holding",M42)),"Customer",
        ISNUMBER(SEARCH("Al Rasan",M42)),"Supplier",
        ISNUMBER(SEARCH("Raboua Al Haid",M42)),"Customer",
        ISNUMBER(SEARCH("Al Jazeera Paint",M42)),"Supplier",
        ISNUMBER(SEARCH("Rania Works Contracting",M42)),"Supplier",
        ISNUMBER(SEARCH("Bandar Jarallah",M42)),"Supplier",
        TRUE,"Supplier"
    ),
    "-"
)</f>
        <v>Supplier</v>
      </c>
      <c r="AD42" s="25" t="str" cm="1">
        <f t="array" ref="AD42">_xlfn.IFNA(
    _xlfn.IFS(
        AC42="Same Company","High",
        AC42="Shareholder","High",
        AC42="Government","High",
        AC42="Bank","High",
        AC42="Lender","High",
        AC42="Unknown","Low",
        AC42="-","Low",
        TRUE,"Medium"
    ),
    "-"
)</f>
        <v>Medium</v>
      </c>
      <c r="AE42" s="25" t="str">
        <f t="shared" si="2"/>
        <v>-</v>
      </c>
      <c r="AF42" s="25" t="str" cm="1">
        <f t="array" ref="AF42">_xlfn.IFNA(
    _xlfn.IFS(
        K42="Credit",
            _xlfn.IFS(
                OR(ISNUMBER(SEARCH("Rejected",L42)),ISNUMBER(SEARCH("Returned",L42))),"Other Income",
                TRUE,"Revenue"
            ),
        K42="Debit",
            _xlfn.IFS(
                ISNUMBER(SEARCH("Payroll",L42)),"OPEX",
                ISNUMBER(SEARCH("Expatriate",L42)),"OPEX",
                ISNUMBER(SEARCH("Zakat",M42)),"ZATCA",
                ISNUMBER(SEARCH("General Organization for Social Insurance",M42)),"OPEX",
                ISNUMBER(SEARCH("Saudi Electric",M42)),"OPEX",
                ISNUMBER(SEARCH("STC",M42)),"OPEX",
                ISNUMBER(SEARCH("National Water",M42)),"OPEX",
                ISNUMBER(SEARCH("Bupa",M42)),"OPEX",
                ISNUMBER(SEARCH("Abdullah Abdulkarim",M42)),"OPEX",
                ISNUMBER(SEARCH("Abdullah Fahad",M42)),"OPEX",
                ISNUMBER(SEARCH("ISO Arabia",M42)),"OPEX",
                ISNUMBER(SEARCH("Gulf Voyager",M42)),"OPEX",
                ISNUMBER(SEARCH("Ministry",M42)),"OPEX",
                ISNUMBER(SEARCH("General Authority of Zakat",M42)),"ZATCA",
                ISNUMBER(SEARCH("Rejected",L42)),"Other Income",
                TRUE,"COGS"
            ),
        TRUE,"-"
    ),
    "-"
)</f>
        <v>COGS</v>
      </c>
      <c r="AG42" s="25" t="str" cm="1">
        <f t="array" ref="AG42">_xlfn.IFNA(
    _xlfn.IFS(
        ISNUMBER(SEARCH("Payroll",L42)),"Payroll",
        ISNUMBER(SEARCH("Expatriate",L42)),"Government Fees",
        ISNUMBER(SEARCH("Zakat",M42)),"Zakat",
        ISNUMBER(SEARCH("Social Insurance",M42)),"Social Insurance",
        ISNUMBER(SEARCH("Saudi Electric",M42)),"Electricity",
        ISNUMBER(SEARCH("STC",M42)),"Telecom",
        ISNUMBER(SEARCH("National Water",M42)),"Water",
        ISNUMBER(SEARCH("Bupa",M42)),"Insurance",
        ISNUMBER(SEARCH("Gulf Voyager",M42)),"Travel",
        ISNUMBER(SEARCH("Ministry",M42)),"Government Fees",
        ISNUMBER(SEARCH("Abdullah Abdulkarim",M42)),"Consulting",
        ISNUMBER(SEARCH("Abdullah Fahad",M42)),"Accounting",
        ISNUMBER(SEARCH("ISO Arabia",M42)),"Consulting",
        ISNUMBER(SEARCH("Rejected",L42)),"Refund",
        AF42="COGS","Inventory Purchase",
        AF42="Revenue","Revenue",
        AF42="OPEX","Other",
        AF42="ZATCA","Zakat",
        TRUE,"-"
    ),
    "-"
)</f>
        <v>Inventory Purchase</v>
      </c>
      <c r="AH42" s="25" t="str" cm="1">
        <f t="array" ref="AH42">_xlfn.IFNA(
    _xlfn.IFS(
        AF42="-","Low",
        AF42="Other","Low",
        TRUE,"Medium"
    ),
    "-"
)</f>
        <v>Medium</v>
      </c>
      <c r="AI42" s="25" t="str">
        <f t="shared" si="3"/>
        <v>-</v>
      </c>
    </row>
    <row r="43" spans="1:35" x14ac:dyDescent="0.25">
      <c r="A43" s="10">
        <v>3</v>
      </c>
      <c r="B43" s="10" t="s">
        <v>35</v>
      </c>
      <c r="C43" s="10" t="s">
        <v>36</v>
      </c>
      <c r="D43" s="10" t="s">
        <v>37</v>
      </c>
      <c r="E43" s="10" t="s">
        <v>38</v>
      </c>
      <c r="F43" s="11" t="s">
        <v>39</v>
      </c>
      <c r="G43" s="11" t="s">
        <v>40</v>
      </c>
      <c r="H43" s="12">
        <v>45015</v>
      </c>
      <c r="I43" s="20">
        <v>70538.53</v>
      </c>
      <c r="J43" s="20">
        <v>24751.45</v>
      </c>
      <c r="K43" s="10" t="s">
        <v>41</v>
      </c>
      <c r="L43" s="9" t="s">
        <v>50</v>
      </c>
      <c r="M43" s="9" t="s">
        <v>132</v>
      </c>
      <c r="N43" s="9" t="s">
        <v>133</v>
      </c>
      <c r="O43" s="9" t="s">
        <v>53</v>
      </c>
      <c r="P43" s="15">
        <v>45015</v>
      </c>
      <c r="Q43" s="9" t="s">
        <v>136</v>
      </c>
      <c r="R43" s="16">
        <v>24743.4</v>
      </c>
      <c r="S43" s="18">
        <v>7</v>
      </c>
      <c r="T43" s="18">
        <v>1.05</v>
      </c>
      <c r="U43" s="9" t="s">
        <v>55</v>
      </c>
      <c r="V43" s="24" t="str" cm="1">
        <f t="array" ref="V43">_xlfn.IFNA(
    _xlfn.IFS(
        ISNUMBER(SEARCH("Fast Outgoing Transfer",L43)),"Transfer",
        ISNUMBER(SEARCH("Incoming Fast Transfer",L43)),"Transfer",
        ISNUMBER(SEARCH("Outgoing International Transfer",L43)),"Transfer",
        ISNUMBER(SEARCH("Bill Payment",L43)),"SADAD",
        ISNUMBER(SEARCH("Payroll",L43)),"Payroll",
        ISNUMBER(SEARCH("Cash Deposit",L43)),"Cash",
        ISNUMBER(SEARCH("Internal Transfer",L43)),"Transfer",
        ISNUMBER(SEARCH("Expatriate Services Payment",L43)),"SADAD",
        ISNUMBER(SEARCH("Rejected",L43)),"Transfer"
    ),
    "-"
)</f>
        <v>Transfer</v>
      </c>
      <c r="W43" s="25" t="str" cm="1">
        <f t="array" ref="W43">_xlfn.IFNA(
    _xlfn.IFS(
        AND(V43="Transfer",ISNUMBER(SEARCH("RIYAD BANK",L43))),"External FI",
        AND(V43="Transfer",ISNUMBER(SEARCH("Al Ahli",L43))),"External FI",
        AND(V43="Transfer",ISNUMBER(SEARCH("CIB via",L43))),"Local Transfer",
        AND(V43="Transfer",ISNUMBER(SEARCH("CIB)",L43))),"Local Transfer",
        AND(V43="Transfer",ISNUMBER(SEARCH("SMRT",L43))),"Local Transfer",
        AND(V43="Transfer",ISNUMBER(SEARCH("Al Murabba",L43))),"Local Transfer",
        AND(V43="Transfer",ISNUMBER(SEARCH("Internal Transfer",L43))),"Same FI",
        AND(V43="Transfer",ISNUMBER(SEARCH("Rejected",L43))),"Failed",
        V43="SADAD",
            _xlfn.IFS(
                ISNUMBER(SEARCH("Expatriate",L43)),"Expat Fees",
                TRUE,"Online Payment"
            ),
        V43="Payroll","Payroll",
        V43="Cash","Deposit",
        TRUE,"-"
    ),
    "-"
)</f>
        <v>Local Transfer</v>
      </c>
      <c r="X43" s="25" t="str" cm="1">
        <f t="array" ref="X43">_xlfn.IFNA(
    _xlfn.IFS(
        V43="-","Low",
        W43="-","Low",
        TRUE,"High"
    ),
    "-"
)</f>
        <v>High</v>
      </c>
      <c r="Y43" s="25" t="str">
        <f t="shared" si="0"/>
        <v>-</v>
      </c>
      <c r="Z43" s="25" t="str" cm="1">
        <f t="array" ref="Z43">_xlfn.IFNA(
    _xlfn.IFS(
        ISNUMBER(SEARCH("Abdul Latif Jameel",M43)),"Lender",
        ISNUMBER(SEARCH("Abdullah Abdulkarim Al Sudais",M43)),"Accounting",
        ISNUMBER(SEARCH("Abdullah Fahad for Accounting",M43)),"Accounting",
        ISNUMBER(SEARCH("Abdullah Rashid Shaikh",M43)),"Shareholder",
        ISNUMBER(SEARCH("Advanced Equipments",M43)),"Equipment Rental",
        ISNUMBER(SEARCH("Al Banuk Sana",M43)),"Telecom Company",
        ISNUMBER(SEARCH("Al Khaleefa Factory",M43)),"Manufacturer",
        ISNUMBER(SEARCH("Al Saadeh Trading",M43)),"Trading Company",
        ISNUMBER(SEARCH("Al Zaehaan",M43)),"Trading Company",
        ISNUMBER(SEARCH("Ali Abdullah K Al Darwish",M43)),"Airlines",
        ISNUMBER(SEARCH("Bupa Arabia",M43)),"Health Insurance",
        ISNUMBER(SEARCH("Dar Fahoosaat",M43)),"Consultant",
        ISNUMBER(SEARCH("General Authority of Zakat",M43)),"Tax Collection",
        ISNUMBER(SEARCH("Gulf Voyager",M43)),"Travel Agency",
        ISNUMBER(SEARCH("Hopeway Trading",M43)),"Trading Company",
        ISNUMBER(SEARCH("Interhealth Medical",M43)),"Medical Services",
        ISNUMBER(SEARCH("Ishaar",M43)),"Online Payment Service",
        ISNUMBER(SEARCH("ISO Arabia",M43)),"Certification",
        ISNUMBER(SEARCH("Khalid Saad Al Otaibi",M43)),"Trading Company",
        ISNUMBER(SEARCH("MERAS for Decoration",M43)),"Decor Company",
        ISNUMBER(SEARCH("Middle East Customs Clearance",M43)),"Customs",
        ISNUMBER(SEARCH("Ministry of Human Resources",M43)),"Government",
        ISNUMBER(SEARCH("My Business Services",M43)),"Service Provider",
        ISNUMBER(SEARCH("National Water Company",M43)),"Water Company",
        ISNUMBER(SEARCH("Rania Contracting",M43)),"Contracting",
        ISNUMBER(SEARCH("Rashid Ali Sheikh",M43)),"Shareholder",
        ISNUMBER(SEARCH("Sahab United Motors",M43)),"Car Show Room",
        ISNUMBER(SEARCH("Saud Mohammed Al Tamimi",M43)),"Shareholder",
        ISNUMBER(SEARCH("Saud Mohammed Tamimi",M43)),"Shareholder",
        ISNUMBER(SEARCH("Saudi Electric Company",M43)),"Electricity Company",
        ISNUMBER(SEARCH("Saudi Vetonit",M43)),"Building Materials",
        ISNUMBER(SEARCH("Shomoul Eng",M43)),"Safety",
        ISNUMBER(SEARCH("STC",M43)),"Telecom Company",
        ISNUMBER(SEARCH("The General Organization for Social Insurance",M43)),"Social Insurance Agency",
        ISNUMBER(SEARCH("TUV Rheinland",M43)),"Certification",
        ISNUMBER(SEARCH("Al Arabia Ceramic",M43)),"Building Materials",
        ISNUMBER(SEARCH("National Company for Building and Marketing",M43)),"Parent Company",
        ISNUMBER(SEARCH("Athraa Holding",M43)),"Holding Company",
        ISNUMBER(SEARCH("Al Rasan",M43)),"Contracting",
        ISNUMBER(SEARCH("Raboua Al Haid",M43)),"Trading Company",
        ISNUMBER(SEARCH("Al Jazeera Paint",M43)),"Manufacturer",
        ISNUMBER(SEARCH("Rania Works Contracting",M43)),"Contracting",
        ISNUMBER(SEARCH("Bandar Jarallah",M43)),"Trading Establishment",
        ISNUMBER(SEARCH("RS Infratec Saudi",M43)),"Same Company",
        ISNUMBER(SEARCH("Payroll",M43)),"Bank",
        ISNUMBER(SEARCH("Expatriate",M43)),"Government",
        ISNUMBER(SEARCH("Unknown Sender",M43)),"Unknown",
        TRUE,"Unknown"
    ),
    "-"
)</f>
        <v>Trading Company</v>
      </c>
      <c r="AA43" s="25" t="str" cm="1">
        <f t="array" ref="AA43">_xlfn.IFNA(
    _xlfn.IFS(
        Z43="Lender","Financing",
        Z43="Accounting","Accounting",
        Z43="Shareholder","Individual",
        Z43="Equipment Rental","Equipment Rental",
        Z43="Telecom Company","Telecom",
        Z43="Manufacturer","Manufacturer",
        Z43="Trading Company","Trading And Transport",
        Z43="Trading Establishment","Trading",
        Z43="Airlines","Airlines",
        Z43="Health Insurance","Insurance",
        Z43="Consultant","Consultant",
        Z43="Tax Collection","Government",
        Z43="Travel Agency","Travel Agency",
        Z43="Medical Services","Medical Center",
        Z43="Online Payment Service","Payment Facilitator",
        Z43="Certification","Safety",
        Z43="Decor Company","Design",
        Z43="Customs","Customs",
        Z43="Government","Government",
        Z43="Service Provider","Service Provider",
        Z43="Water Company","Water Company",
        Z43="Contracting","Contracting",
        Z43="Car Show Room","Car Trader",
        Z43="Electricity Company","Electricity Company",
        Z43="Building Materials","Building Materials",
        Z43="Safety","Safety",
        Z43="Social Insurance Agency","Government Fund",
        Z43="Parent Company","Holding Company",
        Z43="Holding Company","Holding Company",
        Z43="Same Company","Construction",
        Z43="Bank","Bank",
        Z43="Unknown","Unknown",
        TRUE,"-"
    ),
    "-"
)</f>
        <v>Trading And Transport</v>
      </c>
      <c r="AB43" s="25" t="str">
        <f t="shared" si="1"/>
        <v>-</v>
      </c>
      <c r="AC43" s="25" t="str" cm="1">
        <f t="array" ref="AC43">_xlfn.IFNA(
    _xlfn.IFS(
        Z43="Shareholder","Shareholder",
        Z43="Same Company","Same Company",
        Z43="Bank","Bank",
        Z43="Government","Government",
        Z43="Social Insurance Agency","Government",
        Z43="Parent Company","Customer",
        Z43="Lender","Lender",
        Z43="Unknown","Unknown",
        ISNUMBER(SEARCH("Abdullah Abdulkarim",M43)),"Service Provider",
        ISNUMBER(SEARCH("Abdullah Fahad",M43)),"Service Provider",
        ISNUMBER(SEARCH("Advanced Equipments",M43)),"Supplier",
        ISNUMBER(SEARCH("Al Banuk Sana",M43)),"Supplier",
        ISNUMBER(SEARCH("Al Khaleefa Factory",M43)),"Supplier",
        ISNUMBER(SEARCH("Al Saadeh Trading",M43)),"Supplier",
        ISNUMBER(SEARCH("Al Zaehaan",M43)),"Supplier",
        ISNUMBER(SEARCH("Ali Abdullah K Al Darwish",M43)),"Service Provider",
        ISNUMBER(SEARCH("Bupa Arabia",M43)),"Insurance Company",
        ISNUMBER(SEARCH("Dar Fahoosaat",M43)),"Service Provider",
        ISNUMBER(SEARCH("General Authority of Zakat",M43)),"Tax Authority",
        ISNUMBER(SEARCH("Gulf Voyager",M43)),"Service Provider",
        ISNUMBER(SEARCH("Hopeway Trading",M43)),"Supplier",
        ISNUMBER(SEARCH("Interhealth Medical",M43)),"Customer",
        ISNUMBER(SEARCH("Ishaar",M43)),"Service Provider",
        ISNUMBER(SEARCH("ISO Arabia",M43)),"Service Provider",
        ISNUMBER(SEARCH("Khalid Saad Al Otaibi",M43)),"Supplier",
        ISNUMBER(SEARCH("MERAS for Decoration",M43)),"Supplier",
        ISNUMBER(SEARCH("Middle East Customs Clearance",M43)),"Service Provider",
        ISNUMBER(SEARCH("Ministry of Human Resources",M43)),"Regulatory Agency",
        ISNUMBER(SEARCH("My Business Services",M43)),"Service Provider",
        ISNUMBER(SEARCH("National Water Company",M43)),"Utility Provider",
        ISNUMBER(SEARCH("Rania Contracting",M43)),"Supplier",
        ISNUMBER(SEARCH("Sahab United Motors",M43)),"Supplier",
        ISNUMBER(SEARCH("Saudi Electric Company",M43)),"Utility Provider",
        ISNUMBER(SEARCH("Saudi Vetonit",M43)),"Supplier",
        ISNUMBER(SEARCH("Shomoul Eng",M43)),"Service Provider",
        ISNUMBER(SEARCH("STC",M43)),"Utility Provider",
        ISNUMBER(SEARCH("The General Organization for Social Insurance",M43)),"Social Insurance Agency",
        ISNUMBER(SEARCH("TUV Rheinland",M43)),"Service Provider",
        ISNUMBER(SEARCH("Al Arabia Ceramic",M43)),"Supplier",
        ISNUMBER(SEARCH("National Company for Building",M43)),"Customer",
        ISNUMBER(SEARCH("Athraa Holding",M43)),"Customer",
        ISNUMBER(SEARCH("Al Rasan",M43)),"Supplier",
        ISNUMBER(SEARCH("Raboua Al Haid",M43)),"Customer",
        ISNUMBER(SEARCH("Al Jazeera Paint",M43)),"Supplier",
        ISNUMBER(SEARCH("Rania Works Contracting",M43)),"Supplier",
        ISNUMBER(SEARCH("Bandar Jarallah",M43)),"Supplier",
        TRUE,"Supplier"
    ),
    "-"
)</f>
        <v>Supplier</v>
      </c>
      <c r="AD43" s="25" t="str" cm="1">
        <f t="array" ref="AD43">_xlfn.IFNA(
    _xlfn.IFS(
        AC43="Same Company","High",
        AC43="Shareholder","High",
        AC43="Government","High",
        AC43="Bank","High",
        AC43="Lender","High",
        AC43="Unknown","Low",
        AC43="-","Low",
        TRUE,"Medium"
    ),
    "-"
)</f>
        <v>Medium</v>
      </c>
      <c r="AE43" s="25" t="str">
        <f t="shared" si="2"/>
        <v>-</v>
      </c>
      <c r="AF43" s="25" t="str" cm="1">
        <f t="array" ref="AF43">_xlfn.IFNA(
    _xlfn.IFS(
        K43="Credit",
            _xlfn.IFS(
                OR(ISNUMBER(SEARCH("Rejected",L43)),ISNUMBER(SEARCH("Returned",L43))),"Other Income",
                TRUE,"Revenue"
            ),
        K43="Debit",
            _xlfn.IFS(
                ISNUMBER(SEARCH("Payroll",L43)),"OPEX",
                ISNUMBER(SEARCH("Expatriate",L43)),"OPEX",
                ISNUMBER(SEARCH("Zakat",M43)),"ZATCA",
                ISNUMBER(SEARCH("General Organization for Social Insurance",M43)),"OPEX",
                ISNUMBER(SEARCH("Saudi Electric",M43)),"OPEX",
                ISNUMBER(SEARCH("STC",M43)),"OPEX",
                ISNUMBER(SEARCH("National Water",M43)),"OPEX",
                ISNUMBER(SEARCH("Bupa",M43)),"OPEX",
                ISNUMBER(SEARCH("Abdullah Abdulkarim",M43)),"OPEX",
                ISNUMBER(SEARCH("Abdullah Fahad",M43)),"OPEX",
                ISNUMBER(SEARCH("ISO Arabia",M43)),"OPEX",
                ISNUMBER(SEARCH("Gulf Voyager",M43)),"OPEX",
                ISNUMBER(SEARCH("Ministry",M43)),"OPEX",
                ISNUMBER(SEARCH("General Authority of Zakat",M43)),"ZATCA",
                ISNUMBER(SEARCH("Rejected",L43)),"Other Income",
                TRUE,"COGS"
            ),
        TRUE,"-"
    ),
    "-"
)</f>
        <v>COGS</v>
      </c>
      <c r="AG43" s="25" t="str" cm="1">
        <f t="array" ref="AG43">_xlfn.IFNA(
    _xlfn.IFS(
        ISNUMBER(SEARCH("Payroll",L43)),"Payroll",
        ISNUMBER(SEARCH("Expatriate",L43)),"Government Fees",
        ISNUMBER(SEARCH("Zakat",M43)),"Zakat",
        ISNUMBER(SEARCH("Social Insurance",M43)),"Social Insurance",
        ISNUMBER(SEARCH("Saudi Electric",M43)),"Electricity",
        ISNUMBER(SEARCH("STC",M43)),"Telecom",
        ISNUMBER(SEARCH("National Water",M43)),"Water",
        ISNUMBER(SEARCH("Bupa",M43)),"Insurance",
        ISNUMBER(SEARCH("Gulf Voyager",M43)),"Travel",
        ISNUMBER(SEARCH("Ministry",M43)),"Government Fees",
        ISNUMBER(SEARCH("Abdullah Abdulkarim",M43)),"Consulting",
        ISNUMBER(SEARCH("Abdullah Fahad",M43)),"Accounting",
        ISNUMBER(SEARCH("ISO Arabia",M43)),"Consulting",
        ISNUMBER(SEARCH("Rejected",L43)),"Refund",
        AF43="COGS","Inventory Purchase",
        AF43="Revenue","Revenue",
        AF43="OPEX","Other",
        AF43="ZATCA","Zakat",
        TRUE,"-"
    ),
    "-"
)</f>
        <v>Inventory Purchase</v>
      </c>
      <c r="AH43" s="25" t="str" cm="1">
        <f t="array" ref="AH43">_xlfn.IFNA(
    _xlfn.IFS(
        AF43="-","Low",
        AF43="Other","Low",
        TRUE,"Medium"
    ),
    "-"
)</f>
        <v>Medium</v>
      </c>
      <c r="AI43" s="25" t="str">
        <f t="shared" si="3"/>
        <v>-</v>
      </c>
    </row>
    <row r="44" spans="1:35" x14ac:dyDescent="0.25">
      <c r="A44" s="10">
        <v>3</v>
      </c>
      <c r="B44" s="10" t="s">
        <v>35</v>
      </c>
      <c r="C44" s="10" t="s">
        <v>36</v>
      </c>
      <c r="D44" s="10" t="s">
        <v>37</v>
      </c>
      <c r="E44" s="10" t="s">
        <v>38</v>
      </c>
      <c r="F44" s="11" t="s">
        <v>39</v>
      </c>
      <c r="G44" s="11" t="s">
        <v>40</v>
      </c>
      <c r="H44" s="12">
        <v>45067</v>
      </c>
      <c r="I44" s="20">
        <v>24919.200000000001</v>
      </c>
      <c r="J44" s="20">
        <v>396.75</v>
      </c>
      <c r="K44" s="10" t="s">
        <v>41</v>
      </c>
      <c r="L44" s="9" t="s">
        <v>161</v>
      </c>
      <c r="M44" s="9" t="s">
        <v>162</v>
      </c>
      <c r="N44" s="9">
        <v>8498849460</v>
      </c>
      <c r="O44" s="9" t="s">
        <v>44</v>
      </c>
      <c r="P44" s="15">
        <v>45067</v>
      </c>
      <c r="Q44" s="9" t="s">
        <v>163</v>
      </c>
      <c r="R44" s="16">
        <v>396.75</v>
      </c>
      <c r="U44" s="9" t="s">
        <v>46</v>
      </c>
      <c r="V44" s="24" t="str" cm="1">
        <f t="array" ref="V44">_xlfn.IFNA(
    _xlfn.IFS(
        ISNUMBER(SEARCH("Fast Outgoing Transfer",L44)),"Transfer",
        ISNUMBER(SEARCH("Incoming Fast Transfer",L44)),"Transfer",
        ISNUMBER(SEARCH("Outgoing International Transfer",L44)),"Transfer",
        ISNUMBER(SEARCH("Bill Payment",L44)),"SADAD",
        ISNUMBER(SEARCH("Payroll",L44)),"Payroll",
        ISNUMBER(SEARCH("Cash Deposit",L44)),"Cash",
        ISNUMBER(SEARCH("Internal Transfer",L44)),"Transfer",
        ISNUMBER(SEARCH("Expatriate Services Payment",L44)),"SADAD",
        ISNUMBER(SEARCH("Rejected",L44)),"Transfer"
    ),
    "-"
)</f>
        <v>SADAD</v>
      </c>
      <c r="W44" s="25" t="str" cm="1">
        <f t="array" ref="W44">_xlfn.IFNA(
    _xlfn.IFS(
        AND(V44="Transfer",ISNUMBER(SEARCH("RIYAD BANK",L44))),"External FI",
        AND(V44="Transfer",ISNUMBER(SEARCH("Al Ahli",L44))),"External FI",
        AND(V44="Transfer",ISNUMBER(SEARCH("CIB via",L44))),"Local Transfer",
        AND(V44="Transfer",ISNUMBER(SEARCH("CIB)",L44))),"Local Transfer",
        AND(V44="Transfer",ISNUMBER(SEARCH("SMRT",L44))),"Local Transfer",
        AND(V44="Transfer",ISNUMBER(SEARCH("Al Murabba",L44))),"Local Transfer",
        AND(V44="Transfer",ISNUMBER(SEARCH("Internal Transfer",L44))),"Same FI",
        AND(V44="Transfer",ISNUMBER(SEARCH("Rejected",L44))),"Failed",
        V44="SADAD",
            _xlfn.IFS(
                ISNUMBER(SEARCH("Expatriate",L44)),"Expat Fees",
                TRUE,"Online Payment"
            ),
        V44="Payroll","Payroll",
        V44="Cash","Deposit",
        TRUE,"-"
    ),
    "-"
)</f>
        <v>Online Payment</v>
      </c>
      <c r="X44" s="25" t="str" cm="1">
        <f t="array" ref="X44">_xlfn.IFNA(
    _xlfn.IFS(
        V44="-","Low",
        W44="-","Low",
        TRUE,"High"
    ),
    "-"
)</f>
        <v>High</v>
      </c>
      <c r="Y44" s="25" t="str">
        <f t="shared" si="0"/>
        <v>-</v>
      </c>
      <c r="Z44" s="25" t="str" cm="1">
        <f t="array" ref="Z44">_xlfn.IFNA(
    _xlfn.IFS(
        ISNUMBER(SEARCH("Abdul Latif Jameel",M44)),"Lender",
        ISNUMBER(SEARCH("Abdullah Abdulkarim Al Sudais",M44)),"Accounting",
        ISNUMBER(SEARCH("Abdullah Fahad for Accounting",M44)),"Accounting",
        ISNUMBER(SEARCH("Abdullah Rashid Shaikh",M44)),"Shareholder",
        ISNUMBER(SEARCH("Advanced Equipments",M44)),"Equipment Rental",
        ISNUMBER(SEARCH("Al Banuk Sana",M44)),"Telecom Company",
        ISNUMBER(SEARCH("Al Khaleefa Factory",M44)),"Manufacturer",
        ISNUMBER(SEARCH("Al Saadeh Trading",M44)),"Trading Company",
        ISNUMBER(SEARCH("Al Zaehaan",M44)),"Trading Company",
        ISNUMBER(SEARCH("Ali Abdullah K Al Darwish",M44)),"Airlines",
        ISNUMBER(SEARCH("Bupa Arabia",M44)),"Health Insurance",
        ISNUMBER(SEARCH("Dar Fahoosaat",M44)),"Consultant",
        ISNUMBER(SEARCH("General Authority of Zakat",M44)),"Tax Collection",
        ISNUMBER(SEARCH("Gulf Voyager",M44)),"Travel Agency",
        ISNUMBER(SEARCH("Hopeway Trading",M44)),"Trading Company",
        ISNUMBER(SEARCH("Interhealth Medical",M44)),"Medical Services",
        ISNUMBER(SEARCH("Ishaar",M44)),"Online Payment Service",
        ISNUMBER(SEARCH("ISO Arabia",M44)),"Certification",
        ISNUMBER(SEARCH("Khalid Saad Al Otaibi",M44)),"Trading Company",
        ISNUMBER(SEARCH("MERAS for Decoration",M44)),"Decor Company",
        ISNUMBER(SEARCH("Middle East Customs Clearance",M44)),"Customs",
        ISNUMBER(SEARCH("Ministry of Human Resources",M44)),"Government",
        ISNUMBER(SEARCH("My Business Services",M44)),"Service Provider",
        ISNUMBER(SEARCH("National Water Company",M44)),"Water Company",
        ISNUMBER(SEARCH("Rania Contracting",M44)),"Contracting",
        ISNUMBER(SEARCH("Rashid Ali Sheikh",M44)),"Shareholder",
        ISNUMBER(SEARCH("Sahab United Motors",M44)),"Car Show Room",
        ISNUMBER(SEARCH("Saud Mohammed Al Tamimi",M44)),"Shareholder",
        ISNUMBER(SEARCH("Saud Mohammed Tamimi",M44)),"Shareholder",
        ISNUMBER(SEARCH("Saudi Electric Company",M44)),"Electricity Company",
        ISNUMBER(SEARCH("Saudi Vetonit",M44)),"Building Materials",
        ISNUMBER(SEARCH("Shomoul Eng",M44)),"Safety",
        ISNUMBER(SEARCH("STC",M44)),"Telecom Company",
        ISNUMBER(SEARCH("The General Organization for Social Insurance",M44)),"Social Insurance Agency",
        ISNUMBER(SEARCH("TUV Rheinland",M44)),"Certification",
        ISNUMBER(SEARCH("Al Arabia Ceramic",M44)),"Building Materials",
        ISNUMBER(SEARCH("National Company for Building and Marketing",M44)),"Parent Company",
        ISNUMBER(SEARCH("Athraa Holding",M44)),"Holding Company",
        ISNUMBER(SEARCH("Al Rasan",M44)),"Contracting",
        ISNUMBER(SEARCH("Raboua Al Haid",M44)),"Trading Company",
        ISNUMBER(SEARCH("Al Jazeera Paint",M44)),"Manufacturer",
        ISNUMBER(SEARCH("Rania Works Contracting",M44)),"Contracting",
        ISNUMBER(SEARCH("Bandar Jarallah",M44)),"Trading Establishment",
        ISNUMBER(SEARCH("RS Infratec Saudi",M44)),"Same Company",
        ISNUMBER(SEARCH("Payroll",M44)),"Bank",
        ISNUMBER(SEARCH("Expatriate",M44)),"Government",
        ISNUMBER(SEARCH("Unknown Sender",M44)),"Unknown",
        TRUE,"Unknown"
    ),
    "-"
)</f>
        <v>Water Company</v>
      </c>
      <c r="AA44" s="25" t="str" cm="1">
        <f t="array" ref="AA44">_xlfn.IFNA(
    _xlfn.IFS(
        Z44="Lender","Financing",
        Z44="Accounting","Accounting",
        Z44="Shareholder","Individual",
        Z44="Equipment Rental","Equipment Rental",
        Z44="Telecom Company","Telecom",
        Z44="Manufacturer","Manufacturer",
        Z44="Trading Company","Trading And Transport",
        Z44="Trading Establishment","Trading",
        Z44="Airlines","Airlines",
        Z44="Health Insurance","Insurance",
        Z44="Consultant","Consultant",
        Z44="Tax Collection","Government",
        Z44="Travel Agency","Travel Agency",
        Z44="Medical Services","Medical Center",
        Z44="Online Payment Service","Payment Facilitator",
        Z44="Certification","Safety",
        Z44="Decor Company","Design",
        Z44="Customs","Customs",
        Z44="Government","Government",
        Z44="Service Provider","Service Provider",
        Z44="Water Company","Water Company",
        Z44="Contracting","Contracting",
        Z44="Car Show Room","Car Trader",
        Z44="Electricity Company","Electricity Company",
        Z44="Building Materials","Building Materials",
        Z44="Safety","Safety",
        Z44="Social Insurance Agency","Government Fund",
        Z44="Parent Company","Holding Company",
        Z44="Holding Company","Holding Company",
        Z44="Same Company","Construction",
        Z44="Bank","Bank",
        Z44="Unknown","Unknown",
        TRUE,"-"
    ),
    "-"
)</f>
        <v>Water Company</v>
      </c>
      <c r="AB44" s="25" t="str">
        <f t="shared" si="1"/>
        <v>-</v>
      </c>
      <c r="AC44" s="25" t="str" cm="1">
        <f t="array" ref="AC44">_xlfn.IFNA(
    _xlfn.IFS(
        Z44="Shareholder","Shareholder",
        Z44="Same Company","Same Company",
        Z44="Bank","Bank",
        Z44="Government","Government",
        Z44="Social Insurance Agency","Government",
        Z44="Parent Company","Customer",
        Z44="Lender","Lender",
        Z44="Unknown","Unknown",
        ISNUMBER(SEARCH("Abdullah Abdulkarim",M44)),"Service Provider",
        ISNUMBER(SEARCH("Abdullah Fahad",M44)),"Service Provider",
        ISNUMBER(SEARCH("Advanced Equipments",M44)),"Supplier",
        ISNUMBER(SEARCH("Al Banuk Sana",M44)),"Supplier",
        ISNUMBER(SEARCH("Al Khaleefa Factory",M44)),"Supplier",
        ISNUMBER(SEARCH("Al Saadeh Trading",M44)),"Supplier",
        ISNUMBER(SEARCH("Al Zaehaan",M44)),"Supplier",
        ISNUMBER(SEARCH("Ali Abdullah K Al Darwish",M44)),"Service Provider",
        ISNUMBER(SEARCH("Bupa Arabia",M44)),"Insurance Company",
        ISNUMBER(SEARCH("Dar Fahoosaat",M44)),"Service Provider",
        ISNUMBER(SEARCH("General Authority of Zakat",M44)),"Tax Authority",
        ISNUMBER(SEARCH("Gulf Voyager",M44)),"Service Provider",
        ISNUMBER(SEARCH("Hopeway Trading",M44)),"Supplier",
        ISNUMBER(SEARCH("Interhealth Medical",M44)),"Customer",
        ISNUMBER(SEARCH("Ishaar",M44)),"Service Provider",
        ISNUMBER(SEARCH("ISO Arabia",M44)),"Service Provider",
        ISNUMBER(SEARCH("Khalid Saad Al Otaibi",M44)),"Supplier",
        ISNUMBER(SEARCH("MERAS for Decoration",M44)),"Supplier",
        ISNUMBER(SEARCH("Middle East Customs Clearance",M44)),"Service Provider",
        ISNUMBER(SEARCH("Ministry of Human Resources",M44)),"Regulatory Agency",
        ISNUMBER(SEARCH("My Business Services",M44)),"Service Provider",
        ISNUMBER(SEARCH("National Water Company",M44)),"Utility Provider",
        ISNUMBER(SEARCH("Rania Contracting",M44)),"Supplier",
        ISNUMBER(SEARCH("Sahab United Motors",M44)),"Supplier",
        ISNUMBER(SEARCH("Saudi Electric Company",M44)),"Utility Provider",
        ISNUMBER(SEARCH("Saudi Vetonit",M44)),"Supplier",
        ISNUMBER(SEARCH("Shomoul Eng",M44)),"Service Provider",
        ISNUMBER(SEARCH("STC",M44)),"Utility Provider",
        ISNUMBER(SEARCH("The General Organization for Social Insurance",M44)),"Social Insurance Agency",
        ISNUMBER(SEARCH("TUV Rheinland",M44)),"Service Provider",
        ISNUMBER(SEARCH("Al Arabia Ceramic",M44)),"Supplier",
        ISNUMBER(SEARCH("National Company for Building",M44)),"Customer",
        ISNUMBER(SEARCH("Athraa Holding",M44)),"Customer",
        ISNUMBER(SEARCH("Al Rasan",M44)),"Supplier",
        ISNUMBER(SEARCH("Raboua Al Haid",M44)),"Customer",
        ISNUMBER(SEARCH("Al Jazeera Paint",M44)),"Supplier",
        ISNUMBER(SEARCH("Rania Works Contracting",M44)),"Supplier",
        ISNUMBER(SEARCH("Bandar Jarallah",M44)),"Supplier",
        TRUE,"Supplier"
    ),
    "-"
)</f>
        <v>Utility Provider</v>
      </c>
      <c r="AD44" s="25" t="str" cm="1">
        <f t="array" ref="AD44">_xlfn.IFNA(
    _xlfn.IFS(
        AC44="Same Company","High",
        AC44="Shareholder","High",
        AC44="Government","High",
        AC44="Bank","High",
        AC44="Lender","High",
        AC44="Unknown","Low",
        AC44="-","Low",
        TRUE,"Medium"
    ),
    "-"
)</f>
        <v>Medium</v>
      </c>
      <c r="AE44" s="25" t="str">
        <f t="shared" si="2"/>
        <v>-</v>
      </c>
      <c r="AF44" s="25" t="str" cm="1">
        <f t="array" ref="AF44">_xlfn.IFNA(
    _xlfn.IFS(
        K44="Credit",
            _xlfn.IFS(
                OR(ISNUMBER(SEARCH("Rejected",L44)),ISNUMBER(SEARCH("Returned",L44))),"Other Income",
                TRUE,"Revenue"
            ),
        K44="Debit",
            _xlfn.IFS(
                ISNUMBER(SEARCH("Payroll",L44)),"OPEX",
                ISNUMBER(SEARCH("Expatriate",L44)),"OPEX",
                ISNUMBER(SEARCH("Zakat",M44)),"ZATCA",
                ISNUMBER(SEARCH("General Organization for Social Insurance",M44)),"OPEX",
                ISNUMBER(SEARCH("Saudi Electric",M44)),"OPEX",
                ISNUMBER(SEARCH("STC",M44)),"OPEX",
                ISNUMBER(SEARCH("National Water",M44)),"OPEX",
                ISNUMBER(SEARCH("Bupa",M44)),"OPEX",
                ISNUMBER(SEARCH("Abdullah Abdulkarim",M44)),"OPEX",
                ISNUMBER(SEARCH("Abdullah Fahad",M44)),"OPEX",
                ISNUMBER(SEARCH("ISO Arabia",M44)),"OPEX",
                ISNUMBER(SEARCH("Gulf Voyager",M44)),"OPEX",
                ISNUMBER(SEARCH("Ministry",M44)),"OPEX",
                ISNUMBER(SEARCH("General Authority of Zakat",M44)),"ZATCA",
                ISNUMBER(SEARCH("Rejected",L44)),"Other Income",
                TRUE,"COGS"
            ),
        TRUE,"-"
    ),
    "-"
)</f>
        <v>OPEX</v>
      </c>
      <c r="AG44" s="25" t="str" cm="1">
        <f t="array" ref="AG44">_xlfn.IFNA(
    _xlfn.IFS(
        ISNUMBER(SEARCH("Payroll",L44)),"Payroll",
        ISNUMBER(SEARCH("Expatriate",L44)),"Government Fees",
        ISNUMBER(SEARCH("Zakat",M44)),"Zakat",
        ISNUMBER(SEARCH("Social Insurance",M44)),"Social Insurance",
        ISNUMBER(SEARCH("Saudi Electric",M44)),"Electricity",
        ISNUMBER(SEARCH("STC",M44)),"Telecom",
        ISNUMBER(SEARCH("National Water",M44)),"Water",
        ISNUMBER(SEARCH("Bupa",M44)),"Insurance",
        ISNUMBER(SEARCH("Gulf Voyager",M44)),"Travel",
        ISNUMBER(SEARCH("Ministry",M44)),"Government Fees",
        ISNUMBER(SEARCH("Abdullah Abdulkarim",M44)),"Consulting",
        ISNUMBER(SEARCH("Abdullah Fahad",M44)),"Accounting",
        ISNUMBER(SEARCH("ISO Arabia",M44)),"Consulting",
        ISNUMBER(SEARCH("Rejected",L44)),"Refund",
        AF44="COGS","Inventory Purchase",
        AF44="Revenue","Revenue",
        AF44="OPEX","Other",
        AF44="ZATCA","Zakat",
        TRUE,"-"
    ),
    "-"
)</f>
        <v>Water</v>
      </c>
      <c r="AH44" s="25" t="str" cm="1">
        <f t="array" ref="AH44">_xlfn.IFNA(
    _xlfn.IFS(
        AF44="-","Low",
        AF44="Other","Low",
        TRUE,"Medium"
    ),
    "-"
)</f>
        <v>Medium</v>
      </c>
      <c r="AI44" s="25" t="str">
        <f t="shared" si="3"/>
        <v>-</v>
      </c>
    </row>
    <row r="45" spans="1:35" x14ac:dyDescent="0.25">
      <c r="A45" s="10">
        <v>3</v>
      </c>
      <c r="B45" s="10" t="s">
        <v>35</v>
      </c>
      <c r="C45" s="10" t="s">
        <v>36</v>
      </c>
      <c r="D45" s="10" t="s">
        <v>37</v>
      </c>
      <c r="E45" s="10" t="s">
        <v>38</v>
      </c>
      <c r="F45" s="11" t="s">
        <v>39</v>
      </c>
      <c r="G45" s="11" t="s">
        <v>40</v>
      </c>
      <c r="H45" s="12">
        <v>45085</v>
      </c>
      <c r="I45" s="20">
        <v>102543.96</v>
      </c>
      <c r="J45" s="20">
        <v>624.47</v>
      </c>
      <c r="K45" s="10" t="s">
        <v>41</v>
      </c>
      <c r="L45" s="9" t="s">
        <v>161</v>
      </c>
      <c r="M45" s="9" t="s">
        <v>162</v>
      </c>
      <c r="N45" s="9">
        <v>3279620000</v>
      </c>
      <c r="O45" s="9" t="s">
        <v>44</v>
      </c>
      <c r="P45" s="15">
        <v>45085</v>
      </c>
      <c r="Q45" s="9" t="s">
        <v>164</v>
      </c>
      <c r="R45" s="16">
        <v>624.47</v>
      </c>
      <c r="U45" s="9" t="s">
        <v>46</v>
      </c>
      <c r="V45" s="24" t="str" cm="1">
        <f t="array" ref="V45">_xlfn.IFNA(
    _xlfn.IFS(
        ISNUMBER(SEARCH("Fast Outgoing Transfer",L45)),"Transfer",
        ISNUMBER(SEARCH("Incoming Fast Transfer",L45)),"Transfer",
        ISNUMBER(SEARCH("Outgoing International Transfer",L45)),"Transfer",
        ISNUMBER(SEARCH("Bill Payment",L45)),"SADAD",
        ISNUMBER(SEARCH("Payroll",L45)),"Payroll",
        ISNUMBER(SEARCH("Cash Deposit",L45)),"Cash",
        ISNUMBER(SEARCH("Internal Transfer",L45)),"Transfer",
        ISNUMBER(SEARCH("Expatriate Services Payment",L45)),"SADAD",
        ISNUMBER(SEARCH("Rejected",L45)),"Transfer"
    ),
    "-"
)</f>
        <v>SADAD</v>
      </c>
      <c r="W45" s="25" t="str" cm="1">
        <f t="array" ref="W45">_xlfn.IFNA(
    _xlfn.IFS(
        AND(V45="Transfer",ISNUMBER(SEARCH("RIYAD BANK",L45))),"External FI",
        AND(V45="Transfer",ISNUMBER(SEARCH("Al Ahli",L45))),"External FI",
        AND(V45="Transfer",ISNUMBER(SEARCH("CIB via",L45))),"Local Transfer",
        AND(V45="Transfer",ISNUMBER(SEARCH("CIB)",L45))),"Local Transfer",
        AND(V45="Transfer",ISNUMBER(SEARCH("SMRT",L45))),"Local Transfer",
        AND(V45="Transfer",ISNUMBER(SEARCH("Al Murabba",L45))),"Local Transfer",
        AND(V45="Transfer",ISNUMBER(SEARCH("Internal Transfer",L45))),"Same FI",
        AND(V45="Transfer",ISNUMBER(SEARCH("Rejected",L45))),"Failed",
        V45="SADAD",
            _xlfn.IFS(
                ISNUMBER(SEARCH("Expatriate",L45)),"Expat Fees",
                TRUE,"Online Payment"
            ),
        V45="Payroll","Payroll",
        V45="Cash","Deposit",
        TRUE,"-"
    ),
    "-"
)</f>
        <v>Online Payment</v>
      </c>
      <c r="X45" s="25" t="str" cm="1">
        <f t="array" ref="X45">_xlfn.IFNA(
    _xlfn.IFS(
        V45="-","Low",
        W45="-","Low",
        TRUE,"High"
    ),
    "-"
)</f>
        <v>High</v>
      </c>
      <c r="Y45" s="25" t="str">
        <f t="shared" si="0"/>
        <v>-</v>
      </c>
      <c r="Z45" s="25" t="str" cm="1">
        <f t="array" ref="Z45">_xlfn.IFNA(
    _xlfn.IFS(
        ISNUMBER(SEARCH("Abdul Latif Jameel",M45)),"Lender",
        ISNUMBER(SEARCH("Abdullah Abdulkarim Al Sudais",M45)),"Accounting",
        ISNUMBER(SEARCH("Abdullah Fahad for Accounting",M45)),"Accounting",
        ISNUMBER(SEARCH("Abdullah Rashid Shaikh",M45)),"Shareholder",
        ISNUMBER(SEARCH("Advanced Equipments",M45)),"Equipment Rental",
        ISNUMBER(SEARCH("Al Banuk Sana",M45)),"Telecom Company",
        ISNUMBER(SEARCH("Al Khaleefa Factory",M45)),"Manufacturer",
        ISNUMBER(SEARCH("Al Saadeh Trading",M45)),"Trading Company",
        ISNUMBER(SEARCH("Al Zaehaan",M45)),"Trading Company",
        ISNUMBER(SEARCH("Ali Abdullah K Al Darwish",M45)),"Airlines",
        ISNUMBER(SEARCH("Bupa Arabia",M45)),"Health Insurance",
        ISNUMBER(SEARCH("Dar Fahoosaat",M45)),"Consultant",
        ISNUMBER(SEARCH("General Authority of Zakat",M45)),"Tax Collection",
        ISNUMBER(SEARCH("Gulf Voyager",M45)),"Travel Agency",
        ISNUMBER(SEARCH("Hopeway Trading",M45)),"Trading Company",
        ISNUMBER(SEARCH("Interhealth Medical",M45)),"Medical Services",
        ISNUMBER(SEARCH("Ishaar",M45)),"Online Payment Service",
        ISNUMBER(SEARCH("ISO Arabia",M45)),"Certification",
        ISNUMBER(SEARCH("Khalid Saad Al Otaibi",M45)),"Trading Company",
        ISNUMBER(SEARCH("MERAS for Decoration",M45)),"Decor Company",
        ISNUMBER(SEARCH("Middle East Customs Clearance",M45)),"Customs",
        ISNUMBER(SEARCH("Ministry of Human Resources",M45)),"Government",
        ISNUMBER(SEARCH("My Business Services",M45)),"Service Provider",
        ISNUMBER(SEARCH("National Water Company",M45)),"Water Company",
        ISNUMBER(SEARCH("Rania Contracting",M45)),"Contracting",
        ISNUMBER(SEARCH("Rashid Ali Sheikh",M45)),"Shareholder",
        ISNUMBER(SEARCH("Sahab United Motors",M45)),"Car Show Room",
        ISNUMBER(SEARCH("Saud Mohammed Al Tamimi",M45)),"Shareholder",
        ISNUMBER(SEARCH("Saud Mohammed Tamimi",M45)),"Shareholder",
        ISNUMBER(SEARCH("Saudi Electric Company",M45)),"Electricity Company",
        ISNUMBER(SEARCH("Saudi Vetonit",M45)),"Building Materials",
        ISNUMBER(SEARCH("Shomoul Eng",M45)),"Safety",
        ISNUMBER(SEARCH("STC",M45)),"Telecom Company",
        ISNUMBER(SEARCH("The General Organization for Social Insurance",M45)),"Social Insurance Agency",
        ISNUMBER(SEARCH("TUV Rheinland",M45)),"Certification",
        ISNUMBER(SEARCH("Al Arabia Ceramic",M45)),"Building Materials",
        ISNUMBER(SEARCH("National Company for Building and Marketing",M45)),"Parent Company",
        ISNUMBER(SEARCH("Athraa Holding",M45)),"Holding Company",
        ISNUMBER(SEARCH("Al Rasan",M45)),"Contracting",
        ISNUMBER(SEARCH("Raboua Al Haid",M45)),"Trading Company",
        ISNUMBER(SEARCH("Al Jazeera Paint",M45)),"Manufacturer",
        ISNUMBER(SEARCH("Rania Works Contracting",M45)),"Contracting",
        ISNUMBER(SEARCH("Bandar Jarallah",M45)),"Trading Establishment",
        ISNUMBER(SEARCH("RS Infratec Saudi",M45)),"Same Company",
        ISNUMBER(SEARCH("Payroll",M45)),"Bank",
        ISNUMBER(SEARCH("Expatriate",M45)),"Government",
        ISNUMBER(SEARCH("Unknown Sender",M45)),"Unknown",
        TRUE,"Unknown"
    ),
    "-"
)</f>
        <v>Water Company</v>
      </c>
      <c r="AA45" s="25" t="str" cm="1">
        <f t="array" ref="AA45">_xlfn.IFNA(
    _xlfn.IFS(
        Z45="Lender","Financing",
        Z45="Accounting","Accounting",
        Z45="Shareholder","Individual",
        Z45="Equipment Rental","Equipment Rental",
        Z45="Telecom Company","Telecom",
        Z45="Manufacturer","Manufacturer",
        Z45="Trading Company","Trading And Transport",
        Z45="Trading Establishment","Trading",
        Z45="Airlines","Airlines",
        Z45="Health Insurance","Insurance",
        Z45="Consultant","Consultant",
        Z45="Tax Collection","Government",
        Z45="Travel Agency","Travel Agency",
        Z45="Medical Services","Medical Center",
        Z45="Online Payment Service","Payment Facilitator",
        Z45="Certification","Safety",
        Z45="Decor Company","Design",
        Z45="Customs","Customs",
        Z45="Government","Government",
        Z45="Service Provider","Service Provider",
        Z45="Water Company","Water Company",
        Z45="Contracting","Contracting",
        Z45="Car Show Room","Car Trader",
        Z45="Electricity Company","Electricity Company",
        Z45="Building Materials","Building Materials",
        Z45="Safety","Safety",
        Z45="Social Insurance Agency","Government Fund",
        Z45="Parent Company","Holding Company",
        Z45="Holding Company","Holding Company",
        Z45="Same Company","Construction",
        Z45="Bank","Bank",
        Z45="Unknown","Unknown",
        TRUE,"-"
    ),
    "-"
)</f>
        <v>Water Company</v>
      </c>
      <c r="AB45" s="25" t="str">
        <f t="shared" si="1"/>
        <v>-</v>
      </c>
      <c r="AC45" s="25" t="str" cm="1">
        <f t="array" ref="AC45">_xlfn.IFNA(
    _xlfn.IFS(
        Z45="Shareholder","Shareholder",
        Z45="Same Company","Same Company",
        Z45="Bank","Bank",
        Z45="Government","Government",
        Z45="Social Insurance Agency","Government",
        Z45="Parent Company","Customer",
        Z45="Lender","Lender",
        Z45="Unknown","Unknown",
        ISNUMBER(SEARCH("Abdullah Abdulkarim",M45)),"Service Provider",
        ISNUMBER(SEARCH("Abdullah Fahad",M45)),"Service Provider",
        ISNUMBER(SEARCH("Advanced Equipments",M45)),"Supplier",
        ISNUMBER(SEARCH("Al Banuk Sana",M45)),"Supplier",
        ISNUMBER(SEARCH("Al Khaleefa Factory",M45)),"Supplier",
        ISNUMBER(SEARCH("Al Saadeh Trading",M45)),"Supplier",
        ISNUMBER(SEARCH("Al Zaehaan",M45)),"Supplier",
        ISNUMBER(SEARCH("Ali Abdullah K Al Darwish",M45)),"Service Provider",
        ISNUMBER(SEARCH("Bupa Arabia",M45)),"Insurance Company",
        ISNUMBER(SEARCH("Dar Fahoosaat",M45)),"Service Provider",
        ISNUMBER(SEARCH("General Authority of Zakat",M45)),"Tax Authority",
        ISNUMBER(SEARCH("Gulf Voyager",M45)),"Service Provider",
        ISNUMBER(SEARCH("Hopeway Trading",M45)),"Supplier",
        ISNUMBER(SEARCH("Interhealth Medical",M45)),"Customer",
        ISNUMBER(SEARCH("Ishaar",M45)),"Service Provider",
        ISNUMBER(SEARCH("ISO Arabia",M45)),"Service Provider",
        ISNUMBER(SEARCH("Khalid Saad Al Otaibi",M45)),"Supplier",
        ISNUMBER(SEARCH("MERAS for Decoration",M45)),"Supplier",
        ISNUMBER(SEARCH("Middle East Customs Clearance",M45)),"Service Provider",
        ISNUMBER(SEARCH("Ministry of Human Resources",M45)),"Regulatory Agency",
        ISNUMBER(SEARCH("My Business Services",M45)),"Service Provider",
        ISNUMBER(SEARCH("National Water Company",M45)),"Utility Provider",
        ISNUMBER(SEARCH("Rania Contracting",M45)),"Supplier",
        ISNUMBER(SEARCH("Sahab United Motors",M45)),"Supplier",
        ISNUMBER(SEARCH("Saudi Electric Company",M45)),"Utility Provider",
        ISNUMBER(SEARCH("Saudi Vetonit",M45)),"Supplier",
        ISNUMBER(SEARCH("Shomoul Eng",M45)),"Service Provider",
        ISNUMBER(SEARCH("STC",M45)),"Utility Provider",
        ISNUMBER(SEARCH("The General Organization for Social Insurance",M45)),"Social Insurance Agency",
        ISNUMBER(SEARCH("TUV Rheinland",M45)),"Service Provider",
        ISNUMBER(SEARCH("Al Arabia Ceramic",M45)),"Supplier",
        ISNUMBER(SEARCH("National Company for Building",M45)),"Customer",
        ISNUMBER(SEARCH("Athraa Holding",M45)),"Customer",
        ISNUMBER(SEARCH("Al Rasan",M45)),"Supplier",
        ISNUMBER(SEARCH("Raboua Al Haid",M45)),"Customer",
        ISNUMBER(SEARCH("Al Jazeera Paint",M45)),"Supplier",
        ISNUMBER(SEARCH("Rania Works Contracting",M45)),"Supplier",
        ISNUMBER(SEARCH("Bandar Jarallah",M45)),"Supplier",
        TRUE,"Supplier"
    ),
    "-"
)</f>
        <v>Utility Provider</v>
      </c>
      <c r="AD45" s="25" t="str" cm="1">
        <f t="array" ref="AD45">_xlfn.IFNA(
    _xlfn.IFS(
        AC45="Same Company","High",
        AC45="Shareholder","High",
        AC45="Government","High",
        AC45="Bank","High",
        AC45="Lender","High",
        AC45="Unknown","Low",
        AC45="-","Low",
        TRUE,"Medium"
    ),
    "-"
)</f>
        <v>Medium</v>
      </c>
      <c r="AE45" s="25" t="str">
        <f t="shared" si="2"/>
        <v>-</v>
      </c>
      <c r="AF45" s="25" t="str" cm="1">
        <f t="array" ref="AF45">_xlfn.IFNA(
    _xlfn.IFS(
        K45="Credit",
            _xlfn.IFS(
                OR(ISNUMBER(SEARCH("Rejected",L45)),ISNUMBER(SEARCH("Returned",L45))),"Other Income",
                TRUE,"Revenue"
            ),
        K45="Debit",
            _xlfn.IFS(
                ISNUMBER(SEARCH("Payroll",L45)),"OPEX",
                ISNUMBER(SEARCH("Expatriate",L45)),"OPEX",
                ISNUMBER(SEARCH("Zakat",M45)),"ZATCA",
                ISNUMBER(SEARCH("General Organization for Social Insurance",M45)),"OPEX",
                ISNUMBER(SEARCH("Saudi Electric",M45)),"OPEX",
                ISNUMBER(SEARCH("STC",M45)),"OPEX",
                ISNUMBER(SEARCH("National Water",M45)),"OPEX",
                ISNUMBER(SEARCH("Bupa",M45)),"OPEX",
                ISNUMBER(SEARCH("Abdullah Abdulkarim",M45)),"OPEX",
                ISNUMBER(SEARCH("Abdullah Fahad",M45)),"OPEX",
                ISNUMBER(SEARCH("ISO Arabia",M45)),"OPEX",
                ISNUMBER(SEARCH("Gulf Voyager",M45)),"OPEX",
                ISNUMBER(SEARCH("Ministry",M45)),"OPEX",
                ISNUMBER(SEARCH("General Authority of Zakat",M45)),"ZATCA",
                ISNUMBER(SEARCH("Rejected",L45)),"Other Income",
                TRUE,"COGS"
            ),
        TRUE,"-"
    ),
    "-"
)</f>
        <v>OPEX</v>
      </c>
      <c r="AG45" s="25" t="str" cm="1">
        <f t="array" ref="AG45">_xlfn.IFNA(
    _xlfn.IFS(
        ISNUMBER(SEARCH("Payroll",L45)),"Payroll",
        ISNUMBER(SEARCH("Expatriate",L45)),"Government Fees",
        ISNUMBER(SEARCH("Zakat",M45)),"Zakat",
        ISNUMBER(SEARCH("Social Insurance",M45)),"Social Insurance",
        ISNUMBER(SEARCH("Saudi Electric",M45)),"Electricity",
        ISNUMBER(SEARCH("STC",M45)),"Telecom",
        ISNUMBER(SEARCH("National Water",M45)),"Water",
        ISNUMBER(SEARCH("Bupa",M45)),"Insurance",
        ISNUMBER(SEARCH("Gulf Voyager",M45)),"Travel",
        ISNUMBER(SEARCH("Ministry",M45)),"Government Fees",
        ISNUMBER(SEARCH("Abdullah Abdulkarim",M45)),"Consulting",
        ISNUMBER(SEARCH("Abdullah Fahad",M45)),"Accounting",
        ISNUMBER(SEARCH("ISO Arabia",M45)),"Consulting",
        ISNUMBER(SEARCH("Rejected",L45)),"Refund",
        AF45="COGS","Inventory Purchase",
        AF45="Revenue","Revenue",
        AF45="OPEX","Other",
        AF45="ZATCA","Zakat",
        TRUE,"-"
    ),
    "-"
)</f>
        <v>Water</v>
      </c>
      <c r="AH45" s="25" t="str" cm="1">
        <f t="array" ref="AH45">_xlfn.IFNA(
    _xlfn.IFS(
        AF45="-","Low",
        AF45="Other","Low",
        TRUE,"Medium"
    ),
    "-"
)</f>
        <v>Medium</v>
      </c>
      <c r="AI45" s="25" t="str">
        <f t="shared" si="3"/>
        <v>-</v>
      </c>
    </row>
    <row r="46" spans="1:35" x14ac:dyDescent="0.25">
      <c r="A46" s="10">
        <v>3</v>
      </c>
      <c r="B46" s="10" t="s">
        <v>35</v>
      </c>
      <c r="C46" s="10" t="s">
        <v>36</v>
      </c>
      <c r="D46" s="10" t="s">
        <v>37</v>
      </c>
      <c r="E46" s="10" t="s">
        <v>38</v>
      </c>
      <c r="F46" s="11" t="s">
        <v>39</v>
      </c>
      <c r="G46" s="11" t="s">
        <v>40</v>
      </c>
      <c r="H46" s="12">
        <v>45092</v>
      </c>
      <c r="I46" s="20">
        <v>11776.52</v>
      </c>
      <c r="J46" s="20">
        <v>592.92999999999995</v>
      </c>
      <c r="K46" s="10" t="s">
        <v>41</v>
      </c>
      <c r="L46" s="9" t="s">
        <v>161</v>
      </c>
      <c r="M46" s="9" t="s">
        <v>162</v>
      </c>
      <c r="N46" s="9">
        <v>8498849460</v>
      </c>
      <c r="O46" s="9" t="s">
        <v>44</v>
      </c>
      <c r="P46" s="15">
        <v>45092</v>
      </c>
      <c r="Q46" s="9" t="s">
        <v>165</v>
      </c>
      <c r="R46" s="16">
        <v>592.92999999999995</v>
      </c>
      <c r="U46" s="9" t="s">
        <v>46</v>
      </c>
      <c r="V46" s="24" t="str" cm="1">
        <f t="array" ref="V46">_xlfn.IFNA(
    _xlfn.IFS(
        ISNUMBER(SEARCH("Fast Outgoing Transfer",L46)),"Transfer",
        ISNUMBER(SEARCH("Incoming Fast Transfer",L46)),"Transfer",
        ISNUMBER(SEARCH("Outgoing International Transfer",L46)),"Transfer",
        ISNUMBER(SEARCH("Bill Payment",L46)),"SADAD",
        ISNUMBER(SEARCH("Payroll",L46)),"Payroll",
        ISNUMBER(SEARCH("Cash Deposit",L46)),"Cash",
        ISNUMBER(SEARCH("Internal Transfer",L46)),"Transfer",
        ISNUMBER(SEARCH("Expatriate Services Payment",L46)),"SADAD",
        ISNUMBER(SEARCH("Rejected",L46)),"Transfer"
    ),
    "-"
)</f>
        <v>SADAD</v>
      </c>
      <c r="W46" s="25" t="str" cm="1">
        <f t="array" ref="W46">_xlfn.IFNA(
    _xlfn.IFS(
        AND(V46="Transfer",ISNUMBER(SEARCH("RIYAD BANK",L46))),"External FI",
        AND(V46="Transfer",ISNUMBER(SEARCH("Al Ahli",L46))),"External FI",
        AND(V46="Transfer",ISNUMBER(SEARCH("CIB via",L46))),"Local Transfer",
        AND(V46="Transfer",ISNUMBER(SEARCH("CIB)",L46))),"Local Transfer",
        AND(V46="Transfer",ISNUMBER(SEARCH("SMRT",L46))),"Local Transfer",
        AND(V46="Transfer",ISNUMBER(SEARCH("Al Murabba",L46))),"Local Transfer",
        AND(V46="Transfer",ISNUMBER(SEARCH("Internal Transfer",L46))),"Same FI",
        AND(V46="Transfer",ISNUMBER(SEARCH("Rejected",L46))),"Failed",
        V46="SADAD",
            _xlfn.IFS(
                ISNUMBER(SEARCH("Expatriate",L46)),"Expat Fees",
                TRUE,"Online Payment"
            ),
        V46="Payroll","Payroll",
        V46="Cash","Deposit",
        TRUE,"-"
    ),
    "-"
)</f>
        <v>Online Payment</v>
      </c>
      <c r="X46" s="25" t="str" cm="1">
        <f t="array" ref="X46">_xlfn.IFNA(
    _xlfn.IFS(
        V46="-","Low",
        W46="-","Low",
        TRUE,"High"
    ),
    "-"
)</f>
        <v>High</v>
      </c>
      <c r="Y46" s="25" t="str">
        <f t="shared" si="0"/>
        <v>-</v>
      </c>
      <c r="Z46" s="25" t="str" cm="1">
        <f t="array" ref="Z46">_xlfn.IFNA(
    _xlfn.IFS(
        ISNUMBER(SEARCH("Abdul Latif Jameel",M46)),"Lender",
        ISNUMBER(SEARCH("Abdullah Abdulkarim Al Sudais",M46)),"Accounting",
        ISNUMBER(SEARCH("Abdullah Fahad for Accounting",M46)),"Accounting",
        ISNUMBER(SEARCH("Abdullah Rashid Shaikh",M46)),"Shareholder",
        ISNUMBER(SEARCH("Advanced Equipments",M46)),"Equipment Rental",
        ISNUMBER(SEARCH("Al Banuk Sana",M46)),"Telecom Company",
        ISNUMBER(SEARCH("Al Khaleefa Factory",M46)),"Manufacturer",
        ISNUMBER(SEARCH("Al Saadeh Trading",M46)),"Trading Company",
        ISNUMBER(SEARCH("Al Zaehaan",M46)),"Trading Company",
        ISNUMBER(SEARCH("Ali Abdullah K Al Darwish",M46)),"Airlines",
        ISNUMBER(SEARCH("Bupa Arabia",M46)),"Health Insurance",
        ISNUMBER(SEARCH("Dar Fahoosaat",M46)),"Consultant",
        ISNUMBER(SEARCH("General Authority of Zakat",M46)),"Tax Collection",
        ISNUMBER(SEARCH("Gulf Voyager",M46)),"Travel Agency",
        ISNUMBER(SEARCH("Hopeway Trading",M46)),"Trading Company",
        ISNUMBER(SEARCH("Interhealth Medical",M46)),"Medical Services",
        ISNUMBER(SEARCH("Ishaar",M46)),"Online Payment Service",
        ISNUMBER(SEARCH("ISO Arabia",M46)),"Certification",
        ISNUMBER(SEARCH("Khalid Saad Al Otaibi",M46)),"Trading Company",
        ISNUMBER(SEARCH("MERAS for Decoration",M46)),"Decor Company",
        ISNUMBER(SEARCH("Middle East Customs Clearance",M46)),"Customs",
        ISNUMBER(SEARCH("Ministry of Human Resources",M46)),"Government",
        ISNUMBER(SEARCH("My Business Services",M46)),"Service Provider",
        ISNUMBER(SEARCH("National Water Company",M46)),"Water Company",
        ISNUMBER(SEARCH("Rania Contracting",M46)),"Contracting",
        ISNUMBER(SEARCH("Rashid Ali Sheikh",M46)),"Shareholder",
        ISNUMBER(SEARCH("Sahab United Motors",M46)),"Car Show Room",
        ISNUMBER(SEARCH("Saud Mohammed Al Tamimi",M46)),"Shareholder",
        ISNUMBER(SEARCH("Saud Mohammed Tamimi",M46)),"Shareholder",
        ISNUMBER(SEARCH("Saudi Electric Company",M46)),"Electricity Company",
        ISNUMBER(SEARCH("Saudi Vetonit",M46)),"Building Materials",
        ISNUMBER(SEARCH("Shomoul Eng",M46)),"Safety",
        ISNUMBER(SEARCH("STC",M46)),"Telecom Company",
        ISNUMBER(SEARCH("The General Organization for Social Insurance",M46)),"Social Insurance Agency",
        ISNUMBER(SEARCH("TUV Rheinland",M46)),"Certification",
        ISNUMBER(SEARCH("Al Arabia Ceramic",M46)),"Building Materials",
        ISNUMBER(SEARCH("National Company for Building and Marketing",M46)),"Parent Company",
        ISNUMBER(SEARCH("Athraa Holding",M46)),"Holding Company",
        ISNUMBER(SEARCH("Al Rasan",M46)),"Contracting",
        ISNUMBER(SEARCH("Raboua Al Haid",M46)),"Trading Company",
        ISNUMBER(SEARCH("Al Jazeera Paint",M46)),"Manufacturer",
        ISNUMBER(SEARCH("Rania Works Contracting",M46)),"Contracting",
        ISNUMBER(SEARCH("Bandar Jarallah",M46)),"Trading Establishment",
        ISNUMBER(SEARCH("RS Infratec Saudi",M46)),"Same Company",
        ISNUMBER(SEARCH("Payroll",M46)),"Bank",
        ISNUMBER(SEARCH("Expatriate",M46)),"Government",
        ISNUMBER(SEARCH("Unknown Sender",M46)),"Unknown",
        TRUE,"Unknown"
    ),
    "-"
)</f>
        <v>Water Company</v>
      </c>
      <c r="AA46" s="25" t="str" cm="1">
        <f t="array" ref="AA46">_xlfn.IFNA(
    _xlfn.IFS(
        Z46="Lender","Financing",
        Z46="Accounting","Accounting",
        Z46="Shareholder","Individual",
        Z46="Equipment Rental","Equipment Rental",
        Z46="Telecom Company","Telecom",
        Z46="Manufacturer","Manufacturer",
        Z46="Trading Company","Trading And Transport",
        Z46="Trading Establishment","Trading",
        Z46="Airlines","Airlines",
        Z46="Health Insurance","Insurance",
        Z46="Consultant","Consultant",
        Z46="Tax Collection","Government",
        Z46="Travel Agency","Travel Agency",
        Z46="Medical Services","Medical Center",
        Z46="Online Payment Service","Payment Facilitator",
        Z46="Certification","Safety",
        Z46="Decor Company","Design",
        Z46="Customs","Customs",
        Z46="Government","Government",
        Z46="Service Provider","Service Provider",
        Z46="Water Company","Water Company",
        Z46="Contracting","Contracting",
        Z46="Car Show Room","Car Trader",
        Z46="Electricity Company","Electricity Company",
        Z46="Building Materials","Building Materials",
        Z46="Safety","Safety",
        Z46="Social Insurance Agency","Government Fund",
        Z46="Parent Company","Holding Company",
        Z46="Holding Company","Holding Company",
        Z46="Same Company","Construction",
        Z46="Bank","Bank",
        Z46="Unknown","Unknown",
        TRUE,"-"
    ),
    "-"
)</f>
        <v>Water Company</v>
      </c>
      <c r="AB46" s="25" t="str">
        <f t="shared" si="1"/>
        <v>-</v>
      </c>
      <c r="AC46" s="25" t="str" cm="1">
        <f t="array" ref="AC46">_xlfn.IFNA(
    _xlfn.IFS(
        Z46="Shareholder","Shareholder",
        Z46="Same Company","Same Company",
        Z46="Bank","Bank",
        Z46="Government","Government",
        Z46="Social Insurance Agency","Government",
        Z46="Parent Company","Customer",
        Z46="Lender","Lender",
        Z46="Unknown","Unknown",
        ISNUMBER(SEARCH("Abdullah Abdulkarim",M46)),"Service Provider",
        ISNUMBER(SEARCH("Abdullah Fahad",M46)),"Service Provider",
        ISNUMBER(SEARCH("Advanced Equipments",M46)),"Supplier",
        ISNUMBER(SEARCH("Al Banuk Sana",M46)),"Supplier",
        ISNUMBER(SEARCH("Al Khaleefa Factory",M46)),"Supplier",
        ISNUMBER(SEARCH("Al Saadeh Trading",M46)),"Supplier",
        ISNUMBER(SEARCH("Al Zaehaan",M46)),"Supplier",
        ISNUMBER(SEARCH("Ali Abdullah K Al Darwish",M46)),"Service Provider",
        ISNUMBER(SEARCH("Bupa Arabia",M46)),"Insurance Company",
        ISNUMBER(SEARCH("Dar Fahoosaat",M46)),"Service Provider",
        ISNUMBER(SEARCH("General Authority of Zakat",M46)),"Tax Authority",
        ISNUMBER(SEARCH("Gulf Voyager",M46)),"Service Provider",
        ISNUMBER(SEARCH("Hopeway Trading",M46)),"Supplier",
        ISNUMBER(SEARCH("Interhealth Medical",M46)),"Customer",
        ISNUMBER(SEARCH("Ishaar",M46)),"Service Provider",
        ISNUMBER(SEARCH("ISO Arabia",M46)),"Service Provider",
        ISNUMBER(SEARCH("Khalid Saad Al Otaibi",M46)),"Supplier",
        ISNUMBER(SEARCH("MERAS for Decoration",M46)),"Supplier",
        ISNUMBER(SEARCH("Middle East Customs Clearance",M46)),"Service Provider",
        ISNUMBER(SEARCH("Ministry of Human Resources",M46)),"Regulatory Agency",
        ISNUMBER(SEARCH("My Business Services",M46)),"Service Provider",
        ISNUMBER(SEARCH("National Water Company",M46)),"Utility Provider",
        ISNUMBER(SEARCH("Rania Contracting",M46)),"Supplier",
        ISNUMBER(SEARCH("Sahab United Motors",M46)),"Supplier",
        ISNUMBER(SEARCH("Saudi Electric Company",M46)),"Utility Provider",
        ISNUMBER(SEARCH("Saudi Vetonit",M46)),"Supplier",
        ISNUMBER(SEARCH("Shomoul Eng",M46)),"Service Provider",
        ISNUMBER(SEARCH("STC",M46)),"Utility Provider",
        ISNUMBER(SEARCH("The General Organization for Social Insurance",M46)),"Social Insurance Agency",
        ISNUMBER(SEARCH("TUV Rheinland",M46)),"Service Provider",
        ISNUMBER(SEARCH("Al Arabia Ceramic",M46)),"Supplier",
        ISNUMBER(SEARCH("National Company for Building",M46)),"Customer",
        ISNUMBER(SEARCH("Athraa Holding",M46)),"Customer",
        ISNUMBER(SEARCH("Al Rasan",M46)),"Supplier",
        ISNUMBER(SEARCH("Raboua Al Haid",M46)),"Customer",
        ISNUMBER(SEARCH("Al Jazeera Paint",M46)),"Supplier",
        ISNUMBER(SEARCH("Rania Works Contracting",M46)),"Supplier",
        ISNUMBER(SEARCH("Bandar Jarallah",M46)),"Supplier",
        TRUE,"Supplier"
    ),
    "-"
)</f>
        <v>Utility Provider</v>
      </c>
      <c r="AD46" s="25" t="str" cm="1">
        <f t="array" ref="AD46">_xlfn.IFNA(
    _xlfn.IFS(
        AC46="Same Company","High",
        AC46="Shareholder","High",
        AC46="Government","High",
        AC46="Bank","High",
        AC46="Lender","High",
        AC46="Unknown","Low",
        AC46="-","Low",
        TRUE,"Medium"
    ),
    "-"
)</f>
        <v>Medium</v>
      </c>
      <c r="AE46" s="25" t="str">
        <f t="shared" si="2"/>
        <v>-</v>
      </c>
      <c r="AF46" s="25" t="str" cm="1">
        <f t="array" ref="AF46">_xlfn.IFNA(
    _xlfn.IFS(
        K46="Credit",
            _xlfn.IFS(
                OR(ISNUMBER(SEARCH("Rejected",L46)),ISNUMBER(SEARCH("Returned",L46))),"Other Income",
                TRUE,"Revenue"
            ),
        K46="Debit",
            _xlfn.IFS(
                ISNUMBER(SEARCH("Payroll",L46)),"OPEX",
                ISNUMBER(SEARCH("Expatriate",L46)),"OPEX",
                ISNUMBER(SEARCH("Zakat",M46)),"ZATCA",
                ISNUMBER(SEARCH("General Organization for Social Insurance",M46)),"OPEX",
                ISNUMBER(SEARCH("Saudi Electric",M46)),"OPEX",
                ISNUMBER(SEARCH("STC",M46)),"OPEX",
                ISNUMBER(SEARCH("National Water",M46)),"OPEX",
                ISNUMBER(SEARCH("Bupa",M46)),"OPEX",
                ISNUMBER(SEARCH("Abdullah Abdulkarim",M46)),"OPEX",
                ISNUMBER(SEARCH("Abdullah Fahad",M46)),"OPEX",
                ISNUMBER(SEARCH("ISO Arabia",M46)),"OPEX",
                ISNUMBER(SEARCH("Gulf Voyager",M46)),"OPEX",
                ISNUMBER(SEARCH("Ministry",M46)),"OPEX",
                ISNUMBER(SEARCH("General Authority of Zakat",M46)),"ZATCA",
                ISNUMBER(SEARCH("Rejected",L46)),"Other Income",
                TRUE,"COGS"
            ),
        TRUE,"-"
    ),
    "-"
)</f>
        <v>OPEX</v>
      </c>
      <c r="AG46" s="25" t="str" cm="1">
        <f t="array" ref="AG46">_xlfn.IFNA(
    _xlfn.IFS(
        ISNUMBER(SEARCH("Payroll",L46)),"Payroll",
        ISNUMBER(SEARCH("Expatriate",L46)),"Government Fees",
        ISNUMBER(SEARCH("Zakat",M46)),"Zakat",
        ISNUMBER(SEARCH("Social Insurance",M46)),"Social Insurance",
        ISNUMBER(SEARCH("Saudi Electric",M46)),"Electricity",
        ISNUMBER(SEARCH("STC",M46)),"Telecom",
        ISNUMBER(SEARCH("National Water",M46)),"Water",
        ISNUMBER(SEARCH("Bupa",M46)),"Insurance",
        ISNUMBER(SEARCH("Gulf Voyager",M46)),"Travel",
        ISNUMBER(SEARCH("Ministry",M46)),"Government Fees",
        ISNUMBER(SEARCH("Abdullah Abdulkarim",M46)),"Consulting",
        ISNUMBER(SEARCH("Abdullah Fahad",M46)),"Accounting",
        ISNUMBER(SEARCH("ISO Arabia",M46)),"Consulting",
        ISNUMBER(SEARCH("Rejected",L46)),"Refund",
        AF46="COGS","Inventory Purchase",
        AF46="Revenue","Revenue",
        AF46="OPEX","Other",
        AF46="ZATCA","Zakat",
        TRUE,"-"
    ),
    "-"
)</f>
        <v>Water</v>
      </c>
      <c r="AH46" s="25" t="str" cm="1">
        <f t="array" ref="AH46">_xlfn.IFNA(
    _xlfn.IFS(
        AF46="-","Low",
        AF46="Other","Low",
        TRUE,"Medium"
    ),
    "-"
)</f>
        <v>Medium</v>
      </c>
      <c r="AI46" s="25" t="str">
        <f t="shared" si="3"/>
        <v>-</v>
      </c>
    </row>
    <row r="47" spans="1:35" x14ac:dyDescent="0.25">
      <c r="A47" s="10">
        <v>3</v>
      </c>
      <c r="B47" s="10" t="s">
        <v>35</v>
      </c>
      <c r="C47" s="10" t="s">
        <v>36</v>
      </c>
      <c r="D47" s="10" t="s">
        <v>37</v>
      </c>
      <c r="E47" s="10" t="s">
        <v>38</v>
      </c>
      <c r="F47" s="11" t="s">
        <v>39</v>
      </c>
      <c r="G47" s="11" t="s">
        <v>40</v>
      </c>
      <c r="H47" s="12">
        <v>44938</v>
      </c>
      <c r="I47" s="20">
        <v>70630.16</v>
      </c>
      <c r="J47" s="20">
        <v>55000</v>
      </c>
      <c r="K47" s="10" t="s">
        <v>116</v>
      </c>
      <c r="L47" s="9" t="s">
        <v>181</v>
      </c>
      <c r="M47" s="9" t="s">
        <v>182</v>
      </c>
      <c r="N47" s="9">
        <v>1001899085</v>
      </c>
      <c r="O47" s="9" t="s">
        <v>183</v>
      </c>
      <c r="P47" s="15">
        <v>44938</v>
      </c>
      <c r="Q47" s="9" t="s">
        <v>184</v>
      </c>
      <c r="R47" s="16">
        <v>55000</v>
      </c>
      <c r="U47" s="9" t="s">
        <v>55</v>
      </c>
      <c r="V47" s="24" t="str" cm="1">
        <f t="array" ref="V47">_xlfn.IFNA(
    _xlfn.IFS(
        ISNUMBER(SEARCH("Fast Outgoing Transfer",L47)),"Transfer",
        ISNUMBER(SEARCH("Incoming Fast Transfer",L47)),"Transfer",
        ISNUMBER(SEARCH("Outgoing International Transfer",L47)),"Transfer",
        ISNUMBER(SEARCH("Bill Payment",L47)),"SADAD",
        ISNUMBER(SEARCH("Payroll",L47)),"Payroll",
        ISNUMBER(SEARCH("Cash Deposit",L47)),"Cash",
        ISNUMBER(SEARCH("Internal Transfer",L47)),"Transfer",
        ISNUMBER(SEARCH("Expatriate Services Payment",L47)),"SADAD",
        ISNUMBER(SEARCH("Rejected",L47)),"Transfer"
    ),
    "-"
)</f>
        <v>Cash</v>
      </c>
      <c r="W47" s="25" t="str" cm="1">
        <f t="array" ref="W47">_xlfn.IFNA(
    _xlfn.IFS(
        AND(V47="Transfer",ISNUMBER(SEARCH("RIYAD BANK",L47))),"External FI",
        AND(V47="Transfer",ISNUMBER(SEARCH("Al Ahli",L47))),"External FI",
        AND(V47="Transfer",ISNUMBER(SEARCH("CIB via",L47))),"Local Transfer",
        AND(V47="Transfer",ISNUMBER(SEARCH("CIB)",L47))),"Local Transfer",
        AND(V47="Transfer",ISNUMBER(SEARCH("SMRT",L47))),"Local Transfer",
        AND(V47="Transfer",ISNUMBER(SEARCH("Al Murabba",L47))),"Local Transfer",
        AND(V47="Transfer",ISNUMBER(SEARCH("Internal Transfer",L47))),"Same FI",
        AND(V47="Transfer",ISNUMBER(SEARCH("Rejected",L47))),"Failed",
        V47="SADAD",
            _xlfn.IFS(
                ISNUMBER(SEARCH("Expatriate",L47)),"Expat Fees",
                TRUE,"Online Payment"
            ),
        V47="Payroll","Payroll",
        V47="Cash","Deposit",
        TRUE,"-"
    ),
    "-"
)</f>
        <v>Deposit</v>
      </c>
      <c r="X47" s="25" t="str" cm="1">
        <f t="array" ref="X47">_xlfn.IFNA(
    _xlfn.IFS(
        V47="-","Low",
        W47="-","Low",
        TRUE,"High"
    ),
    "-"
)</f>
        <v>High</v>
      </c>
      <c r="Y47" s="25" t="str">
        <f t="shared" si="0"/>
        <v>-</v>
      </c>
      <c r="Z47" s="25" t="str" cm="1">
        <f t="array" ref="Z47">_xlfn.IFNA(
    _xlfn.IFS(
        ISNUMBER(SEARCH("Abdul Latif Jameel",M47)),"Lender",
        ISNUMBER(SEARCH("Abdullah Abdulkarim Al Sudais",M47)),"Accounting",
        ISNUMBER(SEARCH("Abdullah Fahad for Accounting",M47)),"Accounting",
        ISNUMBER(SEARCH("Abdullah Rashid Shaikh",M47)),"Shareholder",
        ISNUMBER(SEARCH("Advanced Equipments",M47)),"Equipment Rental",
        ISNUMBER(SEARCH("Al Banuk Sana",M47)),"Telecom Company",
        ISNUMBER(SEARCH("Al Khaleefa Factory",M47)),"Manufacturer",
        ISNUMBER(SEARCH("Al Saadeh Trading",M47)),"Trading Company",
        ISNUMBER(SEARCH("Al Zaehaan",M47)),"Trading Company",
        ISNUMBER(SEARCH("Ali Abdullah K Al Darwish",M47)),"Airlines",
        ISNUMBER(SEARCH("Bupa Arabia",M47)),"Health Insurance",
        ISNUMBER(SEARCH("Dar Fahoosaat",M47)),"Consultant",
        ISNUMBER(SEARCH("General Authority of Zakat",M47)),"Tax Collection",
        ISNUMBER(SEARCH("Gulf Voyager",M47)),"Travel Agency",
        ISNUMBER(SEARCH("Hopeway Trading",M47)),"Trading Company",
        ISNUMBER(SEARCH("Interhealth Medical",M47)),"Medical Services",
        ISNUMBER(SEARCH("Ishaar",M47)),"Online Payment Service",
        ISNUMBER(SEARCH("ISO Arabia",M47)),"Certification",
        ISNUMBER(SEARCH("Khalid Saad Al Otaibi",M47)),"Trading Company",
        ISNUMBER(SEARCH("MERAS for Decoration",M47)),"Decor Company",
        ISNUMBER(SEARCH("Middle East Customs Clearance",M47)),"Customs",
        ISNUMBER(SEARCH("Ministry of Human Resources",M47)),"Government",
        ISNUMBER(SEARCH("My Business Services",M47)),"Service Provider",
        ISNUMBER(SEARCH("National Water Company",M47)),"Water Company",
        ISNUMBER(SEARCH("Rania Contracting",M47)),"Contracting",
        ISNUMBER(SEARCH("Rashid Ali Sheikh",M47)),"Shareholder",
        ISNUMBER(SEARCH("Sahab United Motors",M47)),"Car Show Room",
        ISNUMBER(SEARCH("Saud Mohammed Al Tamimi",M47)),"Shareholder",
        ISNUMBER(SEARCH("Saud Mohammed Tamimi",M47)),"Shareholder",
        ISNUMBER(SEARCH("Saudi Electric Company",M47)),"Electricity Company",
        ISNUMBER(SEARCH("Saudi Vetonit",M47)),"Building Materials",
        ISNUMBER(SEARCH("Shomoul Eng",M47)),"Safety",
        ISNUMBER(SEARCH("STC",M47)),"Telecom Company",
        ISNUMBER(SEARCH("The General Organization for Social Insurance",M47)),"Social Insurance Agency",
        ISNUMBER(SEARCH("TUV Rheinland",M47)),"Certification",
        ISNUMBER(SEARCH("Al Arabia Ceramic",M47)),"Building Materials",
        ISNUMBER(SEARCH("National Company for Building and Marketing",M47)),"Parent Company",
        ISNUMBER(SEARCH("Athraa Holding",M47)),"Holding Company",
        ISNUMBER(SEARCH("Al Rasan",M47)),"Contracting",
        ISNUMBER(SEARCH("Raboua Al Haid",M47)),"Trading Company",
        ISNUMBER(SEARCH("Al Jazeera Paint",M47)),"Manufacturer",
        ISNUMBER(SEARCH("Rania Works Contracting",M47)),"Contracting",
        ISNUMBER(SEARCH("Bandar Jarallah",M47)),"Trading Establishment",
        ISNUMBER(SEARCH("RS Infratec Saudi",M47)),"Same Company",
        ISNUMBER(SEARCH("Payroll",M47)),"Bank",
        ISNUMBER(SEARCH("Expatriate",M47)),"Government",
        ISNUMBER(SEARCH("Unknown Sender",M47)),"Unknown",
        TRUE,"Unknown"
    ),
    "-"
)</f>
        <v>Shareholder</v>
      </c>
      <c r="AA47" s="25" t="str" cm="1">
        <f t="array" ref="AA47">_xlfn.IFNA(
    _xlfn.IFS(
        Z47="Lender","Financing",
        Z47="Accounting","Accounting",
        Z47="Shareholder","Individual",
        Z47="Equipment Rental","Equipment Rental",
        Z47="Telecom Company","Telecom",
        Z47="Manufacturer","Manufacturer",
        Z47="Trading Company","Trading And Transport",
        Z47="Trading Establishment","Trading",
        Z47="Airlines","Airlines",
        Z47="Health Insurance","Insurance",
        Z47="Consultant","Consultant",
        Z47="Tax Collection","Government",
        Z47="Travel Agency","Travel Agency",
        Z47="Medical Services","Medical Center",
        Z47="Online Payment Service","Payment Facilitator",
        Z47="Certification","Safety",
        Z47="Decor Company","Design",
        Z47="Customs","Customs",
        Z47="Government","Government",
        Z47="Service Provider","Service Provider",
        Z47="Water Company","Water Company",
        Z47="Contracting","Contracting",
        Z47="Car Show Room","Car Trader",
        Z47="Electricity Company","Electricity Company",
        Z47="Building Materials","Building Materials",
        Z47="Safety","Safety",
        Z47="Social Insurance Agency","Government Fund",
        Z47="Parent Company","Holding Company",
        Z47="Holding Company","Holding Company",
        Z47="Same Company","Construction",
        Z47="Bank","Bank",
        Z47="Unknown","Unknown",
        TRUE,"-"
    ),
    "-"
)</f>
        <v>Individual</v>
      </c>
      <c r="AB47" s="25" t="str">
        <f t="shared" si="1"/>
        <v>-</v>
      </c>
      <c r="AC47" s="25" t="str" cm="1">
        <f t="array" ref="AC47">_xlfn.IFNA(
    _xlfn.IFS(
        Z47="Shareholder","Shareholder",
        Z47="Same Company","Same Company",
        Z47="Bank","Bank",
        Z47="Government","Government",
        Z47="Social Insurance Agency","Government",
        Z47="Parent Company","Customer",
        Z47="Lender","Lender",
        Z47="Unknown","Unknown",
        ISNUMBER(SEARCH("Abdullah Abdulkarim",M47)),"Service Provider",
        ISNUMBER(SEARCH("Abdullah Fahad",M47)),"Service Provider",
        ISNUMBER(SEARCH("Advanced Equipments",M47)),"Supplier",
        ISNUMBER(SEARCH("Al Banuk Sana",M47)),"Supplier",
        ISNUMBER(SEARCH("Al Khaleefa Factory",M47)),"Supplier",
        ISNUMBER(SEARCH("Al Saadeh Trading",M47)),"Supplier",
        ISNUMBER(SEARCH("Al Zaehaan",M47)),"Supplier",
        ISNUMBER(SEARCH("Ali Abdullah K Al Darwish",M47)),"Service Provider",
        ISNUMBER(SEARCH("Bupa Arabia",M47)),"Insurance Company",
        ISNUMBER(SEARCH("Dar Fahoosaat",M47)),"Service Provider",
        ISNUMBER(SEARCH("General Authority of Zakat",M47)),"Tax Authority",
        ISNUMBER(SEARCH("Gulf Voyager",M47)),"Service Provider",
        ISNUMBER(SEARCH("Hopeway Trading",M47)),"Supplier",
        ISNUMBER(SEARCH("Interhealth Medical",M47)),"Customer",
        ISNUMBER(SEARCH("Ishaar",M47)),"Service Provider",
        ISNUMBER(SEARCH("ISO Arabia",M47)),"Service Provider",
        ISNUMBER(SEARCH("Khalid Saad Al Otaibi",M47)),"Supplier",
        ISNUMBER(SEARCH("MERAS for Decoration",M47)),"Supplier",
        ISNUMBER(SEARCH("Middle East Customs Clearance",M47)),"Service Provider",
        ISNUMBER(SEARCH("Ministry of Human Resources",M47)),"Regulatory Agency",
        ISNUMBER(SEARCH("My Business Services",M47)),"Service Provider",
        ISNUMBER(SEARCH("National Water Company",M47)),"Utility Provider",
        ISNUMBER(SEARCH("Rania Contracting",M47)),"Supplier",
        ISNUMBER(SEARCH("Sahab United Motors",M47)),"Supplier",
        ISNUMBER(SEARCH("Saudi Electric Company",M47)),"Utility Provider",
        ISNUMBER(SEARCH("Saudi Vetonit",M47)),"Supplier",
        ISNUMBER(SEARCH("Shomoul Eng",M47)),"Service Provider",
        ISNUMBER(SEARCH("STC",M47)),"Utility Provider",
        ISNUMBER(SEARCH("The General Organization for Social Insurance",M47)),"Social Insurance Agency",
        ISNUMBER(SEARCH("TUV Rheinland",M47)),"Service Provider",
        ISNUMBER(SEARCH("Al Arabia Ceramic",M47)),"Supplier",
        ISNUMBER(SEARCH("National Company for Building",M47)),"Customer",
        ISNUMBER(SEARCH("Athraa Holding",M47)),"Customer",
        ISNUMBER(SEARCH("Al Rasan",M47)),"Supplier",
        ISNUMBER(SEARCH("Raboua Al Haid",M47)),"Customer",
        ISNUMBER(SEARCH("Al Jazeera Paint",M47)),"Supplier",
        ISNUMBER(SEARCH("Rania Works Contracting",M47)),"Supplier",
        ISNUMBER(SEARCH("Bandar Jarallah",M47)),"Supplier",
        TRUE,"Supplier"
    ),
    "-"
)</f>
        <v>Shareholder</v>
      </c>
      <c r="AD47" s="25" t="str" cm="1">
        <f t="array" ref="AD47">_xlfn.IFNA(
    _xlfn.IFS(
        AC47="Same Company","High",
        AC47="Shareholder","High",
        AC47="Government","High",
        AC47="Bank","High",
        AC47="Lender","High",
        AC47="Unknown","Low",
        AC47="-","Low",
        TRUE,"Medium"
    ),
    "-"
)</f>
        <v>High</v>
      </c>
      <c r="AE47" s="25" t="str">
        <f t="shared" si="2"/>
        <v>-</v>
      </c>
      <c r="AF47" s="25" t="str" cm="1">
        <f t="array" ref="AF47">_xlfn.IFNA(
    _xlfn.IFS(
        K47="Credit",
            _xlfn.IFS(
                OR(ISNUMBER(SEARCH("Rejected",L47)),ISNUMBER(SEARCH("Returned",L47))),"Other Income",
                TRUE,"Revenue"
            ),
        K47="Debit",
            _xlfn.IFS(
                ISNUMBER(SEARCH("Payroll",L47)),"OPEX",
                ISNUMBER(SEARCH("Expatriate",L47)),"OPEX",
                ISNUMBER(SEARCH("Zakat",M47)),"ZATCA",
                ISNUMBER(SEARCH("General Organization for Social Insurance",M47)),"OPEX",
                ISNUMBER(SEARCH("Saudi Electric",M47)),"OPEX",
                ISNUMBER(SEARCH("STC",M47)),"OPEX",
                ISNUMBER(SEARCH("National Water",M47)),"OPEX",
                ISNUMBER(SEARCH("Bupa",M47)),"OPEX",
                ISNUMBER(SEARCH("Abdullah Abdulkarim",M47)),"OPEX",
                ISNUMBER(SEARCH("Abdullah Fahad",M47)),"OPEX",
                ISNUMBER(SEARCH("ISO Arabia",M47)),"OPEX",
                ISNUMBER(SEARCH("Gulf Voyager",M47)),"OPEX",
                ISNUMBER(SEARCH("Ministry",M47)),"OPEX",
                ISNUMBER(SEARCH("General Authority of Zakat",M47)),"ZATCA",
                ISNUMBER(SEARCH("Rejected",L47)),"Other Income",
                TRUE,"COGS"
            ),
        TRUE,"-"
    ),
    "-"
)</f>
        <v>Revenue</v>
      </c>
      <c r="AG47" s="25" t="str" cm="1">
        <f t="array" ref="AG47">_xlfn.IFNA(
    _xlfn.IFS(
        ISNUMBER(SEARCH("Payroll",L47)),"Payroll",
        ISNUMBER(SEARCH("Expatriate",L47)),"Government Fees",
        ISNUMBER(SEARCH("Zakat",M47)),"Zakat",
        ISNUMBER(SEARCH("Social Insurance",M47)),"Social Insurance",
        ISNUMBER(SEARCH("Saudi Electric",M47)),"Electricity",
        ISNUMBER(SEARCH("STC",M47)),"Telecom",
        ISNUMBER(SEARCH("National Water",M47)),"Water",
        ISNUMBER(SEARCH("Bupa",M47)),"Insurance",
        ISNUMBER(SEARCH("Gulf Voyager",M47)),"Travel",
        ISNUMBER(SEARCH("Ministry",M47)),"Government Fees",
        ISNUMBER(SEARCH("Abdullah Abdulkarim",M47)),"Consulting",
        ISNUMBER(SEARCH("Abdullah Fahad",M47)),"Accounting",
        ISNUMBER(SEARCH("ISO Arabia",M47)),"Consulting",
        ISNUMBER(SEARCH("Rejected",L47)),"Refund",
        AF47="COGS","Inventory Purchase",
        AF47="Revenue","Revenue",
        AF47="OPEX","Other",
        AF47="ZATCA","Zakat",
        TRUE,"-"
    ),
    "-"
)</f>
        <v>Revenue</v>
      </c>
      <c r="AH47" s="25" t="str" cm="1">
        <f t="array" ref="AH47">_xlfn.IFNA(
    _xlfn.IFS(
        AF47="-","Low",
        AF47="Other","Low",
        TRUE,"Medium"
    ),
    "-"
)</f>
        <v>Medium</v>
      </c>
      <c r="AI47" s="25" t="str">
        <f t="shared" si="3"/>
        <v>-</v>
      </c>
    </row>
    <row r="48" spans="1:35" x14ac:dyDescent="0.25">
      <c r="A48" s="10">
        <v>3</v>
      </c>
      <c r="B48" s="10" t="s">
        <v>35</v>
      </c>
      <c r="C48" s="10" t="s">
        <v>36</v>
      </c>
      <c r="D48" s="10" t="s">
        <v>37</v>
      </c>
      <c r="E48" s="10" t="s">
        <v>38</v>
      </c>
      <c r="F48" s="11" t="s">
        <v>39</v>
      </c>
      <c r="G48" s="11" t="s">
        <v>40</v>
      </c>
      <c r="H48" s="12">
        <v>44928</v>
      </c>
      <c r="I48" s="20">
        <v>280301.82</v>
      </c>
      <c r="J48" s="20">
        <v>4501.1499999999996</v>
      </c>
      <c r="K48" s="10" t="s">
        <v>41</v>
      </c>
      <c r="L48" s="9" t="s">
        <v>56</v>
      </c>
      <c r="M48" s="9" t="s">
        <v>185</v>
      </c>
      <c r="N48" s="9" t="s">
        <v>186</v>
      </c>
      <c r="O48" s="9" t="s">
        <v>72</v>
      </c>
      <c r="P48" s="15">
        <v>44928</v>
      </c>
      <c r="Q48" s="9" t="s">
        <v>187</v>
      </c>
      <c r="R48" s="16">
        <v>4500</v>
      </c>
      <c r="S48" s="18">
        <v>1</v>
      </c>
      <c r="T48" s="18">
        <v>0.15</v>
      </c>
      <c r="U48" s="9" t="s">
        <v>55</v>
      </c>
      <c r="V48" s="24" t="str" cm="1">
        <f t="array" ref="V48">_xlfn.IFNA(
    _xlfn.IFS(
        ISNUMBER(SEARCH("Fast Outgoing Transfer",L48)),"Transfer",
        ISNUMBER(SEARCH("Incoming Fast Transfer",L48)),"Transfer",
        ISNUMBER(SEARCH("Outgoing International Transfer",L48)),"Transfer",
        ISNUMBER(SEARCH("Bill Payment",L48)),"SADAD",
        ISNUMBER(SEARCH("Payroll",L48)),"Payroll",
        ISNUMBER(SEARCH("Cash Deposit",L48)),"Cash",
        ISNUMBER(SEARCH("Internal Transfer",L48)),"Transfer",
        ISNUMBER(SEARCH("Expatriate Services Payment",L48)),"SADAD",
        ISNUMBER(SEARCH("Rejected",L48)),"Transfer"
    ),
    "-"
)</f>
        <v>Transfer</v>
      </c>
      <c r="W48" s="25" t="str" cm="1">
        <f t="array" ref="W48">_xlfn.IFNA(
    _xlfn.IFS(
        AND(V48="Transfer",ISNUMBER(SEARCH("RIYAD BANK",L48))),"External FI",
        AND(V48="Transfer",ISNUMBER(SEARCH("Al Ahli",L48))),"External FI",
        AND(V48="Transfer",ISNUMBER(SEARCH("CIB via",L48))),"Local Transfer",
        AND(V48="Transfer",ISNUMBER(SEARCH("CIB)",L48))),"Local Transfer",
        AND(V48="Transfer",ISNUMBER(SEARCH("SMRT",L48))),"Local Transfer",
        AND(V48="Transfer",ISNUMBER(SEARCH("Al Murabba",L48))),"Local Transfer",
        AND(V48="Transfer",ISNUMBER(SEARCH("Internal Transfer",L48))),"Same FI",
        AND(V48="Transfer",ISNUMBER(SEARCH("Rejected",L48))),"Failed",
        V48="SADAD",
            _xlfn.IFS(
                ISNUMBER(SEARCH("Expatriate",L48)),"Expat Fees",
                TRUE,"Online Payment"
            ),
        V48="Payroll","Payroll",
        V48="Cash","Deposit",
        TRUE,"-"
    ),
    "-"
)</f>
        <v>Local Transfer</v>
      </c>
      <c r="X48" s="25" t="str" cm="1">
        <f t="array" ref="X48">_xlfn.IFNA(
    _xlfn.IFS(
        V48="-","Low",
        W48="-","Low",
        TRUE,"High"
    ),
    "-"
)</f>
        <v>High</v>
      </c>
      <c r="Y48" s="25" t="str">
        <f t="shared" si="0"/>
        <v>-</v>
      </c>
      <c r="Z48" s="25" t="str" cm="1">
        <f t="array" ref="Z48">_xlfn.IFNA(
    _xlfn.IFS(
        ISNUMBER(SEARCH("Abdul Latif Jameel",M48)),"Lender",
        ISNUMBER(SEARCH("Abdullah Abdulkarim Al Sudais",M48)),"Accounting",
        ISNUMBER(SEARCH("Abdullah Fahad for Accounting",M48)),"Accounting",
        ISNUMBER(SEARCH("Abdullah Rashid Shaikh",M48)),"Shareholder",
        ISNUMBER(SEARCH("Advanced Equipments",M48)),"Equipment Rental",
        ISNUMBER(SEARCH("Al Banuk Sana",M48)),"Telecom Company",
        ISNUMBER(SEARCH("Al Khaleefa Factory",M48)),"Manufacturer",
        ISNUMBER(SEARCH("Al Saadeh Trading",M48)),"Trading Company",
        ISNUMBER(SEARCH("Al Zaehaan",M48)),"Trading Company",
        ISNUMBER(SEARCH("Ali Abdullah K Al Darwish",M48)),"Airlines",
        ISNUMBER(SEARCH("Bupa Arabia",M48)),"Health Insurance",
        ISNUMBER(SEARCH("Dar Fahoosaat",M48)),"Consultant",
        ISNUMBER(SEARCH("General Authority of Zakat",M48)),"Tax Collection",
        ISNUMBER(SEARCH("Gulf Voyager",M48)),"Travel Agency",
        ISNUMBER(SEARCH("Hopeway Trading",M48)),"Trading Company",
        ISNUMBER(SEARCH("Interhealth Medical",M48)),"Medical Services",
        ISNUMBER(SEARCH("Ishaar",M48)),"Online Payment Service",
        ISNUMBER(SEARCH("ISO Arabia",M48)),"Certification",
        ISNUMBER(SEARCH("Khalid Saad Al Otaibi",M48)),"Trading Company",
        ISNUMBER(SEARCH("MERAS for Decoration",M48)),"Decor Company",
        ISNUMBER(SEARCH("Middle East Customs Clearance",M48)),"Customs",
        ISNUMBER(SEARCH("Ministry of Human Resources",M48)),"Government",
        ISNUMBER(SEARCH("My Business Services",M48)),"Service Provider",
        ISNUMBER(SEARCH("National Water Company",M48)),"Water Company",
        ISNUMBER(SEARCH("Rania Contracting",M48)),"Contracting",
        ISNUMBER(SEARCH("Rashid Ali Sheikh",M48)),"Shareholder",
        ISNUMBER(SEARCH("Sahab United Motors",M48)),"Car Show Room",
        ISNUMBER(SEARCH("Saud Mohammed Al Tamimi",M48)),"Shareholder",
        ISNUMBER(SEARCH("Saud Mohammed Tamimi",M48)),"Shareholder",
        ISNUMBER(SEARCH("Saudi Electric Company",M48)),"Electricity Company",
        ISNUMBER(SEARCH("Saudi Vetonit",M48)),"Building Materials",
        ISNUMBER(SEARCH("Shomoul Eng",M48)),"Safety",
        ISNUMBER(SEARCH("STC",M48)),"Telecom Company",
        ISNUMBER(SEARCH("The General Organization for Social Insurance",M48)),"Social Insurance Agency",
        ISNUMBER(SEARCH("TUV Rheinland",M48)),"Certification",
        ISNUMBER(SEARCH("Al Arabia Ceramic",M48)),"Building Materials",
        ISNUMBER(SEARCH("National Company for Building and Marketing",M48)),"Parent Company",
        ISNUMBER(SEARCH("Athraa Holding",M48)),"Holding Company",
        ISNUMBER(SEARCH("Al Rasan",M48)),"Contracting",
        ISNUMBER(SEARCH("Raboua Al Haid",M48)),"Trading Company",
        ISNUMBER(SEARCH("Al Jazeera Paint",M48)),"Manufacturer",
        ISNUMBER(SEARCH("Rania Works Contracting",M48)),"Contracting",
        ISNUMBER(SEARCH("Bandar Jarallah",M48)),"Trading Establishment",
        ISNUMBER(SEARCH("RS Infratec Saudi",M48)),"Same Company",
        ISNUMBER(SEARCH("Payroll",M48)),"Bank",
        ISNUMBER(SEARCH("Expatriate",M48)),"Government",
        ISNUMBER(SEARCH("Unknown Sender",M48)),"Unknown",
        TRUE,"Unknown"
    ),
    "-"
)</f>
        <v>Shareholder</v>
      </c>
      <c r="AA48" s="25" t="str" cm="1">
        <f t="array" ref="AA48">_xlfn.IFNA(
    _xlfn.IFS(
        Z48="Lender","Financing",
        Z48="Accounting","Accounting",
        Z48="Shareholder","Individual",
        Z48="Equipment Rental","Equipment Rental",
        Z48="Telecom Company","Telecom",
        Z48="Manufacturer","Manufacturer",
        Z48="Trading Company","Trading And Transport",
        Z48="Trading Establishment","Trading",
        Z48="Airlines","Airlines",
        Z48="Health Insurance","Insurance",
        Z48="Consultant","Consultant",
        Z48="Tax Collection","Government",
        Z48="Travel Agency","Travel Agency",
        Z48="Medical Services","Medical Center",
        Z48="Online Payment Service","Payment Facilitator",
        Z48="Certification","Safety",
        Z48="Decor Company","Design",
        Z48="Customs","Customs",
        Z48="Government","Government",
        Z48="Service Provider","Service Provider",
        Z48="Water Company","Water Company",
        Z48="Contracting","Contracting",
        Z48="Car Show Room","Car Trader",
        Z48="Electricity Company","Electricity Company",
        Z48="Building Materials","Building Materials",
        Z48="Safety","Safety",
        Z48="Social Insurance Agency","Government Fund",
        Z48="Parent Company","Holding Company",
        Z48="Holding Company","Holding Company",
        Z48="Same Company","Construction",
        Z48="Bank","Bank",
        Z48="Unknown","Unknown",
        TRUE,"-"
    ),
    "-"
)</f>
        <v>Individual</v>
      </c>
      <c r="AB48" s="25" t="str">
        <f t="shared" si="1"/>
        <v>-</v>
      </c>
      <c r="AC48" s="25" t="str" cm="1">
        <f t="array" ref="AC48">_xlfn.IFNA(
    _xlfn.IFS(
        Z48="Shareholder","Shareholder",
        Z48="Same Company","Same Company",
        Z48="Bank","Bank",
        Z48="Government","Government",
        Z48="Social Insurance Agency","Government",
        Z48="Parent Company","Customer",
        Z48="Lender","Lender",
        Z48="Unknown","Unknown",
        ISNUMBER(SEARCH("Abdullah Abdulkarim",M48)),"Service Provider",
        ISNUMBER(SEARCH("Abdullah Fahad",M48)),"Service Provider",
        ISNUMBER(SEARCH("Advanced Equipments",M48)),"Supplier",
        ISNUMBER(SEARCH("Al Banuk Sana",M48)),"Supplier",
        ISNUMBER(SEARCH("Al Khaleefa Factory",M48)),"Supplier",
        ISNUMBER(SEARCH("Al Saadeh Trading",M48)),"Supplier",
        ISNUMBER(SEARCH("Al Zaehaan",M48)),"Supplier",
        ISNUMBER(SEARCH("Ali Abdullah K Al Darwish",M48)),"Service Provider",
        ISNUMBER(SEARCH("Bupa Arabia",M48)),"Insurance Company",
        ISNUMBER(SEARCH("Dar Fahoosaat",M48)),"Service Provider",
        ISNUMBER(SEARCH("General Authority of Zakat",M48)),"Tax Authority",
        ISNUMBER(SEARCH("Gulf Voyager",M48)),"Service Provider",
        ISNUMBER(SEARCH("Hopeway Trading",M48)),"Supplier",
        ISNUMBER(SEARCH("Interhealth Medical",M48)),"Customer",
        ISNUMBER(SEARCH("Ishaar",M48)),"Service Provider",
        ISNUMBER(SEARCH("ISO Arabia",M48)),"Service Provider",
        ISNUMBER(SEARCH("Khalid Saad Al Otaibi",M48)),"Supplier",
        ISNUMBER(SEARCH("MERAS for Decoration",M48)),"Supplier",
        ISNUMBER(SEARCH("Middle East Customs Clearance",M48)),"Service Provider",
        ISNUMBER(SEARCH("Ministry of Human Resources",M48)),"Regulatory Agency",
        ISNUMBER(SEARCH("My Business Services",M48)),"Service Provider",
        ISNUMBER(SEARCH("National Water Company",M48)),"Utility Provider",
        ISNUMBER(SEARCH("Rania Contracting",M48)),"Supplier",
        ISNUMBER(SEARCH("Sahab United Motors",M48)),"Supplier",
        ISNUMBER(SEARCH("Saudi Electric Company",M48)),"Utility Provider",
        ISNUMBER(SEARCH("Saudi Vetonit",M48)),"Supplier",
        ISNUMBER(SEARCH("Shomoul Eng",M48)),"Service Provider",
        ISNUMBER(SEARCH("STC",M48)),"Utility Provider",
        ISNUMBER(SEARCH("The General Organization for Social Insurance",M48)),"Social Insurance Agency",
        ISNUMBER(SEARCH("TUV Rheinland",M48)),"Service Provider",
        ISNUMBER(SEARCH("Al Arabia Ceramic",M48)),"Supplier",
        ISNUMBER(SEARCH("National Company for Building",M48)),"Customer",
        ISNUMBER(SEARCH("Athraa Holding",M48)),"Customer",
        ISNUMBER(SEARCH("Al Rasan",M48)),"Supplier",
        ISNUMBER(SEARCH("Raboua Al Haid",M48)),"Customer",
        ISNUMBER(SEARCH("Al Jazeera Paint",M48)),"Supplier",
        ISNUMBER(SEARCH("Rania Works Contracting",M48)),"Supplier",
        ISNUMBER(SEARCH("Bandar Jarallah",M48)),"Supplier",
        TRUE,"Supplier"
    ),
    "-"
)</f>
        <v>Shareholder</v>
      </c>
      <c r="AD48" s="25" t="str" cm="1">
        <f t="array" ref="AD48">_xlfn.IFNA(
    _xlfn.IFS(
        AC48="Same Company","High",
        AC48="Shareholder","High",
        AC48="Government","High",
        AC48="Bank","High",
        AC48="Lender","High",
        AC48="Unknown","Low",
        AC48="-","Low",
        TRUE,"Medium"
    ),
    "-"
)</f>
        <v>High</v>
      </c>
      <c r="AE48" s="25" t="str">
        <f t="shared" si="2"/>
        <v>-</v>
      </c>
      <c r="AF48" s="25" t="str" cm="1">
        <f t="array" ref="AF48">_xlfn.IFNA(
    _xlfn.IFS(
        K48="Credit",
            _xlfn.IFS(
                OR(ISNUMBER(SEARCH("Rejected",L48)),ISNUMBER(SEARCH("Returned",L48))),"Other Income",
                TRUE,"Revenue"
            ),
        K48="Debit",
            _xlfn.IFS(
                ISNUMBER(SEARCH("Payroll",L48)),"OPEX",
                ISNUMBER(SEARCH("Expatriate",L48)),"OPEX",
                ISNUMBER(SEARCH("Zakat",M48)),"ZATCA",
                ISNUMBER(SEARCH("General Organization for Social Insurance",M48)),"OPEX",
                ISNUMBER(SEARCH("Saudi Electric",M48)),"OPEX",
                ISNUMBER(SEARCH("STC",M48)),"OPEX",
                ISNUMBER(SEARCH("National Water",M48)),"OPEX",
                ISNUMBER(SEARCH("Bupa",M48)),"OPEX",
                ISNUMBER(SEARCH("Abdullah Abdulkarim",M48)),"OPEX",
                ISNUMBER(SEARCH("Abdullah Fahad",M48)),"OPEX",
                ISNUMBER(SEARCH("ISO Arabia",M48)),"OPEX",
                ISNUMBER(SEARCH("Gulf Voyager",M48)),"OPEX",
                ISNUMBER(SEARCH("Ministry",M48)),"OPEX",
                ISNUMBER(SEARCH("General Authority of Zakat",M48)),"ZATCA",
                ISNUMBER(SEARCH("Rejected",L48)),"Other Income",
                TRUE,"COGS"
            ),
        TRUE,"-"
    ),
    "-"
)</f>
        <v>COGS</v>
      </c>
      <c r="AG48" s="25" t="str" cm="1">
        <f t="array" ref="AG48">_xlfn.IFNA(
    _xlfn.IFS(
        ISNUMBER(SEARCH("Payroll",L48)),"Payroll",
        ISNUMBER(SEARCH("Expatriate",L48)),"Government Fees",
        ISNUMBER(SEARCH("Zakat",M48)),"Zakat",
        ISNUMBER(SEARCH("Social Insurance",M48)),"Social Insurance",
        ISNUMBER(SEARCH("Saudi Electric",M48)),"Electricity",
        ISNUMBER(SEARCH("STC",M48)),"Telecom",
        ISNUMBER(SEARCH("National Water",M48)),"Water",
        ISNUMBER(SEARCH("Bupa",M48)),"Insurance",
        ISNUMBER(SEARCH("Gulf Voyager",M48)),"Travel",
        ISNUMBER(SEARCH("Ministry",M48)),"Government Fees",
        ISNUMBER(SEARCH("Abdullah Abdulkarim",M48)),"Consulting",
        ISNUMBER(SEARCH("Abdullah Fahad",M48)),"Accounting",
        ISNUMBER(SEARCH("ISO Arabia",M48)),"Consulting",
        ISNUMBER(SEARCH("Rejected",L48)),"Refund",
        AF48="COGS","Inventory Purchase",
        AF48="Revenue","Revenue",
        AF48="OPEX","Other",
        AF48="ZATCA","Zakat",
        TRUE,"-"
    ),
    "-"
)</f>
        <v>Inventory Purchase</v>
      </c>
      <c r="AH48" s="25" t="str" cm="1">
        <f t="array" ref="AH48">_xlfn.IFNA(
    _xlfn.IFS(
        AF48="-","Low",
        AF48="Other","Low",
        TRUE,"Medium"
    ),
    "-"
)</f>
        <v>Medium</v>
      </c>
      <c r="AI48" s="25" t="str">
        <f t="shared" si="3"/>
        <v>-</v>
      </c>
    </row>
    <row r="49" spans="1:35" x14ac:dyDescent="0.25">
      <c r="A49" s="10">
        <v>3</v>
      </c>
      <c r="B49" s="10" t="s">
        <v>35</v>
      </c>
      <c r="C49" s="10" t="s">
        <v>36</v>
      </c>
      <c r="D49" s="10" t="s">
        <v>37</v>
      </c>
      <c r="E49" s="10" t="s">
        <v>38</v>
      </c>
      <c r="F49" s="11" t="s">
        <v>39</v>
      </c>
      <c r="G49" s="11" t="s">
        <v>40</v>
      </c>
      <c r="H49" s="12">
        <v>44928</v>
      </c>
      <c r="I49" s="20">
        <v>270250.67</v>
      </c>
      <c r="J49" s="20">
        <v>10051.15</v>
      </c>
      <c r="K49" s="10" t="s">
        <v>41</v>
      </c>
      <c r="L49" s="9" t="s">
        <v>56</v>
      </c>
      <c r="M49" s="9" t="s">
        <v>185</v>
      </c>
      <c r="N49" s="9" t="s">
        <v>186</v>
      </c>
      <c r="O49" s="9" t="s">
        <v>72</v>
      </c>
      <c r="P49" s="15">
        <v>44928</v>
      </c>
      <c r="Q49" s="9" t="s">
        <v>188</v>
      </c>
      <c r="R49" s="16">
        <v>10050</v>
      </c>
      <c r="S49" s="18">
        <v>1</v>
      </c>
      <c r="T49" s="18">
        <v>0.15</v>
      </c>
      <c r="U49" s="9" t="s">
        <v>55</v>
      </c>
      <c r="V49" s="24" t="str" cm="1">
        <f t="array" ref="V49">_xlfn.IFNA(
    _xlfn.IFS(
        ISNUMBER(SEARCH("Fast Outgoing Transfer",L49)),"Transfer",
        ISNUMBER(SEARCH("Incoming Fast Transfer",L49)),"Transfer",
        ISNUMBER(SEARCH("Outgoing International Transfer",L49)),"Transfer",
        ISNUMBER(SEARCH("Bill Payment",L49)),"SADAD",
        ISNUMBER(SEARCH("Payroll",L49)),"Payroll",
        ISNUMBER(SEARCH("Cash Deposit",L49)),"Cash",
        ISNUMBER(SEARCH("Internal Transfer",L49)),"Transfer",
        ISNUMBER(SEARCH("Expatriate Services Payment",L49)),"SADAD",
        ISNUMBER(SEARCH("Rejected",L49)),"Transfer"
    ),
    "-"
)</f>
        <v>Transfer</v>
      </c>
      <c r="W49" s="25" t="str" cm="1">
        <f t="array" ref="W49">_xlfn.IFNA(
    _xlfn.IFS(
        AND(V49="Transfer",ISNUMBER(SEARCH("RIYAD BANK",L49))),"External FI",
        AND(V49="Transfer",ISNUMBER(SEARCH("Al Ahli",L49))),"External FI",
        AND(V49="Transfer",ISNUMBER(SEARCH("CIB via",L49))),"Local Transfer",
        AND(V49="Transfer",ISNUMBER(SEARCH("CIB)",L49))),"Local Transfer",
        AND(V49="Transfer",ISNUMBER(SEARCH("SMRT",L49))),"Local Transfer",
        AND(V49="Transfer",ISNUMBER(SEARCH("Al Murabba",L49))),"Local Transfer",
        AND(V49="Transfer",ISNUMBER(SEARCH("Internal Transfer",L49))),"Same FI",
        AND(V49="Transfer",ISNUMBER(SEARCH("Rejected",L49))),"Failed",
        V49="SADAD",
            _xlfn.IFS(
                ISNUMBER(SEARCH("Expatriate",L49)),"Expat Fees",
                TRUE,"Online Payment"
            ),
        V49="Payroll","Payroll",
        V49="Cash","Deposit",
        TRUE,"-"
    ),
    "-"
)</f>
        <v>Local Transfer</v>
      </c>
      <c r="X49" s="25" t="str" cm="1">
        <f t="array" ref="X49">_xlfn.IFNA(
    _xlfn.IFS(
        V49="-","Low",
        W49="-","Low",
        TRUE,"High"
    ),
    "-"
)</f>
        <v>High</v>
      </c>
      <c r="Y49" s="25" t="str">
        <f t="shared" si="0"/>
        <v>-</v>
      </c>
      <c r="Z49" s="25" t="str" cm="1">
        <f t="array" ref="Z49">_xlfn.IFNA(
    _xlfn.IFS(
        ISNUMBER(SEARCH("Abdul Latif Jameel",M49)),"Lender",
        ISNUMBER(SEARCH("Abdullah Abdulkarim Al Sudais",M49)),"Accounting",
        ISNUMBER(SEARCH("Abdullah Fahad for Accounting",M49)),"Accounting",
        ISNUMBER(SEARCH("Abdullah Rashid Shaikh",M49)),"Shareholder",
        ISNUMBER(SEARCH("Advanced Equipments",M49)),"Equipment Rental",
        ISNUMBER(SEARCH("Al Banuk Sana",M49)),"Telecom Company",
        ISNUMBER(SEARCH("Al Khaleefa Factory",M49)),"Manufacturer",
        ISNUMBER(SEARCH("Al Saadeh Trading",M49)),"Trading Company",
        ISNUMBER(SEARCH("Al Zaehaan",M49)),"Trading Company",
        ISNUMBER(SEARCH("Ali Abdullah K Al Darwish",M49)),"Airlines",
        ISNUMBER(SEARCH("Bupa Arabia",M49)),"Health Insurance",
        ISNUMBER(SEARCH("Dar Fahoosaat",M49)),"Consultant",
        ISNUMBER(SEARCH("General Authority of Zakat",M49)),"Tax Collection",
        ISNUMBER(SEARCH("Gulf Voyager",M49)),"Travel Agency",
        ISNUMBER(SEARCH("Hopeway Trading",M49)),"Trading Company",
        ISNUMBER(SEARCH("Interhealth Medical",M49)),"Medical Services",
        ISNUMBER(SEARCH("Ishaar",M49)),"Online Payment Service",
        ISNUMBER(SEARCH("ISO Arabia",M49)),"Certification",
        ISNUMBER(SEARCH("Khalid Saad Al Otaibi",M49)),"Trading Company",
        ISNUMBER(SEARCH("MERAS for Decoration",M49)),"Decor Company",
        ISNUMBER(SEARCH("Middle East Customs Clearance",M49)),"Customs",
        ISNUMBER(SEARCH("Ministry of Human Resources",M49)),"Government",
        ISNUMBER(SEARCH("My Business Services",M49)),"Service Provider",
        ISNUMBER(SEARCH("National Water Company",M49)),"Water Company",
        ISNUMBER(SEARCH("Rania Contracting",M49)),"Contracting",
        ISNUMBER(SEARCH("Rashid Ali Sheikh",M49)),"Shareholder",
        ISNUMBER(SEARCH("Sahab United Motors",M49)),"Car Show Room",
        ISNUMBER(SEARCH("Saud Mohammed Al Tamimi",M49)),"Shareholder",
        ISNUMBER(SEARCH("Saud Mohammed Tamimi",M49)),"Shareholder",
        ISNUMBER(SEARCH("Saudi Electric Company",M49)),"Electricity Company",
        ISNUMBER(SEARCH("Saudi Vetonit",M49)),"Building Materials",
        ISNUMBER(SEARCH("Shomoul Eng",M49)),"Safety",
        ISNUMBER(SEARCH("STC",M49)),"Telecom Company",
        ISNUMBER(SEARCH("The General Organization for Social Insurance",M49)),"Social Insurance Agency",
        ISNUMBER(SEARCH("TUV Rheinland",M49)),"Certification",
        ISNUMBER(SEARCH("Al Arabia Ceramic",M49)),"Building Materials",
        ISNUMBER(SEARCH("National Company for Building and Marketing",M49)),"Parent Company",
        ISNUMBER(SEARCH("Athraa Holding",M49)),"Holding Company",
        ISNUMBER(SEARCH("Al Rasan",M49)),"Contracting",
        ISNUMBER(SEARCH("Raboua Al Haid",M49)),"Trading Company",
        ISNUMBER(SEARCH("Al Jazeera Paint",M49)),"Manufacturer",
        ISNUMBER(SEARCH("Rania Works Contracting",M49)),"Contracting",
        ISNUMBER(SEARCH("Bandar Jarallah",M49)),"Trading Establishment",
        ISNUMBER(SEARCH("RS Infratec Saudi",M49)),"Same Company",
        ISNUMBER(SEARCH("Payroll",M49)),"Bank",
        ISNUMBER(SEARCH("Expatriate",M49)),"Government",
        ISNUMBER(SEARCH("Unknown Sender",M49)),"Unknown",
        TRUE,"Unknown"
    ),
    "-"
)</f>
        <v>Shareholder</v>
      </c>
      <c r="AA49" s="25" t="str" cm="1">
        <f t="array" ref="AA49">_xlfn.IFNA(
    _xlfn.IFS(
        Z49="Lender","Financing",
        Z49="Accounting","Accounting",
        Z49="Shareholder","Individual",
        Z49="Equipment Rental","Equipment Rental",
        Z49="Telecom Company","Telecom",
        Z49="Manufacturer","Manufacturer",
        Z49="Trading Company","Trading And Transport",
        Z49="Trading Establishment","Trading",
        Z49="Airlines","Airlines",
        Z49="Health Insurance","Insurance",
        Z49="Consultant","Consultant",
        Z49="Tax Collection","Government",
        Z49="Travel Agency","Travel Agency",
        Z49="Medical Services","Medical Center",
        Z49="Online Payment Service","Payment Facilitator",
        Z49="Certification","Safety",
        Z49="Decor Company","Design",
        Z49="Customs","Customs",
        Z49="Government","Government",
        Z49="Service Provider","Service Provider",
        Z49="Water Company","Water Company",
        Z49="Contracting","Contracting",
        Z49="Car Show Room","Car Trader",
        Z49="Electricity Company","Electricity Company",
        Z49="Building Materials","Building Materials",
        Z49="Safety","Safety",
        Z49="Social Insurance Agency","Government Fund",
        Z49="Parent Company","Holding Company",
        Z49="Holding Company","Holding Company",
        Z49="Same Company","Construction",
        Z49="Bank","Bank",
        Z49="Unknown","Unknown",
        TRUE,"-"
    ),
    "-"
)</f>
        <v>Individual</v>
      </c>
      <c r="AB49" s="25" t="str">
        <f t="shared" si="1"/>
        <v>-</v>
      </c>
      <c r="AC49" s="25" t="str" cm="1">
        <f t="array" ref="AC49">_xlfn.IFNA(
    _xlfn.IFS(
        Z49="Shareholder","Shareholder",
        Z49="Same Company","Same Company",
        Z49="Bank","Bank",
        Z49="Government","Government",
        Z49="Social Insurance Agency","Government",
        Z49="Parent Company","Customer",
        Z49="Lender","Lender",
        Z49="Unknown","Unknown",
        ISNUMBER(SEARCH("Abdullah Abdulkarim",M49)),"Service Provider",
        ISNUMBER(SEARCH("Abdullah Fahad",M49)),"Service Provider",
        ISNUMBER(SEARCH("Advanced Equipments",M49)),"Supplier",
        ISNUMBER(SEARCH("Al Banuk Sana",M49)),"Supplier",
        ISNUMBER(SEARCH("Al Khaleefa Factory",M49)),"Supplier",
        ISNUMBER(SEARCH("Al Saadeh Trading",M49)),"Supplier",
        ISNUMBER(SEARCH("Al Zaehaan",M49)),"Supplier",
        ISNUMBER(SEARCH("Ali Abdullah K Al Darwish",M49)),"Service Provider",
        ISNUMBER(SEARCH("Bupa Arabia",M49)),"Insurance Company",
        ISNUMBER(SEARCH("Dar Fahoosaat",M49)),"Service Provider",
        ISNUMBER(SEARCH("General Authority of Zakat",M49)),"Tax Authority",
        ISNUMBER(SEARCH("Gulf Voyager",M49)),"Service Provider",
        ISNUMBER(SEARCH("Hopeway Trading",M49)),"Supplier",
        ISNUMBER(SEARCH("Interhealth Medical",M49)),"Customer",
        ISNUMBER(SEARCH("Ishaar",M49)),"Service Provider",
        ISNUMBER(SEARCH("ISO Arabia",M49)),"Service Provider",
        ISNUMBER(SEARCH("Khalid Saad Al Otaibi",M49)),"Supplier",
        ISNUMBER(SEARCH("MERAS for Decoration",M49)),"Supplier",
        ISNUMBER(SEARCH("Middle East Customs Clearance",M49)),"Service Provider",
        ISNUMBER(SEARCH("Ministry of Human Resources",M49)),"Regulatory Agency",
        ISNUMBER(SEARCH("My Business Services",M49)),"Service Provider",
        ISNUMBER(SEARCH("National Water Company",M49)),"Utility Provider",
        ISNUMBER(SEARCH("Rania Contracting",M49)),"Supplier",
        ISNUMBER(SEARCH("Sahab United Motors",M49)),"Supplier",
        ISNUMBER(SEARCH("Saudi Electric Company",M49)),"Utility Provider",
        ISNUMBER(SEARCH("Saudi Vetonit",M49)),"Supplier",
        ISNUMBER(SEARCH("Shomoul Eng",M49)),"Service Provider",
        ISNUMBER(SEARCH("STC",M49)),"Utility Provider",
        ISNUMBER(SEARCH("The General Organization for Social Insurance",M49)),"Social Insurance Agency",
        ISNUMBER(SEARCH("TUV Rheinland",M49)),"Service Provider",
        ISNUMBER(SEARCH("Al Arabia Ceramic",M49)),"Supplier",
        ISNUMBER(SEARCH("National Company for Building",M49)),"Customer",
        ISNUMBER(SEARCH("Athraa Holding",M49)),"Customer",
        ISNUMBER(SEARCH("Al Rasan",M49)),"Supplier",
        ISNUMBER(SEARCH("Raboua Al Haid",M49)),"Customer",
        ISNUMBER(SEARCH("Al Jazeera Paint",M49)),"Supplier",
        ISNUMBER(SEARCH("Rania Works Contracting",M49)),"Supplier",
        ISNUMBER(SEARCH("Bandar Jarallah",M49)),"Supplier",
        TRUE,"Supplier"
    ),
    "-"
)</f>
        <v>Shareholder</v>
      </c>
      <c r="AD49" s="25" t="str" cm="1">
        <f t="array" ref="AD49">_xlfn.IFNA(
    _xlfn.IFS(
        AC49="Same Company","High",
        AC49="Shareholder","High",
        AC49="Government","High",
        AC49="Bank","High",
        AC49="Lender","High",
        AC49="Unknown","Low",
        AC49="-","Low",
        TRUE,"Medium"
    ),
    "-"
)</f>
        <v>High</v>
      </c>
      <c r="AE49" s="25" t="str">
        <f t="shared" si="2"/>
        <v>-</v>
      </c>
      <c r="AF49" s="25" t="str" cm="1">
        <f t="array" ref="AF49">_xlfn.IFNA(
    _xlfn.IFS(
        K49="Credit",
            _xlfn.IFS(
                OR(ISNUMBER(SEARCH("Rejected",L49)),ISNUMBER(SEARCH("Returned",L49))),"Other Income",
                TRUE,"Revenue"
            ),
        K49="Debit",
            _xlfn.IFS(
                ISNUMBER(SEARCH("Payroll",L49)),"OPEX",
                ISNUMBER(SEARCH("Expatriate",L49)),"OPEX",
                ISNUMBER(SEARCH("Zakat",M49)),"ZATCA",
                ISNUMBER(SEARCH("General Organization for Social Insurance",M49)),"OPEX",
                ISNUMBER(SEARCH("Saudi Electric",M49)),"OPEX",
                ISNUMBER(SEARCH("STC",M49)),"OPEX",
                ISNUMBER(SEARCH("National Water",M49)),"OPEX",
                ISNUMBER(SEARCH("Bupa",M49)),"OPEX",
                ISNUMBER(SEARCH("Abdullah Abdulkarim",M49)),"OPEX",
                ISNUMBER(SEARCH("Abdullah Fahad",M49)),"OPEX",
                ISNUMBER(SEARCH("ISO Arabia",M49)),"OPEX",
                ISNUMBER(SEARCH("Gulf Voyager",M49)),"OPEX",
                ISNUMBER(SEARCH("Ministry",M49)),"OPEX",
                ISNUMBER(SEARCH("General Authority of Zakat",M49)),"ZATCA",
                ISNUMBER(SEARCH("Rejected",L49)),"Other Income",
                TRUE,"COGS"
            ),
        TRUE,"-"
    ),
    "-"
)</f>
        <v>COGS</v>
      </c>
      <c r="AG49" s="25" t="str" cm="1">
        <f t="array" ref="AG49">_xlfn.IFNA(
    _xlfn.IFS(
        ISNUMBER(SEARCH("Payroll",L49)),"Payroll",
        ISNUMBER(SEARCH("Expatriate",L49)),"Government Fees",
        ISNUMBER(SEARCH("Zakat",M49)),"Zakat",
        ISNUMBER(SEARCH("Social Insurance",M49)),"Social Insurance",
        ISNUMBER(SEARCH("Saudi Electric",M49)),"Electricity",
        ISNUMBER(SEARCH("STC",M49)),"Telecom",
        ISNUMBER(SEARCH("National Water",M49)),"Water",
        ISNUMBER(SEARCH("Bupa",M49)),"Insurance",
        ISNUMBER(SEARCH("Gulf Voyager",M49)),"Travel",
        ISNUMBER(SEARCH("Ministry",M49)),"Government Fees",
        ISNUMBER(SEARCH("Abdullah Abdulkarim",M49)),"Consulting",
        ISNUMBER(SEARCH("Abdullah Fahad",M49)),"Accounting",
        ISNUMBER(SEARCH("ISO Arabia",M49)),"Consulting",
        ISNUMBER(SEARCH("Rejected",L49)),"Refund",
        AF49="COGS","Inventory Purchase",
        AF49="Revenue","Revenue",
        AF49="OPEX","Other",
        AF49="ZATCA","Zakat",
        TRUE,"-"
    ),
    "-"
)</f>
        <v>Inventory Purchase</v>
      </c>
      <c r="AH49" s="25" t="str" cm="1">
        <f t="array" ref="AH49">_xlfn.IFNA(
    _xlfn.IFS(
        AF49="-","Low",
        AF49="Other","Low",
        TRUE,"Medium"
    ),
    "-"
)</f>
        <v>Medium</v>
      </c>
      <c r="AI49" s="25" t="str">
        <f t="shared" si="3"/>
        <v>-</v>
      </c>
    </row>
    <row r="50" spans="1:35" x14ac:dyDescent="0.25">
      <c r="A50" s="10">
        <v>3</v>
      </c>
      <c r="B50" s="10" t="s">
        <v>35</v>
      </c>
      <c r="C50" s="10" t="s">
        <v>36</v>
      </c>
      <c r="D50" s="10" t="s">
        <v>37</v>
      </c>
      <c r="E50" s="10" t="s">
        <v>38</v>
      </c>
      <c r="F50" s="11" t="s">
        <v>39</v>
      </c>
      <c r="G50" s="10" t="s">
        <v>40</v>
      </c>
      <c r="H50" s="12">
        <v>45053</v>
      </c>
      <c r="I50" s="20">
        <v>16853.78</v>
      </c>
      <c r="J50" s="20">
        <v>746.35</v>
      </c>
      <c r="K50" s="10" t="s">
        <v>41</v>
      </c>
      <c r="L50" s="9" t="s">
        <v>209</v>
      </c>
      <c r="M50" s="9" t="s">
        <v>210</v>
      </c>
      <c r="N50" s="9">
        <v>37001131483</v>
      </c>
      <c r="O50" s="9" t="s">
        <v>44</v>
      </c>
      <c r="P50" s="15">
        <v>45053</v>
      </c>
      <c r="Q50" s="9" t="s">
        <v>211</v>
      </c>
      <c r="R50" s="16">
        <v>746.35</v>
      </c>
      <c r="U50" s="9" t="s">
        <v>46</v>
      </c>
      <c r="V50" s="24" t="str" cm="1">
        <f t="array" ref="V50">_xlfn.IFNA(
    _xlfn.IFS(
        ISNUMBER(SEARCH("Fast Outgoing Transfer",L50)),"Transfer",
        ISNUMBER(SEARCH("Incoming Fast Transfer",L50)),"Transfer",
        ISNUMBER(SEARCH("Outgoing International Transfer",L50)),"Transfer",
        ISNUMBER(SEARCH("Bill Payment",L50)),"SADAD",
        ISNUMBER(SEARCH("Payroll",L50)),"Payroll",
        ISNUMBER(SEARCH("Cash Deposit",L50)),"Cash",
        ISNUMBER(SEARCH("Internal Transfer",L50)),"Transfer",
        ISNUMBER(SEARCH("Expatriate Services Payment",L50)),"SADAD",
        ISNUMBER(SEARCH("Rejected",L50)),"Transfer"
    ),
    "-"
)</f>
        <v>SADAD</v>
      </c>
      <c r="W50" s="25" t="str" cm="1">
        <f t="array" ref="W50">_xlfn.IFNA(
    _xlfn.IFS(
        AND(V50="Transfer",ISNUMBER(SEARCH("RIYAD BANK",L50))),"External FI",
        AND(V50="Transfer",ISNUMBER(SEARCH("Al Ahli",L50))),"External FI",
        AND(V50="Transfer",ISNUMBER(SEARCH("CIB via",L50))),"Local Transfer",
        AND(V50="Transfer",ISNUMBER(SEARCH("CIB)",L50))),"Local Transfer",
        AND(V50="Transfer",ISNUMBER(SEARCH("SMRT",L50))),"Local Transfer",
        AND(V50="Transfer",ISNUMBER(SEARCH("Al Murabba",L50))),"Local Transfer",
        AND(V50="Transfer",ISNUMBER(SEARCH("Internal Transfer",L50))),"Same FI",
        AND(V50="Transfer",ISNUMBER(SEARCH("Rejected",L50))),"Failed",
        V50="SADAD",
            _xlfn.IFS(
                ISNUMBER(SEARCH("Expatriate",L50)),"Expat Fees",
                TRUE,"Online Payment"
            ),
        V50="Payroll","Payroll",
        V50="Cash","Deposit",
        TRUE,"-"
    ),
    "-"
)</f>
        <v>Online Payment</v>
      </c>
      <c r="X50" s="25" t="str" cm="1">
        <f t="array" ref="X50">_xlfn.IFNA(
    _xlfn.IFS(
        V50="-","Low",
        W50="-","Low",
        TRUE,"High"
    ),
    "-"
)</f>
        <v>High</v>
      </c>
      <c r="Y50" s="25" t="str">
        <f t="shared" si="0"/>
        <v>-</v>
      </c>
      <c r="Z50" s="25" t="str" cm="1">
        <f t="array" ref="Z50">_xlfn.IFNA(
    _xlfn.IFS(
        ISNUMBER(SEARCH("Abdul Latif Jameel",M50)),"Lender",
        ISNUMBER(SEARCH("Abdullah Abdulkarim Al Sudais",M50)),"Accounting",
        ISNUMBER(SEARCH("Abdullah Fahad for Accounting",M50)),"Accounting",
        ISNUMBER(SEARCH("Abdullah Rashid Shaikh",M50)),"Shareholder",
        ISNUMBER(SEARCH("Advanced Equipments",M50)),"Equipment Rental",
        ISNUMBER(SEARCH("Al Banuk Sana",M50)),"Telecom Company",
        ISNUMBER(SEARCH("Al Khaleefa Factory",M50)),"Manufacturer",
        ISNUMBER(SEARCH("Al Saadeh Trading",M50)),"Trading Company",
        ISNUMBER(SEARCH("Al Zaehaan",M50)),"Trading Company",
        ISNUMBER(SEARCH("Ali Abdullah K Al Darwish",M50)),"Airlines",
        ISNUMBER(SEARCH("Bupa Arabia",M50)),"Health Insurance",
        ISNUMBER(SEARCH("Dar Fahoosaat",M50)),"Consultant",
        ISNUMBER(SEARCH("General Authority of Zakat",M50)),"Tax Collection",
        ISNUMBER(SEARCH("Gulf Voyager",M50)),"Travel Agency",
        ISNUMBER(SEARCH("Hopeway Trading",M50)),"Trading Company",
        ISNUMBER(SEARCH("Interhealth Medical",M50)),"Medical Services",
        ISNUMBER(SEARCH("Ishaar",M50)),"Online Payment Service",
        ISNUMBER(SEARCH("ISO Arabia",M50)),"Certification",
        ISNUMBER(SEARCH("Khalid Saad Al Otaibi",M50)),"Trading Company",
        ISNUMBER(SEARCH("MERAS for Decoration",M50)),"Decor Company",
        ISNUMBER(SEARCH("Middle East Customs Clearance",M50)),"Customs",
        ISNUMBER(SEARCH("Ministry of Human Resources",M50)),"Government",
        ISNUMBER(SEARCH("My Business Services",M50)),"Service Provider",
        ISNUMBER(SEARCH("National Water Company",M50)),"Water Company",
        ISNUMBER(SEARCH("Rania Contracting",M50)),"Contracting",
        ISNUMBER(SEARCH("Rashid Ali Sheikh",M50)),"Shareholder",
        ISNUMBER(SEARCH("Sahab United Motors",M50)),"Car Show Room",
        ISNUMBER(SEARCH("Saud Mohammed Al Tamimi",M50)),"Shareholder",
        ISNUMBER(SEARCH("Saud Mohammed Tamimi",M50)),"Shareholder",
        ISNUMBER(SEARCH("Saudi Electric Company",M50)),"Electricity Company",
        ISNUMBER(SEARCH("Saudi Vetonit",M50)),"Building Materials",
        ISNUMBER(SEARCH("Shomoul Eng",M50)),"Safety",
        ISNUMBER(SEARCH("STC",M50)),"Telecom Company",
        ISNUMBER(SEARCH("The General Organization for Social Insurance",M50)),"Social Insurance Agency",
        ISNUMBER(SEARCH("TUV Rheinland",M50)),"Certification",
        ISNUMBER(SEARCH("Al Arabia Ceramic",M50)),"Building Materials",
        ISNUMBER(SEARCH("National Company for Building and Marketing",M50)),"Parent Company",
        ISNUMBER(SEARCH("Athraa Holding",M50)),"Holding Company",
        ISNUMBER(SEARCH("Al Rasan",M50)),"Contracting",
        ISNUMBER(SEARCH("Raboua Al Haid",M50)),"Trading Company",
        ISNUMBER(SEARCH("Al Jazeera Paint",M50)),"Manufacturer",
        ISNUMBER(SEARCH("Rania Works Contracting",M50)),"Contracting",
        ISNUMBER(SEARCH("Bandar Jarallah",M50)),"Trading Establishment",
        ISNUMBER(SEARCH("RS Infratec Saudi",M50)),"Same Company",
        ISNUMBER(SEARCH("Payroll",M50)),"Bank",
        ISNUMBER(SEARCH("Expatriate",M50)),"Government",
        ISNUMBER(SEARCH("Unknown Sender",M50)),"Unknown",
        TRUE,"Unknown"
    ),
    "-"
)</f>
        <v>Telecom Company</v>
      </c>
      <c r="AA50" s="25" t="str" cm="1">
        <f t="array" ref="AA50">_xlfn.IFNA(
    _xlfn.IFS(
        Z50="Lender","Financing",
        Z50="Accounting","Accounting",
        Z50="Shareholder","Individual",
        Z50="Equipment Rental","Equipment Rental",
        Z50="Telecom Company","Telecom",
        Z50="Manufacturer","Manufacturer",
        Z50="Trading Company","Trading And Transport",
        Z50="Trading Establishment","Trading",
        Z50="Airlines","Airlines",
        Z50="Health Insurance","Insurance",
        Z50="Consultant","Consultant",
        Z50="Tax Collection","Government",
        Z50="Travel Agency","Travel Agency",
        Z50="Medical Services","Medical Center",
        Z50="Online Payment Service","Payment Facilitator",
        Z50="Certification","Safety",
        Z50="Decor Company","Design",
        Z50="Customs","Customs",
        Z50="Government","Government",
        Z50="Service Provider","Service Provider",
        Z50="Water Company","Water Company",
        Z50="Contracting","Contracting",
        Z50="Car Show Room","Car Trader",
        Z50="Electricity Company","Electricity Company",
        Z50="Building Materials","Building Materials",
        Z50="Safety","Safety",
        Z50="Social Insurance Agency","Government Fund",
        Z50="Parent Company","Holding Company",
        Z50="Holding Company","Holding Company",
        Z50="Same Company","Construction",
        Z50="Bank","Bank",
        Z50="Unknown","Unknown",
        TRUE,"-"
    ),
    "-"
)</f>
        <v>Telecom</v>
      </c>
      <c r="AB50" s="25" t="str">
        <f t="shared" si="1"/>
        <v>-</v>
      </c>
      <c r="AC50" s="25" t="str" cm="1">
        <f t="array" ref="AC50">_xlfn.IFNA(
    _xlfn.IFS(
        Z50="Shareholder","Shareholder",
        Z50="Same Company","Same Company",
        Z50="Bank","Bank",
        Z50="Government","Government",
        Z50="Social Insurance Agency","Government",
        Z50="Parent Company","Customer",
        Z50="Lender","Lender",
        Z50="Unknown","Unknown",
        ISNUMBER(SEARCH("Abdullah Abdulkarim",M50)),"Service Provider",
        ISNUMBER(SEARCH("Abdullah Fahad",M50)),"Service Provider",
        ISNUMBER(SEARCH("Advanced Equipments",M50)),"Supplier",
        ISNUMBER(SEARCH("Al Banuk Sana",M50)),"Supplier",
        ISNUMBER(SEARCH("Al Khaleefa Factory",M50)),"Supplier",
        ISNUMBER(SEARCH("Al Saadeh Trading",M50)),"Supplier",
        ISNUMBER(SEARCH("Al Zaehaan",M50)),"Supplier",
        ISNUMBER(SEARCH("Ali Abdullah K Al Darwish",M50)),"Service Provider",
        ISNUMBER(SEARCH("Bupa Arabia",M50)),"Insurance Company",
        ISNUMBER(SEARCH("Dar Fahoosaat",M50)),"Service Provider",
        ISNUMBER(SEARCH("General Authority of Zakat",M50)),"Tax Authority",
        ISNUMBER(SEARCH("Gulf Voyager",M50)),"Service Provider",
        ISNUMBER(SEARCH("Hopeway Trading",M50)),"Supplier",
        ISNUMBER(SEARCH("Interhealth Medical",M50)),"Customer",
        ISNUMBER(SEARCH("Ishaar",M50)),"Service Provider",
        ISNUMBER(SEARCH("ISO Arabia",M50)),"Service Provider",
        ISNUMBER(SEARCH("Khalid Saad Al Otaibi",M50)),"Supplier",
        ISNUMBER(SEARCH("MERAS for Decoration",M50)),"Supplier",
        ISNUMBER(SEARCH("Middle East Customs Clearance",M50)),"Service Provider",
        ISNUMBER(SEARCH("Ministry of Human Resources",M50)),"Regulatory Agency",
        ISNUMBER(SEARCH("My Business Services",M50)),"Service Provider",
        ISNUMBER(SEARCH("National Water Company",M50)),"Utility Provider",
        ISNUMBER(SEARCH("Rania Contracting",M50)),"Supplier",
        ISNUMBER(SEARCH("Sahab United Motors",M50)),"Supplier",
        ISNUMBER(SEARCH("Saudi Electric Company",M50)),"Utility Provider",
        ISNUMBER(SEARCH("Saudi Vetonit",M50)),"Supplier",
        ISNUMBER(SEARCH("Shomoul Eng",M50)),"Service Provider",
        ISNUMBER(SEARCH("STC",M50)),"Utility Provider",
        ISNUMBER(SEARCH("The General Organization for Social Insurance",M50)),"Social Insurance Agency",
        ISNUMBER(SEARCH("TUV Rheinland",M50)),"Service Provider",
        ISNUMBER(SEARCH("Al Arabia Ceramic",M50)),"Supplier",
        ISNUMBER(SEARCH("National Company for Building",M50)),"Customer",
        ISNUMBER(SEARCH("Athraa Holding",M50)),"Customer",
        ISNUMBER(SEARCH("Al Rasan",M50)),"Supplier",
        ISNUMBER(SEARCH("Raboua Al Haid",M50)),"Customer",
        ISNUMBER(SEARCH("Al Jazeera Paint",M50)),"Supplier",
        ISNUMBER(SEARCH("Rania Works Contracting",M50)),"Supplier",
        ISNUMBER(SEARCH("Bandar Jarallah",M50)),"Supplier",
        TRUE,"Supplier"
    ),
    "-"
)</f>
        <v>Utility Provider</v>
      </c>
      <c r="AD50" s="25" t="str" cm="1">
        <f t="array" ref="AD50">_xlfn.IFNA(
    _xlfn.IFS(
        AC50="Same Company","High",
        AC50="Shareholder","High",
        AC50="Government","High",
        AC50="Bank","High",
        AC50="Lender","High",
        AC50="Unknown","Low",
        AC50="-","Low",
        TRUE,"Medium"
    ),
    "-"
)</f>
        <v>Medium</v>
      </c>
      <c r="AE50" s="25" t="str">
        <f t="shared" si="2"/>
        <v>-</v>
      </c>
      <c r="AF50" s="25" t="str" cm="1">
        <f t="array" ref="AF50">_xlfn.IFNA(
    _xlfn.IFS(
        K50="Credit",
            _xlfn.IFS(
                OR(ISNUMBER(SEARCH("Rejected",L50)),ISNUMBER(SEARCH("Returned",L50))),"Other Income",
                TRUE,"Revenue"
            ),
        K50="Debit",
            _xlfn.IFS(
                ISNUMBER(SEARCH("Payroll",L50)),"OPEX",
                ISNUMBER(SEARCH("Expatriate",L50)),"OPEX",
                ISNUMBER(SEARCH("Zakat",M50)),"ZATCA",
                ISNUMBER(SEARCH("General Organization for Social Insurance",M50)),"OPEX",
                ISNUMBER(SEARCH("Saudi Electric",M50)),"OPEX",
                ISNUMBER(SEARCH("STC",M50)),"OPEX",
                ISNUMBER(SEARCH("National Water",M50)),"OPEX",
                ISNUMBER(SEARCH("Bupa",M50)),"OPEX",
                ISNUMBER(SEARCH("Abdullah Abdulkarim",M50)),"OPEX",
                ISNUMBER(SEARCH("Abdullah Fahad",M50)),"OPEX",
                ISNUMBER(SEARCH("ISO Arabia",M50)),"OPEX",
                ISNUMBER(SEARCH("Gulf Voyager",M50)),"OPEX",
                ISNUMBER(SEARCH("Ministry",M50)),"OPEX",
                ISNUMBER(SEARCH("General Authority of Zakat",M50)),"ZATCA",
                ISNUMBER(SEARCH("Rejected",L50)),"Other Income",
                TRUE,"COGS"
            ),
        TRUE,"-"
    ),
    "-"
)</f>
        <v>OPEX</v>
      </c>
      <c r="AG50" s="25" t="str" cm="1">
        <f t="array" ref="AG50">_xlfn.IFNA(
    _xlfn.IFS(
        ISNUMBER(SEARCH("Payroll",L50)),"Payroll",
        ISNUMBER(SEARCH("Expatriate",L50)),"Government Fees",
        ISNUMBER(SEARCH("Zakat",M50)),"Zakat",
        ISNUMBER(SEARCH("Social Insurance",M50)),"Social Insurance",
        ISNUMBER(SEARCH("Saudi Electric",M50)),"Electricity",
        ISNUMBER(SEARCH("STC",M50)),"Telecom",
        ISNUMBER(SEARCH("National Water",M50)),"Water",
        ISNUMBER(SEARCH("Bupa",M50)),"Insurance",
        ISNUMBER(SEARCH("Gulf Voyager",M50)),"Travel",
        ISNUMBER(SEARCH("Ministry",M50)),"Government Fees",
        ISNUMBER(SEARCH("Abdullah Abdulkarim",M50)),"Consulting",
        ISNUMBER(SEARCH("Abdullah Fahad",M50)),"Accounting",
        ISNUMBER(SEARCH("ISO Arabia",M50)),"Consulting",
        ISNUMBER(SEARCH("Rejected",L50)),"Refund",
        AF50="COGS","Inventory Purchase",
        AF50="Revenue","Revenue",
        AF50="OPEX","Other",
        AF50="ZATCA","Zakat",
        TRUE,"-"
    ),
    "-"
)</f>
        <v>Telecom</v>
      </c>
      <c r="AH50" s="25" t="str" cm="1">
        <f t="array" ref="AH50">_xlfn.IFNA(
    _xlfn.IFS(
        AF50="-","Low",
        AF50="Other","Low",
        TRUE,"Medium"
    ),
    "-"
)</f>
        <v>Medium</v>
      </c>
      <c r="AI50" s="25" t="str">
        <f t="shared" si="3"/>
        <v>-</v>
      </c>
    </row>
    <row r="51" spans="1:35" x14ac:dyDescent="0.25">
      <c r="A51" s="10">
        <v>3</v>
      </c>
      <c r="B51" s="10" t="s">
        <v>35</v>
      </c>
      <c r="C51" s="10" t="s">
        <v>36</v>
      </c>
      <c r="D51" s="10" t="s">
        <v>37</v>
      </c>
      <c r="E51" s="10" t="s">
        <v>38</v>
      </c>
      <c r="F51" s="11" t="s">
        <v>39</v>
      </c>
      <c r="G51" s="10" t="s">
        <v>40</v>
      </c>
      <c r="H51" s="12">
        <v>45053</v>
      </c>
      <c r="I51" s="20">
        <v>14914.28</v>
      </c>
      <c r="J51" s="20">
        <v>287.5</v>
      </c>
      <c r="K51" s="10" t="s">
        <v>41</v>
      </c>
      <c r="L51" s="9" t="s">
        <v>209</v>
      </c>
      <c r="M51" s="9" t="s">
        <v>210</v>
      </c>
      <c r="N51" s="9">
        <v>5115566069</v>
      </c>
      <c r="O51" s="9" t="s">
        <v>44</v>
      </c>
      <c r="P51" s="15">
        <v>45053</v>
      </c>
      <c r="Q51" s="9" t="s">
        <v>212</v>
      </c>
      <c r="R51" s="16">
        <v>287.5</v>
      </c>
      <c r="U51" s="9" t="s">
        <v>46</v>
      </c>
      <c r="V51" s="24" t="str" cm="1">
        <f t="array" ref="V51">_xlfn.IFNA(
    _xlfn.IFS(
        ISNUMBER(SEARCH("Fast Outgoing Transfer",L51)),"Transfer",
        ISNUMBER(SEARCH("Incoming Fast Transfer",L51)),"Transfer",
        ISNUMBER(SEARCH("Outgoing International Transfer",L51)),"Transfer",
        ISNUMBER(SEARCH("Bill Payment",L51)),"SADAD",
        ISNUMBER(SEARCH("Payroll",L51)),"Payroll",
        ISNUMBER(SEARCH("Cash Deposit",L51)),"Cash",
        ISNUMBER(SEARCH("Internal Transfer",L51)),"Transfer",
        ISNUMBER(SEARCH("Expatriate Services Payment",L51)),"SADAD",
        ISNUMBER(SEARCH("Rejected",L51)),"Transfer"
    ),
    "-"
)</f>
        <v>SADAD</v>
      </c>
      <c r="W51" s="25" t="str" cm="1">
        <f t="array" ref="W51">_xlfn.IFNA(
    _xlfn.IFS(
        AND(V51="Transfer",ISNUMBER(SEARCH("RIYAD BANK",L51))),"External FI",
        AND(V51="Transfer",ISNUMBER(SEARCH("Al Ahli",L51))),"External FI",
        AND(V51="Transfer",ISNUMBER(SEARCH("CIB via",L51))),"Local Transfer",
        AND(V51="Transfer",ISNUMBER(SEARCH("CIB)",L51))),"Local Transfer",
        AND(V51="Transfer",ISNUMBER(SEARCH("SMRT",L51))),"Local Transfer",
        AND(V51="Transfer",ISNUMBER(SEARCH("Al Murabba",L51))),"Local Transfer",
        AND(V51="Transfer",ISNUMBER(SEARCH("Internal Transfer",L51))),"Same FI",
        AND(V51="Transfer",ISNUMBER(SEARCH("Rejected",L51))),"Failed",
        V51="SADAD",
            _xlfn.IFS(
                ISNUMBER(SEARCH("Expatriate",L51)),"Expat Fees",
                TRUE,"Online Payment"
            ),
        V51="Payroll","Payroll",
        V51="Cash","Deposit",
        TRUE,"-"
    ),
    "-"
)</f>
        <v>Online Payment</v>
      </c>
      <c r="X51" s="25" t="str" cm="1">
        <f t="array" ref="X51">_xlfn.IFNA(
    _xlfn.IFS(
        V51="-","Low",
        W51="-","Low",
        TRUE,"High"
    ),
    "-"
)</f>
        <v>High</v>
      </c>
      <c r="Y51" s="25" t="str">
        <f t="shared" si="0"/>
        <v>-</v>
      </c>
      <c r="Z51" s="25" t="str" cm="1">
        <f t="array" ref="Z51">_xlfn.IFNA(
    _xlfn.IFS(
        ISNUMBER(SEARCH("Abdul Latif Jameel",M51)),"Lender",
        ISNUMBER(SEARCH("Abdullah Abdulkarim Al Sudais",M51)),"Accounting",
        ISNUMBER(SEARCH("Abdullah Fahad for Accounting",M51)),"Accounting",
        ISNUMBER(SEARCH("Abdullah Rashid Shaikh",M51)),"Shareholder",
        ISNUMBER(SEARCH("Advanced Equipments",M51)),"Equipment Rental",
        ISNUMBER(SEARCH("Al Banuk Sana",M51)),"Telecom Company",
        ISNUMBER(SEARCH("Al Khaleefa Factory",M51)),"Manufacturer",
        ISNUMBER(SEARCH("Al Saadeh Trading",M51)),"Trading Company",
        ISNUMBER(SEARCH("Al Zaehaan",M51)),"Trading Company",
        ISNUMBER(SEARCH("Ali Abdullah K Al Darwish",M51)),"Airlines",
        ISNUMBER(SEARCH("Bupa Arabia",M51)),"Health Insurance",
        ISNUMBER(SEARCH("Dar Fahoosaat",M51)),"Consultant",
        ISNUMBER(SEARCH("General Authority of Zakat",M51)),"Tax Collection",
        ISNUMBER(SEARCH("Gulf Voyager",M51)),"Travel Agency",
        ISNUMBER(SEARCH("Hopeway Trading",M51)),"Trading Company",
        ISNUMBER(SEARCH("Interhealth Medical",M51)),"Medical Services",
        ISNUMBER(SEARCH("Ishaar",M51)),"Online Payment Service",
        ISNUMBER(SEARCH("ISO Arabia",M51)),"Certification",
        ISNUMBER(SEARCH("Khalid Saad Al Otaibi",M51)),"Trading Company",
        ISNUMBER(SEARCH("MERAS for Decoration",M51)),"Decor Company",
        ISNUMBER(SEARCH("Middle East Customs Clearance",M51)),"Customs",
        ISNUMBER(SEARCH("Ministry of Human Resources",M51)),"Government",
        ISNUMBER(SEARCH("My Business Services",M51)),"Service Provider",
        ISNUMBER(SEARCH("National Water Company",M51)),"Water Company",
        ISNUMBER(SEARCH("Rania Contracting",M51)),"Contracting",
        ISNUMBER(SEARCH("Rashid Ali Sheikh",M51)),"Shareholder",
        ISNUMBER(SEARCH("Sahab United Motors",M51)),"Car Show Room",
        ISNUMBER(SEARCH("Saud Mohammed Al Tamimi",M51)),"Shareholder",
        ISNUMBER(SEARCH("Saud Mohammed Tamimi",M51)),"Shareholder",
        ISNUMBER(SEARCH("Saudi Electric Company",M51)),"Electricity Company",
        ISNUMBER(SEARCH("Saudi Vetonit",M51)),"Building Materials",
        ISNUMBER(SEARCH("Shomoul Eng",M51)),"Safety",
        ISNUMBER(SEARCH("STC",M51)),"Telecom Company",
        ISNUMBER(SEARCH("The General Organization for Social Insurance",M51)),"Social Insurance Agency",
        ISNUMBER(SEARCH("TUV Rheinland",M51)),"Certification",
        ISNUMBER(SEARCH("Al Arabia Ceramic",M51)),"Building Materials",
        ISNUMBER(SEARCH("National Company for Building and Marketing",M51)),"Parent Company",
        ISNUMBER(SEARCH("Athraa Holding",M51)),"Holding Company",
        ISNUMBER(SEARCH("Al Rasan",M51)),"Contracting",
        ISNUMBER(SEARCH("Raboua Al Haid",M51)),"Trading Company",
        ISNUMBER(SEARCH("Al Jazeera Paint",M51)),"Manufacturer",
        ISNUMBER(SEARCH("Rania Works Contracting",M51)),"Contracting",
        ISNUMBER(SEARCH("Bandar Jarallah",M51)),"Trading Establishment",
        ISNUMBER(SEARCH("RS Infratec Saudi",M51)),"Same Company",
        ISNUMBER(SEARCH("Payroll",M51)),"Bank",
        ISNUMBER(SEARCH("Expatriate",M51)),"Government",
        ISNUMBER(SEARCH("Unknown Sender",M51)),"Unknown",
        TRUE,"Unknown"
    ),
    "-"
)</f>
        <v>Telecom Company</v>
      </c>
      <c r="AA51" s="25" t="str" cm="1">
        <f t="array" ref="AA51">_xlfn.IFNA(
    _xlfn.IFS(
        Z51="Lender","Financing",
        Z51="Accounting","Accounting",
        Z51="Shareholder","Individual",
        Z51="Equipment Rental","Equipment Rental",
        Z51="Telecom Company","Telecom",
        Z51="Manufacturer","Manufacturer",
        Z51="Trading Company","Trading And Transport",
        Z51="Trading Establishment","Trading",
        Z51="Airlines","Airlines",
        Z51="Health Insurance","Insurance",
        Z51="Consultant","Consultant",
        Z51="Tax Collection","Government",
        Z51="Travel Agency","Travel Agency",
        Z51="Medical Services","Medical Center",
        Z51="Online Payment Service","Payment Facilitator",
        Z51="Certification","Safety",
        Z51="Decor Company","Design",
        Z51="Customs","Customs",
        Z51="Government","Government",
        Z51="Service Provider","Service Provider",
        Z51="Water Company","Water Company",
        Z51="Contracting","Contracting",
        Z51="Car Show Room","Car Trader",
        Z51="Electricity Company","Electricity Company",
        Z51="Building Materials","Building Materials",
        Z51="Safety","Safety",
        Z51="Social Insurance Agency","Government Fund",
        Z51="Parent Company","Holding Company",
        Z51="Holding Company","Holding Company",
        Z51="Same Company","Construction",
        Z51="Bank","Bank",
        Z51="Unknown","Unknown",
        TRUE,"-"
    ),
    "-"
)</f>
        <v>Telecom</v>
      </c>
      <c r="AB51" s="25" t="str">
        <f t="shared" si="1"/>
        <v>-</v>
      </c>
      <c r="AC51" s="25" t="str" cm="1">
        <f t="array" ref="AC51">_xlfn.IFNA(
    _xlfn.IFS(
        Z51="Shareholder","Shareholder",
        Z51="Same Company","Same Company",
        Z51="Bank","Bank",
        Z51="Government","Government",
        Z51="Social Insurance Agency","Government",
        Z51="Parent Company","Customer",
        Z51="Lender","Lender",
        Z51="Unknown","Unknown",
        ISNUMBER(SEARCH("Abdullah Abdulkarim",M51)),"Service Provider",
        ISNUMBER(SEARCH("Abdullah Fahad",M51)),"Service Provider",
        ISNUMBER(SEARCH("Advanced Equipments",M51)),"Supplier",
        ISNUMBER(SEARCH("Al Banuk Sana",M51)),"Supplier",
        ISNUMBER(SEARCH("Al Khaleefa Factory",M51)),"Supplier",
        ISNUMBER(SEARCH("Al Saadeh Trading",M51)),"Supplier",
        ISNUMBER(SEARCH("Al Zaehaan",M51)),"Supplier",
        ISNUMBER(SEARCH("Ali Abdullah K Al Darwish",M51)),"Service Provider",
        ISNUMBER(SEARCH("Bupa Arabia",M51)),"Insurance Company",
        ISNUMBER(SEARCH("Dar Fahoosaat",M51)),"Service Provider",
        ISNUMBER(SEARCH("General Authority of Zakat",M51)),"Tax Authority",
        ISNUMBER(SEARCH("Gulf Voyager",M51)),"Service Provider",
        ISNUMBER(SEARCH("Hopeway Trading",M51)),"Supplier",
        ISNUMBER(SEARCH("Interhealth Medical",M51)),"Customer",
        ISNUMBER(SEARCH("Ishaar",M51)),"Service Provider",
        ISNUMBER(SEARCH("ISO Arabia",M51)),"Service Provider",
        ISNUMBER(SEARCH("Khalid Saad Al Otaibi",M51)),"Supplier",
        ISNUMBER(SEARCH("MERAS for Decoration",M51)),"Supplier",
        ISNUMBER(SEARCH("Middle East Customs Clearance",M51)),"Service Provider",
        ISNUMBER(SEARCH("Ministry of Human Resources",M51)),"Regulatory Agency",
        ISNUMBER(SEARCH("My Business Services",M51)),"Service Provider",
        ISNUMBER(SEARCH("National Water Company",M51)),"Utility Provider",
        ISNUMBER(SEARCH("Rania Contracting",M51)),"Supplier",
        ISNUMBER(SEARCH("Sahab United Motors",M51)),"Supplier",
        ISNUMBER(SEARCH("Saudi Electric Company",M51)),"Utility Provider",
        ISNUMBER(SEARCH("Saudi Vetonit",M51)),"Supplier",
        ISNUMBER(SEARCH("Shomoul Eng",M51)),"Service Provider",
        ISNUMBER(SEARCH("STC",M51)),"Utility Provider",
        ISNUMBER(SEARCH("The General Organization for Social Insurance",M51)),"Social Insurance Agency",
        ISNUMBER(SEARCH("TUV Rheinland",M51)),"Service Provider",
        ISNUMBER(SEARCH("Al Arabia Ceramic",M51)),"Supplier",
        ISNUMBER(SEARCH("National Company for Building",M51)),"Customer",
        ISNUMBER(SEARCH("Athraa Holding",M51)),"Customer",
        ISNUMBER(SEARCH("Al Rasan",M51)),"Supplier",
        ISNUMBER(SEARCH("Raboua Al Haid",M51)),"Customer",
        ISNUMBER(SEARCH("Al Jazeera Paint",M51)),"Supplier",
        ISNUMBER(SEARCH("Rania Works Contracting",M51)),"Supplier",
        ISNUMBER(SEARCH("Bandar Jarallah",M51)),"Supplier",
        TRUE,"Supplier"
    ),
    "-"
)</f>
        <v>Utility Provider</v>
      </c>
      <c r="AD51" s="25" t="str" cm="1">
        <f t="array" ref="AD51">_xlfn.IFNA(
    _xlfn.IFS(
        AC51="Same Company","High",
        AC51="Shareholder","High",
        AC51="Government","High",
        AC51="Bank","High",
        AC51="Lender","High",
        AC51="Unknown","Low",
        AC51="-","Low",
        TRUE,"Medium"
    ),
    "-"
)</f>
        <v>Medium</v>
      </c>
      <c r="AE51" s="25" t="str">
        <f t="shared" si="2"/>
        <v>-</v>
      </c>
      <c r="AF51" s="25" t="str" cm="1">
        <f t="array" ref="AF51">_xlfn.IFNA(
    _xlfn.IFS(
        K51="Credit",
            _xlfn.IFS(
                OR(ISNUMBER(SEARCH("Rejected",L51)),ISNUMBER(SEARCH("Returned",L51))),"Other Income",
                TRUE,"Revenue"
            ),
        K51="Debit",
            _xlfn.IFS(
                ISNUMBER(SEARCH("Payroll",L51)),"OPEX",
                ISNUMBER(SEARCH("Expatriate",L51)),"OPEX",
                ISNUMBER(SEARCH("Zakat",M51)),"ZATCA",
                ISNUMBER(SEARCH("General Organization for Social Insurance",M51)),"OPEX",
                ISNUMBER(SEARCH("Saudi Electric",M51)),"OPEX",
                ISNUMBER(SEARCH("STC",M51)),"OPEX",
                ISNUMBER(SEARCH("National Water",M51)),"OPEX",
                ISNUMBER(SEARCH("Bupa",M51)),"OPEX",
                ISNUMBER(SEARCH("Abdullah Abdulkarim",M51)),"OPEX",
                ISNUMBER(SEARCH("Abdullah Fahad",M51)),"OPEX",
                ISNUMBER(SEARCH("ISO Arabia",M51)),"OPEX",
                ISNUMBER(SEARCH("Gulf Voyager",M51)),"OPEX",
                ISNUMBER(SEARCH("Ministry",M51)),"OPEX",
                ISNUMBER(SEARCH("General Authority of Zakat",M51)),"ZATCA",
                ISNUMBER(SEARCH("Rejected",L51)),"Other Income",
                TRUE,"COGS"
            ),
        TRUE,"-"
    ),
    "-"
)</f>
        <v>OPEX</v>
      </c>
      <c r="AG51" s="25" t="str" cm="1">
        <f t="array" ref="AG51">_xlfn.IFNA(
    _xlfn.IFS(
        ISNUMBER(SEARCH("Payroll",L51)),"Payroll",
        ISNUMBER(SEARCH("Expatriate",L51)),"Government Fees",
        ISNUMBER(SEARCH("Zakat",M51)),"Zakat",
        ISNUMBER(SEARCH("Social Insurance",M51)),"Social Insurance",
        ISNUMBER(SEARCH("Saudi Electric",M51)),"Electricity",
        ISNUMBER(SEARCH("STC",M51)),"Telecom",
        ISNUMBER(SEARCH("National Water",M51)),"Water",
        ISNUMBER(SEARCH("Bupa",M51)),"Insurance",
        ISNUMBER(SEARCH("Gulf Voyager",M51)),"Travel",
        ISNUMBER(SEARCH("Ministry",M51)),"Government Fees",
        ISNUMBER(SEARCH("Abdullah Abdulkarim",M51)),"Consulting",
        ISNUMBER(SEARCH("Abdullah Fahad",M51)),"Accounting",
        ISNUMBER(SEARCH("ISO Arabia",M51)),"Consulting",
        ISNUMBER(SEARCH("Rejected",L51)),"Refund",
        AF51="COGS","Inventory Purchase",
        AF51="Revenue","Revenue",
        AF51="OPEX","Other",
        AF51="ZATCA","Zakat",
        TRUE,"-"
    ),
    "-"
)</f>
        <v>Telecom</v>
      </c>
      <c r="AH51" s="25" t="str" cm="1">
        <f t="array" ref="AH51">_xlfn.IFNA(
    _xlfn.IFS(
        AF51="-","Low",
        AF51="Other","Low",
        TRUE,"Medium"
    ),
    "-"
)</f>
        <v>Medium</v>
      </c>
      <c r="AI51" s="25" t="str">
        <f t="shared" si="3"/>
        <v>-</v>
      </c>
    </row>
    <row r="52" spans="1:35" x14ac:dyDescent="0.25">
      <c r="A52" s="10">
        <v>3</v>
      </c>
      <c r="B52" s="10" t="s">
        <v>35</v>
      </c>
      <c r="C52" s="10" t="s">
        <v>36</v>
      </c>
      <c r="D52" s="10" t="s">
        <v>37</v>
      </c>
      <c r="E52" s="10" t="s">
        <v>38</v>
      </c>
      <c r="F52" s="11" t="s">
        <v>39</v>
      </c>
      <c r="G52" s="11" t="s">
        <v>40</v>
      </c>
      <c r="H52" s="12">
        <v>45077</v>
      </c>
      <c r="I52" s="20">
        <v>88792.6</v>
      </c>
      <c r="J52" s="20">
        <v>748.65</v>
      </c>
      <c r="K52" s="10" t="s">
        <v>41</v>
      </c>
      <c r="L52" s="9" t="s">
        <v>209</v>
      </c>
      <c r="M52" s="9" t="s">
        <v>210</v>
      </c>
      <c r="N52" s="9">
        <v>37001131483</v>
      </c>
      <c r="O52" s="9" t="s">
        <v>44</v>
      </c>
      <c r="P52" s="15">
        <v>45077</v>
      </c>
      <c r="Q52" s="9" t="s">
        <v>213</v>
      </c>
      <c r="R52" s="16">
        <v>748.65</v>
      </c>
      <c r="U52" s="9" t="s">
        <v>46</v>
      </c>
      <c r="V52" s="24" t="str" cm="1">
        <f t="array" ref="V52">_xlfn.IFNA(
    _xlfn.IFS(
        ISNUMBER(SEARCH("Fast Outgoing Transfer",L52)),"Transfer",
        ISNUMBER(SEARCH("Incoming Fast Transfer",L52)),"Transfer",
        ISNUMBER(SEARCH("Outgoing International Transfer",L52)),"Transfer",
        ISNUMBER(SEARCH("Bill Payment",L52)),"SADAD",
        ISNUMBER(SEARCH("Payroll",L52)),"Payroll",
        ISNUMBER(SEARCH("Cash Deposit",L52)),"Cash",
        ISNUMBER(SEARCH("Internal Transfer",L52)),"Transfer",
        ISNUMBER(SEARCH("Expatriate Services Payment",L52)),"SADAD",
        ISNUMBER(SEARCH("Rejected",L52)),"Transfer"
    ),
    "-"
)</f>
        <v>SADAD</v>
      </c>
      <c r="W52" s="25" t="str" cm="1">
        <f t="array" ref="W52">_xlfn.IFNA(
    _xlfn.IFS(
        AND(V52="Transfer",ISNUMBER(SEARCH("RIYAD BANK",L52))),"External FI",
        AND(V52="Transfer",ISNUMBER(SEARCH("Al Ahli",L52))),"External FI",
        AND(V52="Transfer",ISNUMBER(SEARCH("CIB via",L52))),"Local Transfer",
        AND(V52="Transfer",ISNUMBER(SEARCH("CIB)",L52))),"Local Transfer",
        AND(V52="Transfer",ISNUMBER(SEARCH("SMRT",L52))),"Local Transfer",
        AND(V52="Transfer",ISNUMBER(SEARCH("Al Murabba",L52))),"Local Transfer",
        AND(V52="Transfer",ISNUMBER(SEARCH("Internal Transfer",L52))),"Same FI",
        AND(V52="Transfer",ISNUMBER(SEARCH("Rejected",L52))),"Failed",
        V52="SADAD",
            _xlfn.IFS(
                ISNUMBER(SEARCH("Expatriate",L52)),"Expat Fees",
                TRUE,"Online Payment"
            ),
        V52="Payroll","Payroll",
        V52="Cash","Deposit",
        TRUE,"-"
    ),
    "-"
)</f>
        <v>Online Payment</v>
      </c>
      <c r="X52" s="25" t="str" cm="1">
        <f t="array" ref="X52">_xlfn.IFNA(
    _xlfn.IFS(
        V52="-","Low",
        W52="-","Low",
        TRUE,"High"
    ),
    "-"
)</f>
        <v>High</v>
      </c>
      <c r="Y52" s="25" t="str">
        <f t="shared" si="0"/>
        <v>-</v>
      </c>
      <c r="Z52" s="25" t="str" cm="1">
        <f t="array" ref="Z52">_xlfn.IFNA(
    _xlfn.IFS(
        ISNUMBER(SEARCH("Abdul Latif Jameel",M52)),"Lender",
        ISNUMBER(SEARCH("Abdullah Abdulkarim Al Sudais",M52)),"Accounting",
        ISNUMBER(SEARCH("Abdullah Fahad for Accounting",M52)),"Accounting",
        ISNUMBER(SEARCH("Abdullah Rashid Shaikh",M52)),"Shareholder",
        ISNUMBER(SEARCH("Advanced Equipments",M52)),"Equipment Rental",
        ISNUMBER(SEARCH("Al Banuk Sana",M52)),"Telecom Company",
        ISNUMBER(SEARCH("Al Khaleefa Factory",M52)),"Manufacturer",
        ISNUMBER(SEARCH("Al Saadeh Trading",M52)),"Trading Company",
        ISNUMBER(SEARCH("Al Zaehaan",M52)),"Trading Company",
        ISNUMBER(SEARCH("Ali Abdullah K Al Darwish",M52)),"Airlines",
        ISNUMBER(SEARCH("Bupa Arabia",M52)),"Health Insurance",
        ISNUMBER(SEARCH("Dar Fahoosaat",M52)),"Consultant",
        ISNUMBER(SEARCH("General Authority of Zakat",M52)),"Tax Collection",
        ISNUMBER(SEARCH("Gulf Voyager",M52)),"Travel Agency",
        ISNUMBER(SEARCH("Hopeway Trading",M52)),"Trading Company",
        ISNUMBER(SEARCH("Interhealth Medical",M52)),"Medical Services",
        ISNUMBER(SEARCH("Ishaar",M52)),"Online Payment Service",
        ISNUMBER(SEARCH("ISO Arabia",M52)),"Certification",
        ISNUMBER(SEARCH("Khalid Saad Al Otaibi",M52)),"Trading Company",
        ISNUMBER(SEARCH("MERAS for Decoration",M52)),"Decor Company",
        ISNUMBER(SEARCH("Middle East Customs Clearance",M52)),"Customs",
        ISNUMBER(SEARCH("Ministry of Human Resources",M52)),"Government",
        ISNUMBER(SEARCH("My Business Services",M52)),"Service Provider",
        ISNUMBER(SEARCH("National Water Company",M52)),"Water Company",
        ISNUMBER(SEARCH("Rania Contracting",M52)),"Contracting",
        ISNUMBER(SEARCH("Rashid Ali Sheikh",M52)),"Shareholder",
        ISNUMBER(SEARCH("Sahab United Motors",M52)),"Car Show Room",
        ISNUMBER(SEARCH("Saud Mohammed Al Tamimi",M52)),"Shareholder",
        ISNUMBER(SEARCH("Saud Mohammed Tamimi",M52)),"Shareholder",
        ISNUMBER(SEARCH("Saudi Electric Company",M52)),"Electricity Company",
        ISNUMBER(SEARCH("Saudi Vetonit",M52)),"Building Materials",
        ISNUMBER(SEARCH("Shomoul Eng",M52)),"Safety",
        ISNUMBER(SEARCH("STC",M52)),"Telecom Company",
        ISNUMBER(SEARCH("The General Organization for Social Insurance",M52)),"Social Insurance Agency",
        ISNUMBER(SEARCH("TUV Rheinland",M52)),"Certification",
        ISNUMBER(SEARCH("Al Arabia Ceramic",M52)),"Building Materials",
        ISNUMBER(SEARCH("National Company for Building and Marketing",M52)),"Parent Company",
        ISNUMBER(SEARCH("Athraa Holding",M52)),"Holding Company",
        ISNUMBER(SEARCH("Al Rasan",M52)),"Contracting",
        ISNUMBER(SEARCH("Raboua Al Haid",M52)),"Trading Company",
        ISNUMBER(SEARCH("Al Jazeera Paint",M52)),"Manufacturer",
        ISNUMBER(SEARCH("Rania Works Contracting",M52)),"Contracting",
        ISNUMBER(SEARCH("Bandar Jarallah",M52)),"Trading Establishment",
        ISNUMBER(SEARCH("RS Infratec Saudi",M52)),"Same Company",
        ISNUMBER(SEARCH("Payroll",M52)),"Bank",
        ISNUMBER(SEARCH("Expatriate",M52)),"Government",
        ISNUMBER(SEARCH("Unknown Sender",M52)),"Unknown",
        TRUE,"Unknown"
    ),
    "-"
)</f>
        <v>Telecom Company</v>
      </c>
      <c r="AA52" s="25" t="str" cm="1">
        <f t="array" ref="AA52">_xlfn.IFNA(
    _xlfn.IFS(
        Z52="Lender","Financing",
        Z52="Accounting","Accounting",
        Z52="Shareholder","Individual",
        Z52="Equipment Rental","Equipment Rental",
        Z52="Telecom Company","Telecom",
        Z52="Manufacturer","Manufacturer",
        Z52="Trading Company","Trading And Transport",
        Z52="Trading Establishment","Trading",
        Z52="Airlines","Airlines",
        Z52="Health Insurance","Insurance",
        Z52="Consultant","Consultant",
        Z52="Tax Collection","Government",
        Z52="Travel Agency","Travel Agency",
        Z52="Medical Services","Medical Center",
        Z52="Online Payment Service","Payment Facilitator",
        Z52="Certification","Safety",
        Z52="Decor Company","Design",
        Z52="Customs","Customs",
        Z52="Government","Government",
        Z52="Service Provider","Service Provider",
        Z52="Water Company","Water Company",
        Z52="Contracting","Contracting",
        Z52="Car Show Room","Car Trader",
        Z52="Electricity Company","Electricity Company",
        Z52="Building Materials","Building Materials",
        Z52="Safety","Safety",
        Z52="Social Insurance Agency","Government Fund",
        Z52="Parent Company","Holding Company",
        Z52="Holding Company","Holding Company",
        Z52="Same Company","Construction",
        Z52="Bank","Bank",
        Z52="Unknown","Unknown",
        TRUE,"-"
    ),
    "-"
)</f>
        <v>Telecom</v>
      </c>
      <c r="AB52" s="25" t="str">
        <f t="shared" si="1"/>
        <v>-</v>
      </c>
      <c r="AC52" s="25" t="str" cm="1">
        <f t="array" ref="AC52">_xlfn.IFNA(
    _xlfn.IFS(
        Z52="Shareholder","Shareholder",
        Z52="Same Company","Same Company",
        Z52="Bank","Bank",
        Z52="Government","Government",
        Z52="Social Insurance Agency","Government",
        Z52="Parent Company","Customer",
        Z52="Lender","Lender",
        Z52="Unknown","Unknown",
        ISNUMBER(SEARCH("Abdullah Abdulkarim",M52)),"Service Provider",
        ISNUMBER(SEARCH("Abdullah Fahad",M52)),"Service Provider",
        ISNUMBER(SEARCH("Advanced Equipments",M52)),"Supplier",
        ISNUMBER(SEARCH("Al Banuk Sana",M52)),"Supplier",
        ISNUMBER(SEARCH("Al Khaleefa Factory",M52)),"Supplier",
        ISNUMBER(SEARCH("Al Saadeh Trading",M52)),"Supplier",
        ISNUMBER(SEARCH("Al Zaehaan",M52)),"Supplier",
        ISNUMBER(SEARCH("Ali Abdullah K Al Darwish",M52)),"Service Provider",
        ISNUMBER(SEARCH("Bupa Arabia",M52)),"Insurance Company",
        ISNUMBER(SEARCH("Dar Fahoosaat",M52)),"Service Provider",
        ISNUMBER(SEARCH("General Authority of Zakat",M52)),"Tax Authority",
        ISNUMBER(SEARCH("Gulf Voyager",M52)),"Service Provider",
        ISNUMBER(SEARCH("Hopeway Trading",M52)),"Supplier",
        ISNUMBER(SEARCH("Interhealth Medical",M52)),"Customer",
        ISNUMBER(SEARCH("Ishaar",M52)),"Service Provider",
        ISNUMBER(SEARCH("ISO Arabia",M52)),"Service Provider",
        ISNUMBER(SEARCH("Khalid Saad Al Otaibi",M52)),"Supplier",
        ISNUMBER(SEARCH("MERAS for Decoration",M52)),"Supplier",
        ISNUMBER(SEARCH("Middle East Customs Clearance",M52)),"Service Provider",
        ISNUMBER(SEARCH("Ministry of Human Resources",M52)),"Regulatory Agency",
        ISNUMBER(SEARCH("My Business Services",M52)),"Service Provider",
        ISNUMBER(SEARCH("National Water Company",M52)),"Utility Provider",
        ISNUMBER(SEARCH("Rania Contracting",M52)),"Supplier",
        ISNUMBER(SEARCH("Sahab United Motors",M52)),"Supplier",
        ISNUMBER(SEARCH("Saudi Electric Company",M52)),"Utility Provider",
        ISNUMBER(SEARCH("Saudi Vetonit",M52)),"Supplier",
        ISNUMBER(SEARCH("Shomoul Eng",M52)),"Service Provider",
        ISNUMBER(SEARCH("STC",M52)),"Utility Provider",
        ISNUMBER(SEARCH("The General Organization for Social Insurance",M52)),"Social Insurance Agency",
        ISNUMBER(SEARCH("TUV Rheinland",M52)),"Service Provider",
        ISNUMBER(SEARCH("Al Arabia Ceramic",M52)),"Supplier",
        ISNUMBER(SEARCH("National Company for Building",M52)),"Customer",
        ISNUMBER(SEARCH("Athraa Holding",M52)),"Customer",
        ISNUMBER(SEARCH("Al Rasan",M52)),"Supplier",
        ISNUMBER(SEARCH("Raboua Al Haid",M52)),"Customer",
        ISNUMBER(SEARCH("Al Jazeera Paint",M52)),"Supplier",
        ISNUMBER(SEARCH("Rania Works Contracting",M52)),"Supplier",
        ISNUMBER(SEARCH("Bandar Jarallah",M52)),"Supplier",
        TRUE,"Supplier"
    ),
    "-"
)</f>
        <v>Utility Provider</v>
      </c>
      <c r="AD52" s="25" t="str" cm="1">
        <f t="array" ref="AD52">_xlfn.IFNA(
    _xlfn.IFS(
        AC52="Same Company","High",
        AC52="Shareholder","High",
        AC52="Government","High",
        AC52="Bank","High",
        AC52="Lender","High",
        AC52="Unknown","Low",
        AC52="-","Low",
        TRUE,"Medium"
    ),
    "-"
)</f>
        <v>Medium</v>
      </c>
      <c r="AE52" s="25" t="str">
        <f t="shared" si="2"/>
        <v>-</v>
      </c>
      <c r="AF52" s="25" t="str" cm="1">
        <f t="array" ref="AF52">_xlfn.IFNA(
    _xlfn.IFS(
        K52="Credit",
            _xlfn.IFS(
                OR(ISNUMBER(SEARCH("Rejected",L52)),ISNUMBER(SEARCH("Returned",L52))),"Other Income",
                TRUE,"Revenue"
            ),
        K52="Debit",
            _xlfn.IFS(
                ISNUMBER(SEARCH("Payroll",L52)),"OPEX",
                ISNUMBER(SEARCH("Expatriate",L52)),"OPEX",
                ISNUMBER(SEARCH("Zakat",M52)),"ZATCA",
                ISNUMBER(SEARCH("General Organization for Social Insurance",M52)),"OPEX",
                ISNUMBER(SEARCH("Saudi Electric",M52)),"OPEX",
                ISNUMBER(SEARCH("STC",M52)),"OPEX",
                ISNUMBER(SEARCH("National Water",M52)),"OPEX",
                ISNUMBER(SEARCH("Bupa",M52)),"OPEX",
                ISNUMBER(SEARCH("Abdullah Abdulkarim",M52)),"OPEX",
                ISNUMBER(SEARCH("Abdullah Fahad",M52)),"OPEX",
                ISNUMBER(SEARCH("ISO Arabia",M52)),"OPEX",
                ISNUMBER(SEARCH("Gulf Voyager",M52)),"OPEX",
                ISNUMBER(SEARCH("Ministry",M52)),"OPEX",
                ISNUMBER(SEARCH("General Authority of Zakat",M52)),"ZATCA",
                ISNUMBER(SEARCH("Rejected",L52)),"Other Income",
                TRUE,"COGS"
            ),
        TRUE,"-"
    ),
    "-"
)</f>
        <v>OPEX</v>
      </c>
      <c r="AG52" s="25" t="str" cm="1">
        <f t="array" ref="AG52">_xlfn.IFNA(
    _xlfn.IFS(
        ISNUMBER(SEARCH("Payroll",L52)),"Payroll",
        ISNUMBER(SEARCH("Expatriate",L52)),"Government Fees",
        ISNUMBER(SEARCH("Zakat",M52)),"Zakat",
        ISNUMBER(SEARCH("Social Insurance",M52)),"Social Insurance",
        ISNUMBER(SEARCH("Saudi Electric",M52)),"Electricity",
        ISNUMBER(SEARCH("STC",M52)),"Telecom",
        ISNUMBER(SEARCH("National Water",M52)),"Water",
        ISNUMBER(SEARCH("Bupa",M52)),"Insurance",
        ISNUMBER(SEARCH("Gulf Voyager",M52)),"Travel",
        ISNUMBER(SEARCH("Ministry",M52)),"Government Fees",
        ISNUMBER(SEARCH("Abdullah Abdulkarim",M52)),"Consulting",
        ISNUMBER(SEARCH("Abdullah Fahad",M52)),"Accounting",
        ISNUMBER(SEARCH("ISO Arabia",M52)),"Consulting",
        ISNUMBER(SEARCH("Rejected",L52)),"Refund",
        AF52="COGS","Inventory Purchase",
        AF52="Revenue","Revenue",
        AF52="OPEX","Other",
        AF52="ZATCA","Zakat",
        TRUE,"-"
    ),
    "-"
)</f>
        <v>Telecom</v>
      </c>
      <c r="AH52" s="25" t="str" cm="1">
        <f t="array" ref="AH52">_xlfn.IFNA(
    _xlfn.IFS(
        AF52="-","Low",
        AF52="Other","Low",
        TRUE,"Medium"
    ),
    "-"
)</f>
        <v>Medium</v>
      </c>
      <c r="AI52" s="25" t="str">
        <f t="shared" si="3"/>
        <v>-</v>
      </c>
    </row>
    <row r="53" spans="1:35" x14ac:dyDescent="0.25">
      <c r="A53" s="10">
        <v>3</v>
      </c>
      <c r="B53" s="10" t="s">
        <v>35</v>
      </c>
      <c r="C53" s="10" t="s">
        <v>36</v>
      </c>
      <c r="D53" s="10" t="s">
        <v>37</v>
      </c>
      <c r="E53" s="10" t="s">
        <v>38</v>
      </c>
      <c r="F53" s="11" t="s">
        <v>39</v>
      </c>
      <c r="G53" s="10" t="s">
        <v>40</v>
      </c>
      <c r="H53" s="12">
        <v>45019</v>
      </c>
      <c r="I53" s="20">
        <v>59922.66</v>
      </c>
      <c r="J53" s="20">
        <v>13886.25</v>
      </c>
      <c r="K53" s="10" t="s">
        <v>41</v>
      </c>
      <c r="L53" s="9" t="s">
        <v>224</v>
      </c>
      <c r="M53" s="9" t="s">
        <v>225</v>
      </c>
      <c r="N53" s="9">
        <v>68201656408000</v>
      </c>
      <c r="O53" s="9" t="s">
        <v>226</v>
      </c>
      <c r="P53" s="15">
        <v>45019</v>
      </c>
      <c r="Q53" s="9" t="s">
        <v>227</v>
      </c>
      <c r="R53" s="16">
        <v>13886.25</v>
      </c>
      <c r="U53" s="9" t="s">
        <v>55</v>
      </c>
      <c r="V53" s="24" t="str" cm="1">
        <f t="array" ref="V53">_xlfn.IFNA(
    _xlfn.IFS(
        ISNUMBER(SEARCH("Fast Outgoing Transfer",L53)),"Transfer",
        ISNUMBER(SEARCH("Incoming Fast Transfer",L53)),"Transfer",
        ISNUMBER(SEARCH("Outgoing International Transfer",L53)),"Transfer",
        ISNUMBER(SEARCH("Bill Payment",L53)),"SADAD",
        ISNUMBER(SEARCH("Payroll",L53)),"Payroll",
        ISNUMBER(SEARCH("Cash Deposit",L53)),"Cash",
        ISNUMBER(SEARCH("Internal Transfer",L53)),"Transfer",
        ISNUMBER(SEARCH("Expatriate Services Payment",L53)),"SADAD",
        ISNUMBER(SEARCH("Rejected",L53)),"Transfer"
    ),
    "-"
)</f>
        <v>Transfer</v>
      </c>
      <c r="W53" s="25" t="str" cm="1">
        <f t="array" ref="W53">_xlfn.IFNA(
    _xlfn.IFS(
        AND(V53="Transfer",ISNUMBER(SEARCH("RIYAD BANK",L53))),"External FI",
        AND(V53="Transfer",ISNUMBER(SEARCH("Al Ahli",L53))),"External FI",
        AND(V53="Transfer",ISNUMBER(SEARCH("CIB via",L53))),"Local Transfer",
        AND(V53="Transfer",ISNUMBER(SEARCH("CIB)",L53))),"Local Transfer",
        AND(V53="Transfer",ISNUMBER(SEARCH("SMRT",L53))),"Local Transfer",
        AND(V53="Transfer",ISNUMBER(SEARCH("Al Murabba",L53))),"Local Transfer",
        AND(V53="Transfer",ISNUMBER(SEARCH("Internal Transfer",L53))),"Same FI",
        AND(V53="Transfer",ISNUMBER(SEARCH("Rejected",L53))),"Failed",
        V53="SADAD",
            _xlfn.IFS(
                ISNUMBER(SEARCH("Expatriate",L53)),"Expat Fees",
                TRUE,"Online Payment"
            ),
        V53="Payroll","Payroll",
        V53="Cash","Deposit",
        TRUE,"-"
    ),
    "-"
)</f>
        <v>Local Transfer</v>
      </c>
      <c r="X53" s="25" t="str" cm="1">
        <f t="array" ref="X53">_xlfn.IFNA(
    _xlfn.IFS(
        V53="-","Low",
        W53="-","Low",
        TRUE,"High"
    ),
    "-"
)</f>
        <v>High</v>
      </c>
      <c r="Y53" s="25" t="str">
        <f t="shared" si="0"/>
        <v>-</v>
      </c>
      <c r="Z53" s="25" t="str" cm="1">
        <f t="array" ref="Z53">_xlfn.IFNA(
    _xlfn.IFS(
        ISNUMBER(SEARCH("Abdul Latif Jameel",M53)),"Lender",
        ISNUMBER(SEARCH("Abdullah Abdulkarim Al Sudais",M53)),"Accounting",
        ISNUMBER(SEARCH("Abdullah Fahad for Accounting",M53)),"Accounting",
        ISNUMBER(SEARCH("Abdullah Rashid Shaikh",M53)),"Shareholder",
        ISNUMBER(SEARCH("Advanced Equipments",M53)),"Equipment Rental",
        ISNUMBER(SEARCH("Al Banuk Sana",M53)),"Telecom Company",
        ISNUMBER(SEARCH("Al Khaleefa Factory",M53)),"Manufacturer",
        ISNUMBER(SEARCH("Al Saadeh Trading",M53)),"Trading Company",
        ISNUMBER(SEARCH("Al Zaehaan",M53)),"Trading Company",
        ISNUMBER(SEARCH("Ali Abdullah K Al Darwish",M53)),"Airlines",
        ISNUMBER(SEARCH("Bupa Arabia",M53)),"Health Insurance",
        ISNUMBER(SEARCH("Dar Fahoosaat",M53)),"Consultant",
        ISNUMBER(SEARCH("General Authority of Zakat",M53)),"Tax Collection",
        ISNUMBER(SEARCH("Gulf Voyager",M53)),"Travel Agency",
        ISNUMBER(SEARCH("Hopeway Trading",M53)),"Trading Company",
        ISNUMBER(SEARCH("Interhealth Medical",M53)),"Medical Services",
        ISNUMBER(SEARCH("Ishaar",M53)),"Online Payment Service",
        ISNUMBER(SEARCH("ISO Arabia",M53)),"Certification",
        ISNUMBER(SEARCH("Khalid Saad Al Otaibi",M53)),"Trading Company",
        ISNUMBER(SEARCH("MERAS for Decoration",M53)),"Decor Company",
        ISNUMBER(SEARCH("Middle East Customs Clearance",M53)),"Customs",
        ISNUMBER(SEARCH("Ministry of Human Resources",M53)),"Government",
        ISNUMBER(SEARCH("My Business Services",M53)),"Service Provider",
        ISNUMBER(SEARCH("National Water Company",M53)),"Water Company",
        ISNUMBER(SEARCH("Rania Contracting",M53)),"Contracting",
        ISNUMBER(SEARCH("Rashid Ali Sheikh",M53)),"Shareholder",
        ISNUMBER(SEARCH("Sahab United Motors",M53)),"Car Show Room",
        ISNUMBER(SEARCH("Saud Mohammed Al Tamimi",M53)),"Shareholder",
        ISNUMBER(SEARCH("Saud Mohammed Tamimi",M53)),"Shareholder",
        ISNUMBER(SEARCH("Saudi Electric Company",M53)),"Electricity Company",
        ISNUMBER(SEARCH("Saudi Vetonit",M53)),"Building Materials",
        ISNUMBER(SEARCH("Shomoul Eng",M53)),"Safety",
        ISNUMBER(SEARCH("STC",M53)),"Telecom Company",
        ISNUMBER(SEARCH("The General Organization for Social Insurance",M53)),"Social Insurance Agency",
        ISNUMBER(SEARCH("TUV Rheinland",M53)),"Certification",
        ISNUMBER(SEARCH("Al Arabia Ceramic",M53)),"Building Materials",
        ISNUMBER(SEARCH("National Company for Building and Marketing",M53)),"Parent Company",
        ISNUMBER(SEARCH("Athraa Holding",M53)),"Holding Company",
        ISNUMBER(SEARCH("Al Rasan",M53)),"Contracting",
        ISNUMBER(SEARCH("Raboua Al Haid",M53)),"Trading Company",
        ISNUMBER(SEARCH("Al Jazeera Paint",M53)),"Manufacturer",
        ISNUMBER(SEARCH("Rania Works Contracting",M53)),"Contracting",
        ISNUMBER(SEARCH("Bandar Jarallah",M53)),"Trading Establishment",
        ISNUMBER(SEARCH("RS Infratec Saudi",M53)),"Same Company",
        ISNUMBER(SEARCH("Payroll",M53)),"Bank",
        ISNUMBER(SEARCH("Expatriate",M53)),"Government",
        ISNUMBER(SEARCH("Unknown Sender",M53)),"Unknown",
        TRUE,"Unknown"
    ),
    "-"
)</f>
        <v>Building Materials</v>
      </c>
      <c r="AA53" s="25" t="str" cm="1">
        <f t="array" ref="AA53">_xlfn.IFNA(
    _xlfn.IFS(
        Z53="Lender","Financing",
        Z53="Accounting","Accounting",
        Z53="Shareholder","Individual",
        Z53="Equipment Rental","Equipment Rental",
        Z53="Telecom Company","Telecom",
        Z53="Manufacturer","Manufacturer",
        Z53="Trading Company","Trading And Transport",
        Z53="Trading Establishment","Trading",
        Z53="Airlines","Airlines",
        Z53="Health Insurance","Insurance",
        Z53="Consultant","Consultant",
        Z53="Tax Collection","Government",
        Z53="Travel Agency","Travel Agency",
        Z53="Medical Services","Medical Center",
        Z53="Online Payment Service","Payment Facilitator",
        Z53="Certification","Safety",
        Z53="Decor Company","Design",
        Z53="Customs","Customs",
        Z53="Government","Government",
        Z53="Service Provider","Service Provider",
        Z53="Water Company","Water Company",
        Z53="Contracting","Contracting",
        Z53="Car Show Room","Car Trader",
        Z53="Electricity Company","Electricity Company",
        Z53="Building Materials","Building Materials",
        Z53="Safety","Safety",
        Z53="Social Insurance Agency","Government Fund",
        Z53="Parent Company","Holding Company",
        Z53="Holding Company","Holding Company",
        Z53="Same Company","Construction",
        Z53="Bank","Bank",
        Z53="Unknown","Unknown",
        TRUE,"-"
    ),
    "-"
)</f>
        <v>Building Materials</v>
      </c>
      <c r="AB53" s="25" t="str">
        <f t="shared" si="1"/>
        <v>-</v>
      </c>
      <c r="AC53" s="25" t="str" cm="1">
        <f t="array" ref="AC53">_xlfn.IFNA(
    _xlfn.IFS(
        Z53="Shareholder","Shareholder",
        Z53="Same Company","Same Company",
        Z53="Bank","Bank",
        Z53="Government","Government",
        Z53="Social Insurance Agency","Government",
        Z53="Parent Company","Customer",
        Z53="Lender","Lender",
        Z53="Unknown","Unknown",
        ISNUMBER(SEARCH("Abdullah Abdulkarim",M53)),"Service Provider",
        ISNUMBER(SEARCH("Abdullah Fahad",M53)),"Service Provider",
        ISNUMBER(SEARCH("Advanced Equipments",M53)),"Supplier",
        ISNUMBER(SEARCH("Al Banuk Sana",M53)),"Supplier",
        ISNUMBER(SEARCH("Al Khaleefa Factory",M53)),"Supplier",
        ISNUMBER(SEARCH("Al Saadeh Trading",M53)),"Supplier",
        ISNUMBER(SEARCH("Al Zaehaan",M53)),"Supplier",
        ISNUMBER(SEARCH("Ali Abdullah K Al Darwish",M53)),"Service Provider",
        ISNUMBER(SEARCH("Bupa Arabia",M53)),"Insurance Company",
        ISNUMBER(SEARCH("Dar Fahoosaat",M53)),"Service Provider",
        ISNUMBER(SEARCH("General Authority of Zakat",M53)),"Tax Authority",
        ISNUMBER(SEARCH("Gulf Voyager",M53)),"Service Provider",
        ISNUMBER(SEARCH("Hopeway Trading",M53)),"Supplier",
        ISNUMBER(SEARCH("Interhealth Medical",M53)),"Customer",
        ISNUMBER(SEARCH("Ishaar",M53)),"Service Provider",
        ISNUMBER(SEARCH("ISO Arabia",M53)),"Service Provider",
        ISNUMBER(SEARCH("Khalid Saad Al Otaibi",M53)),"Supplier",
        ISNUMBER(SEARCH("MERAS for Decoration",M53)),"Supplier",
        ISNUMBER(SEARCH("Middle East Customs Clearance",M53)),"Service Provider",
        ISNUMBER(SEARCH("Ministry of Human Resources",M53)),"Regulatory Agency",
        ISNUMBER(SEARCH("My Business Services",M53)),"Service Provider",
        ISNUMBER(SEARCH("National Water Company",M53)),"Utility Provider",
        ISNUMBER(SEARCH("Rania Contracting",M53)),"Supplier",
        ISNUMBER(SEARCH("Sahab United Motors",M53)),"Supplier",
        ISNUMBER(SEARCH("Saudi Electric Company",M53)),"Utility Provider",
        ISNUMBER(SEARCH("Saudi Vetonit",M53)),"Supplier",
        ISNUMBER(SEARCH("Shomoul Eng",M53)),"Service Provider",
        ISNUMBER(SEARCH("STC",M53)),"Utility Provider",
        ISNUMBER(SEARCH("The General Organization for Social Insurance",M53)),"Social Insurance Agency",
        ISNUMBER(SEARCH("TUV Rheinland",M53)),"Service Provider",
        ISNUMBER(SEARCH("Al Arabia Ceramic",M53)),"Supplier",
        ISNUMBER(SEARCH("National Company for Building",M53)),"Customer",
        ISNUMBER(SEARCH("Athraa Holding",M53)),"Customer",
        ISNUMBER(SEARCH("Al Rasan",M53)),"Supplier",
        ISNUMBER(SEARCH("Raboua Al Haid",M53)),"Customer",
        ISNUMBER(SEARCH("Al Jazeera Paint",M53)),"Supplier",
        ISNUMBER(SEARCH("Rania Works Contracting",M53)),"Supplier",
        ISNUMBER(SEARCH("Bandar Jarallah",M53)),"Supplier",
        TRUE,"Supplier"
    ),
    "-"
)</f>
        <v>Supplier</v>
      </c>
      <c r="AD53" s="25" t="str" cm="1">
        <f t="array" ref="AD53">_xlfn.IFNA(
    _xlfn.IFS(
        AC53="Same Company","High",
        AC53="Shareholder","High",
        AC53="Government","High",
        AC53="Bank","High",
        AC53="Lender","High",
        AC53="Unknown","Low",
        AC53="-","Low",
        TRUE,"Medium"
    ),
    "-"
)</f>
        <v>Medium</v>
      </c>
      <c r="AE53" s="25" t="str">
        <f t="shared" si="2"/>
        <v>-</v>
      </c>
      <c r="AF53" s="25" t="str" cm="1">
        <f t="array" ref="AF53">_xlfn.IFNA(
    _xlfn.IFS(
        K53="Credit",
            _xlfn.IFS(
                OR(ISNUMBER(SEARCH("Rejected",L53)),ISNUMBER(SEARCH("Returned",L53))),"Other Income",
                TRUE,"Revenue"
            ),
        K53="Debit",
            _xlfn.IFS(
                ISNUMBER(SEARCH("Payroll",L53)),"OPEX",
                ISNUMBER(SEARCH("Expatriate",L53)),"OPEX",
                ISNUMBER(SEARCH("Zakat",M53)),"ZATCA",
                ISNUMBER(SEARCH("General Organization for Social Insurance",M53)),"OPEX",
                ISNUMBER(SEARCH("Saudi Electric",M53)),"OPEX",
                ISNUMBER(SEARCH("STC",M53)),"OPEX",
                ISNUMBER(SEARCH("National Water",M53)),"OPEX",
                ISNUMBER(SEARCH("Bupa",M53)),"OPEX",
                ISNUMBER(SEARCH("Abdullah Abdulkarim",M53)),"OPEX",
                ISNUMBER(SEARCH("Abdullah Fahad",M53)),"OPEX",
                ISNUMBER(SEARCH("ISO Arabia",M53)),"OPEX",
                ISNUMBER(SEARCH("Gulf Voyager",M53)),"OPEX",
                ISNUMBER(SEARCH("Ministry",M53)),"OPEX",
                ISNUMBER(SEARCH("General Authority of Zakat",M53)),"ZATCA",
                ISNUMBER(SEARCH("Rejected",L53)),"Other Income",
                TRUE,"COGS"
            ),
        TRUE,"-"
    ),
    "-"
)</f>
        <v>COGS</v>
      </c>
      <c r="AG53" s="25" t="str" cm="1">
        <f t="array" ref="AG53">_xlfn.IFNA(
    _xlfn.IFS(
        ISNUMBER(SEARCH("Payroll",L53)),"Payroll",
        ISNUMBER(SEARCH("Expatriate",L53)),"Government Fees",
        ISNUMBER(SEARCH("Zakat",M53)),"Zakat",
        ISNUMBER(SEARCH("Social Insurance",M53)),"Social Insurance",
        ISNUMBER(SEARCH("Saudi Electric",M53)),"Electricity",
        ISNUMBER(SEARCH("STC",M53)),"Telecom",
        ISNUMBER(SEARCH("National Water",M53)),"Water",
        ISNUMBER(SEARCH("Bupa",M53)),"Insurance",
        ISNUMBER(SEARCH("Gulf Voyager",M53)),"Travel",
        ISNUMBER(SEARCH("Ministry",M53)),"Government Fees",
        ISNUMBER(SEARCH("Abdullah Abdulkarim",M53)),"Consulting",
        ISNUMBER(SEARCH("Abdullah Fahad",M53)),"Accounting",
        ISNUMBER(SEARCH("ISO Arabia",M53)),"Consulting",
        ISNUMBER(SEARCH("Rejected",L53)),"Refund",
        AF53="COGS","Inventory Purchase",
        AF53="Revenue","Revenue",
        AF53="OPEX","Other",
        AF53="ZATCA","Zakat",
        TRUE,"-"
    ),
    "-"
)</f>
        <v>Inventory Purchase</v>
      </c>
      <c r="AH53" s="25" t="str" cm="1">
        <f t="array" ref="AH53">_xlfn.IFNA(
    _xlfn.IFS(
        AF53="-","Low",
        AF53="Other","Low",
        TRUE,"Medium"
    ),
    "-"
)</f>
        <v>Medium</v>
      </c>
      <c r="AI53" s="25" t="str">
        <f t="shared" si="3"/>
        <v>-</v>
      </c>
    </row>
    <row r="54" spans="1:35" x14ac:dyDescent="0.25">
      <c r="A54" s="10">
        <v>3</v>
      </c>
      <c r="B54" s="10" t="s">
        <v>35</v>
      </c>
      <c r="C54" s="10" t="s">
        <v>36</v>
      </c>
      <c r="D54" s="10" t="s">
        <v>37</v>
      </c>
      <c r="E54" s="10" t="s">
        <v>38</v>
      </c>
      <c r="F54" s="11" t="s">
        <v>39</v>
      </c>
      <c r="G54" s="11" t="s">
        <v>40</v>
      </c>
      <c r="H54" s="12">
        <v>45029</v>
      </c>
      <c r="I54" s="20">
        <v>117344.71</v>
      </c>
      <c r="J54" s="20">
        <v>13886.25</v>
      </c>
      <c r="K54" s="10" t="s">
        <v>41</v>
      </c>
      <c r="L54" s="9" t="s">
        <v>224</v>
      </c>
      <c r="M54" s="9" t="s">
        <v>225</v>
      </c>
      <c r="N54" s="9">
        <v>68201656408000</v>
      </c>
      <c r="O54" s="9" t="s">
        <v>226</v>
      </c>
      <c r="P54" s="15">
        <v>45029</v>
      </c>
      <c r="Q54" s="9" t="s">
        <v>228</v>
      </c>
      <c r="R54" s="16">
        <v>13886.25</v>
      </c>
      <c r="U54" s="9" t="s">
        <v>55</v>
      </c>
      <c r="V54" s="24" t="str" cm="1">
        <f t="array" ref="V54">_xlfn.IFNA(
    _xlfn.IFS(
        ISNUMBER(SEARCH("Fast Outgoing Transfer",L54)),"Transfer",
        ISNUMBER(SEARCH("Incoming Fast Transfer",L54)),"Transfer",
        ISNUMBER(SEARCH("Outgoing International Transfer",L54)),"Transfer",
        ISNUMBER(SEARCH("Bill Payment",L54)),"SADAD",
        ISNUMBER(SEARCH("Payroll",L54)),"Payroll",
        ISNUMBER(SEARCH("Cash Deposit",L54)),"Cash",
        ISNUMBER(SEARCH("Internal Transfer",L54)),"Transfer",
        ISNUMBER(SEARCH("Expatriate Services Payment",L54)),"SADAD",
        ISNUMBER(SEARCH("Rejected",L54)),"Transfer"
    ),
    "-"
)</f>
        <v>Transfer</v>
      </c>
      <c r="W54" s="25" t="str" cm="1">
        <f t="array" ref="W54">_xlfn.IFNA(
    _xlfn.IFS(
        AND(V54="Transfer",ISNUMBER(SEARCH("RIYAD BANK",L54))),"External FI",
        AND(V54="Transfer",ISNUMBER(SEARCH("Al Ahli",L54))),"External FI",
        AND(V54="Transfer",ISNUMBER(SEARCH("CIB via",L54))),"Local Transfer",
        AND(V54="Transfer",ISNUMBER(SEARCH("CIB)",L54))),"Local Transfer",
        AND(V54="Transfer",ISNUMBER(SEARCH("SMRT",L54))),"Local Transfer",
        AND(V54="Transfer",ISNUMBER(SEARCH("Al Murabba",L54))),"Local Transfer",
        AND(V54="Transfer",ISNUMBER(SEARCH("Internal Transfer",L54))),"Same FI",
        AND(V54="Transfer",ISNUMBER(SEARCH("Rejected",L54))),"Failed",
        V54="SADAD",
            _xlfn.IFS(
                ISNUMBER(SEARCH("Expatriate",L54)),"Expat Fees",
                TRUE,"Online Payment"
            ),
        V54="Payroll","Payroll",
        V54="Cash","Deposit",
        TRUE,"-"
    ),
    "-"
)</f>
        <v>Local Transfer</v>
      </c>
      <c r="X54" s="25" t="str" cm="1">
        <f t="array" ref="X54">_xlfn.IFNA(
    _xlfn.IFS(
        V54="-","Low",
        W54="-","Low",
        TRUE,"High"
    ),
    "-"
)</f>
        <v>High</v>
      </c>
      <c r="Y54" s="25" t="str">
        <f t="shared" si="0"/>
        <v>-</v>
      </c>
      <c r="Z54" s="25" t="str" cm="1">
        <f t="array" ref="Z54">_xlfn.IFNA(
    _xlfn.IFS(
        ISNUMBER(SEARCH("Abdul Latif Jameel",M54)),"Lender",
        ISNUMBER(SEARCH("Abdullah Abdulkarim Al Sudais",M54)),"Accounting",
        ISNUMBER(SEARCH("Abdullah Fahad for Accounting",M54)),"Accounting",
        ISNUMBER(SEARCH("Abdullah Rashid Shaikh",M54)),"Shareholder",
        ISNUMBER(SEARCH("Advanced Equipments",M54)),"Equipment Rental",
        ISNUMBER(SEARCH("Al Banuk Sana",M54)),"Telecom Company",
        ISNUMBER(SEARCH("Al Khaleefa Factory",M54)),"Manufacturer",
        ISNUMBER(SEARCH("Al Saadeh Trading",M54)),"Trading Company",
        ISNUMBER(SEARCH("Al Zaehaan",M54)),"Trading Company",
        ISNUMBER(SEARCH("Ali Abdullah K Al Darwish",M54)),"Airlines",
        ISNUMBER(SEARCH("Bupa Arabia",M54)),"Health Insurance",
        ISNUMBER(SEARCH("Dar Fahoosaat",M54)),"Consultant",
        ISNUMBER(SEARCH("General Authority of Zakat",M54)),"Tax Collection",
        ISNUMBER(SEARCH("Gulf Voyager",M54)),"Travel Agency",
        ISNUMBER(SEARCH("Hopeway Trading",M54)),"Trading Company",
        ISNUMBER(SEARCH("Interhealth Medical",M54)),"Medical Services",
        ISNUMBER(SEARCH("Ishaar",M54)),"Online Payment Service",
        ISNUMBER(SEARCH("ISO Arabia",M54)),"Certification",
        ISNUMBER(SEARCH("Khalid Saad Al Otaibi",M54)),"Trading Company",
        ISNUMBER(SEARCH("MERAS for Decoration",M54)),"Decor Company",
        ISNUMBER(SEARCH("Middle East Customs Clearance",M54)),"Customs",
        ISNUMBER(SEARCH("Ministry of Human Resources",M54)),"Government",
        ISNUMBER(SEARCH("My Business Services",M54)),"Service Provider",
        ISNUMBER(SEARCH("National Water Company",M54)),"Water Company",
        ISNUMBER(SEARCH("Rania Contracting",M54)),"Contracting",
        ISNUMBER(SEARCH("Rashid Ali Sheikh",M54)),"Shareholder",
        ISNUMBER(SEARCH("Sahab United Motors",M54)),"Car Show Room",
        ISNUMBER(SEARCH("Saud Mohammed Al Tamimi",M54)),"Shareholder",
        ISNUMBER(SEARCH("Saud Mohammed Tamimi",M54)),"Shareholder",
        ISNUMBER(SEARCH("Saudi Electric Company",M54)),"Electricity Company",
        ISNUMBER(SEARCH("Saudi Vetonit",M54)),"Building Materials",
        ISNUMBER(SEARCH("Shomoul Eng",M54)),"Safety",
        ISNUMBER(SEARCH("STC",M54)),"Telecom Company",
        ISNUMBER(SEARCH("The General Organization for Social Insurance",M54)),"Social Insurance Agency",
        ISNUMBER(SEARCH("TUV Rheinland",M54)),"Certification",
        ISNUMBER(SEARCH("Al Arabia Ceramic",M54)),"Building Materials",
        ISNUMBER(SEARCH("National Company for Building and Marketing",M54)),"Parent Company",
        ISNUMBER(SEARCH("Athraa Holding",M54)),"Holding Company",
        ISNUMBER(SEARCH("Al Rasan",M54)),"Contracting",
        ISNUMBER(SEARCH("Raboua Al Haid",M54)),"Trading Company",
        ISNUMBER(SEARCH("Al Jazeera Paint",M54)),"Manufacturer",
        ISNUMBER(SEARCH("Rania Works Contracting",M54)),"Contracting",
        ISNUMBER(SEARCH("Bandar Jarallah",M54)),"Trading Establishment",
        ISNUMBER(SEARCH("RS Infratec Saudi",M54)),"Same Company",
        ISNUMBER(SEARCH("Payroll",M54)),"Bank",
        ISNUMBER(SEARCH("Expatriate",M54)),"Government",
        ISNUMBER(SEARCH("Unknown Sender",M54)),"Unknown",
        TRUE,"Unknown"
    ),
    "-"
)</f>
        <v>Building Materials</v>
      </c>
      <c r="AA54" s="25" t="str" cm="1">
        <f t="array" ref="AA54">_xlfn.IFNA(
    _xlfn.IFS(
        Z54="Lender","Financing",
        Z54="Accounting","Accounting",
        Z54="Shareholder","Individual",
        Z54="Equipment Rental","Equipment Rental",
        Z54="Telecom Company","Telecom",
        Z54="Manufacturer","Manufacturer",
        Z54="Trading Company","Trading And Transport",
        Z54="Trading Establishment","Trading",
        Z54="Airlines","Airlines",
        Z54="Health Insurance","Insurance",
        Z54="Consultant","Consultant",
        Z54="Tax Collection","Government",
        Z54="Travel Agency","Travel Agency",
        Z54="Medical Services","Medical Center",
        Z54="Online Payment Service","Payment Facilitator",
        Z54="Certification","Safety",
        Z54="Decor Company","Design",
        Z54="Customs","Customs",
        Z54="Government","Government",
        Z54="Service Provider","Service Provider",
        Z54="Water Company","Water Company",
        Z54="Contracting","Contracting",
        Z54="Car Show Room","Car Trader",
        Z54="Electricity Company","Electricity Company",
        Z54="Building Materials","Building Materials",
        Z54="Safety","Safety",
        Z54="Social Insurance Agency","Government Fund",
        Z54="Parent Company","Holding Company",
        Z54="Holding Company","Holding Company",
        Z54="Same Company","Construction",
        Z54="Bank","Bank",
        Z54="Unknown","Unknown",
        TRUE,"-"
    ),
    "-"
)</f>
        <v>Building Materials</v>
      </c>
      <c r="AB54" s="25" t="str">
        <f t="shared" si="1"/>
        <v>-</v>
      </c>
      <c r="AC54" s="25" t="str" cm="1">
        <f t="array" ref="AC54">_xlfn.IFNA(
    _xlfn.IFS(
        Z54="Shareholder","Shareholder",
        Z54="Same Company","Same Company",
        Z54="Bank","Bank",
        Z54="Government","Government",
        Z54="Social Insurance Agency","Government",
        Z54="Parent Company","Customer",
        Z54="Lender","Lender",
        Z54="Unknown","Unknown",
        ISNUMBER(SEARCH("Abdullah Abdulkarim",M54)),"Service Provider",
        ISNUMBER(SEARCH("Abdullah Fahad",M54)),"Service Provider",
        ISNUMBER(SEARCH("Advanced Equipments",M54)),"Supplier",
        ISNUMBER(SEARCH("Al Banuk Sana",M54)),"Supplier",
        ISNUMBER(SEARCH("Al Khaleefa Factory",M54)),"Supplier",
        ISNUMBER(SEARCH("Al Saadeh Trading",M54)),"Supplier",
        ISNUMBER(SEARCH("Al Zaehaan",M54)),"Supplier",
        ISNUMBER(SEARCH("Ali Abdullah K Al Darwish",M54)),"Service Provider",
        ISNUMBER(SEARCH("Bupa Arabia",M54)),"Insurance Company",
        ISNUMBER(SEARCH("Dar Fahoosaat",M54)),"Service Provider",
        ISNUMBER(SEARCH("General Authority of Zakat",M54)),"Tax Authority",
        ISNUMBER(SEARCH("Gulf Voyager",M54)),"Service Provider",
        ISNUMBER(SEARCH("Hopeway Trading",M54)),"Supplier",
        ISNUMBER(SEARCH("Interhealth Medical",M54)),"Customer",
        ISNUMBER(SEARCH("Ishaar",M54)),"Service Provider",
        ISNUMBER(SEARCH("ISO Arabia",M54)),"Service Provider",
        ISNUMBER(SEARCH("Khalid Saad Al Otaibi",M54)),"Supplier",
        ISNUMBER(SEARCH("MERAS for Decoration",M54)),"Supplier",
        ISNUMBER(SEARCH("Middle East Customs Clearance",M54)),"Service Provider",
        ISNUMBER(SEARCH("Ministry of Human Resources",M54)),"Regulatory Agency",
        ISNUMBER(SEARCH("My Business Services",M54)),"Service Provider",
        ISNUMBER(SEARCH("National Water Company",M54)),"Utility Provider",
        ISNUMBER(SEARCH("Rania Contracting",M54)),"Supplier",
        ISNUMBER(SEARCH("Sahab United Motors",M54)),"Supplier",
        ISNUMBER(SEARCH("Saudi Electric Company",M54)),"Utility Provider",
        ISNUMBER(SEARCH("Saudi Vetonit",M54)),"Supplier",
        ISNUMBER(SEARCH("Shomoul Eng",M54)),"Service Provider",
        ISNUMBER(SEARCH("STC",M54)),"Utility Provider",
        ISNUMBER(SEARCH("The General Organization for Social Insurance",M54)),"Social Insurance Agency",
        ISNUMBER(SEARCH("TUV Rheinland",M54)),"Service Provider",
        ISNUMBER(SEARCH("Al Arabia Ceramic",M54)),"Supplier",
        ISNUMBER(SEARCH("National Company for Building",M54)),"Customer",
        ISNUMBER(SEARCH("Athraa Holding",M54)),"Customer",
        ISNUMBER(SEARCH("Al Rasan",M54)),"Supplier",
        ISNUMBER(SEARCH("Raboua Al Haid",M54)),"Customer",
        ISNUMBER(SEARCH("Al Jazeera Paint",M54)),"Supplier",
        ISNUMBER(SEARCH("Rania Works Contracting",M54)),"Supplier",
        ISNUMBER(SEARCH("Bandar Jarallah",M54)),"Supplier",
        TRUE,"Supplier"
    ),
    "-"
)</f>
        <v>Supplier</v>
      </c>
      <c r="AD54" s="25" t="str" cm="1">
        <f t="array" ref="AD54">_xlfn.IFNA(
    _xlfn.IFS(
        AC54="Same Company","High",
        AC54="Shareholder","High",
        AC54="Government","High",
        AC54="Bank","High",
        AC54="Lender","High",
        AC54="Unknown","Low",
        AC54="-","Low",
        TRUE,"Medium"
    ),
    "-"
)</f>
        <v>Medium</v>
      </c>
      <c r="AE54" s="25" t="str">
        <f t="shared" si="2"/>
        <v>-</v>
      </c>
      <c r="AF54" s="25" t="str" cm="1">
        <f t="array" ref="AF54">_xlfn.IFNA(
    _xlfn.IFS(
        K54="Credit",
            _xlfn.IFS(
                OR(ISNUMBER(SEARCH("Rejected",L54)),ISNUMBER(SEARCH("Returned",L54))),"Other Income",
                TRUE,"Revenue"
            ),
        K54="Debit",
            _xlfn.IFS(
                ISNUMBER(SEARCH("Payroll",L54)),"OPEX",
                ISNUMBER(SEARCH("Expatriate",L54)),"OPEX",
                ISNUMBER(SEARCH("Zakat",M54)),"ZATCA",
                ISNUMBER(SEARCH("General Organization for Social Insurance",M54)),"OPEX",
                ISNUMBER(SEARCH("Saudi Electric",M54)),"OPEX",
                ISNUMBER(SEARCH("STC",M54)),"OPEX",
                ISNUMBER(SEARCH("National Water",M54)),"OPEX",
                ISNUMBER(SEARCH("Bupa",M54)),"OPEX",
                ISNUMBER(SEARCH("Abdullah Abdulkarim",M54)),"OPEX",
                ISNUMBER(SEARCH("Abdullah Fahad",M54)),"OPEX",
                ISNUMBER(SEARCH("ISO Arabia",M54)),"OPEX",
                ISNUMBER(SEARCH("Gulf Voyager",M54)),"OPEX",
                ISNUMBER(SEARCH("Ministry",M54)),"OPEX",
                ISNUMBER(SEARCH("General Authority of Zakat",M54)),"ZATCA",
                ISNUMBER(SEARCH("Rejected",L54)),"Other Income",
                TRUE,"COGS"
            ),
        TRUE,"-"
    ),
    "-"
)</f>
        <v>COGS</v>
      </c>
      <c r="AG54" s="25" t="str" cm="1">
        <f t="array" ref="AG54">_xlfn.IFNA(
    _xlfn.IFS(
        ISNUMBER(SEARCH("Payroll",L54)),"Payroll",
        ISNUMBER(SEARCH("Expatriate",L54)),"Government Fees",
        ISNUMBER(SEARCH("Zakat",M54)),"Zakat",
        ISNUMBER(SEARCH("Social Insurance",M54)),"Social Insurance",
        ISNUMBER(SEARCH("Saudi Electric",M54)),"Electricity",
        ISNUMBER(SEARCH("STC",M54)),"Telecom",
        ISNUMBER(SEARCH("National Water",M54)),"Water",
        ISNUMBER(SEARCH("Bupa",M54)),"Insurance",
        ISNUMBER(SEARCH("Gulf Voyager",M54)),"Travel",
        ISNUMBER(SEARCH("Ministry",M54)),"Government Fees",
        ISNUMBER(SEARCH("Abdullah Abdulkarim",M54)),"Consulting",
        ISNUMBER(SEARCH("Abdullah Fahad",M54)),"Accounting",
        ISNUMBER(SEARCH("ISO Arabia",M54)),"Consulting",
        ISNUMBER(SEARCH("Rejected",L54)),"Refund",
        AF54="COGS","Inventory Purchase",
        AF54="Revenue","Revenue",
        AF54="OPEX","Other",
        AF54="ZATCA","Zakat",
        TRUE,"-"
    ),
    "-"
)</f>
        <v>Inventory Purchase</v>
      </c>
      <c r="AH54" s="25" t="str" cm="1">
        <f t="array" ref="AH54">_xlfn.IFNA(
    _xlfn.IFS(
        AF54="-","Low",
        AF54="Other","Low",
        TRUE,"Medium"
    ),
    "-"
)</f>
        <v>Medium</v>
      </c>
      <c r="AI54" s="25" t="str">
        <f t="shared" si="3"/>
        <v>-</v>
      </c>
    </row>
    <row r="55" spans="1:35" x14ac:dyDescent="0.25">
      <c r="A55" s="10">
        <v>3</v>
      </c>
      <c r="B55" s="10" t="s">
        <v>35</v>
      </c>
      <c r="C55" s="10" t="s">
        <v>36</v>
      </c>
      <c r="D55" s="10" t="s">
        <v>37</v>
      </c>
      <c r="E55" s="10" t="s">
        <v>38</v>
      </c>
      <c r="F55" s="11" t="s">
        <v>39</v>
      </c>
      <c r="G55" s="11" t="s">
        <v>40</v>
      </c>
      <c r="H55" s="12">
        <v>45060</v>
      </c>
      <c r="I55" s="20">
        <v>43215.55</v>
      </c>
      <c r="J55" s="20">
        <v>20872</v>
      </c>
      <c r="K55" s="10" t="s">
        <v>41</v>
      </c>
      <c r="L55" s="9" t="s">
        <v>224</v>
      </c>
      <c r="M55" s="9" t="s">
        <v>225</v>
      </c>
      <c r="N55" s="9">
        <v>68201656408000</v>
      </c>
      <c r="O55" s="9" t="s">
        <v>226</v>
      </c>
      <c r="P55" s="15">
        <v>45060</v>
      </c>
      <c r="Q55" s="9" t="s">
        <v>229</v>
      </c>
      <c r="R55" s="16">
        <v>20872</v>
      </c>
      <c r="U55" s="9" t="s">
        <v>55</v>
      </c>
      <c r="V55" s="24" t="str" cm="1">
        <f t="array" ref="V55">_xlfn.IFNA(
    _xlfn.IFS(
        ISNUMBER(SEARCH("Fast Outgoing Transfer",L55)),"Transfer",
        ISNUMBER(SEARCH("Incoming Fast Transfer",L55)),"Transfer",
        ISNUMBER(SEARCH("Outgoing International Transfer",L55)),"Transfer",
        ISNUMBER(SEARCH("Bill Payment",L55)),"SADAD",
        ISNUMBER(SEARCH("Payroll",L55)),"Payroll",
        ISNUMBER(SEARCH("Cash Deposit",L55)),"Cash",
        ISNUMBER(SEARCH("Internal Transfer",L55)),"Transfer",
        ISNUMBER(SEARCH("Expatriate Services Payment",L55)),"SADAD",
        ISNUMBER(SEARCH("Rejected",L55)),"Transfer"
    ),
    "-"
)</f>
        <v>Transfer</v>
      </c>
      <c r="W55" s="25" t="str" cm="1">
        <f t="array" ref="W55">_xlfn.IFNA(
    _xlfn.IFS(
        AND(V55="Transfer",ISNUMBER(SEARCH("RIYAD BANK",L55))),"External FI",
        AND(V55="Transfer",ISNUMBER(SEARCH("Al Ahli",L55))),"External FI",
        AND(V55="Transfer",ISNUMBER(SEARCH("CIB via",L55))),"Local Transfer",
        AND(V55="Transfer",ISNUMBER(SEARCH("CIB)",L55))),"Local Transfer",
        AND(V55="Transfer",ISNUMBER(SEARCH("SMRT",L55))),"Local Transfer",
        AND(V55="Transfer",ISNUMBER(SEARCH("Al Murabba",L55))),"Local Transfer",
        AND(V55="Transfer",ISNUMBER(SEARCH("Internal Transfer",L55))),"Same FI",
        AND(V55="Transfer",ISNUMBER(SEARCH("Rejected",L55))),"Failed",
        V55="SADAD",
            _xlfn.IFS(
                ISNUMBER(SEARCH("Expatriate",L55)),"Expat Fees",
                TRUE,"Online Payment"
            ),
        V55="Payroll","Payroll",
        V55="Cash","Deposit",
        TRUE,"-"
    ),
    "-"
)</f>
        <v>Local Transfer</v>
      </c>
      <c r="X55" s="25" t="str" cm="1">
        <f t="array" ref="X55">_xlfn.IFNA(
    _xlfn.IFS(
        V55="-","Low",
        W55="-","Low",
        TRUE,"High"
    ),
    "-"
)</f>
        <v>High</v>
      </c>
      <c r="Y55" s="25" t="str">
        <f t="shared" si="0"/>
        <v>-</v>
      </c>
      <c r="Z55" s="25" t="str" cm="1">
        <f t="array" ref="Z55">_xlfn.IFNA(
    _xlfn.IFS(
        ISNUMBER(SEARCH("Abdul Latif Jameel",M55)),"Lender",
        ISNUMBER(SEARCH("Abdullah Abdulkarim Al Sudais",M55)),"Accounting",
        ISNUMBER(SEARCH("Abdullah Fahad for Accounting",M55)),"Accounting",
        ISNUMBER(SEARCH("Abdullah Rashid Shaikh",M55)),"Shareholder",
        ISNUMBER(SEARCH("Advanced Equipments",M55)),"Equipment Rental",
        ISNUMBER(SEARCH("Al Banuk Sana",M55)),"Telecom Company",
        ISNUMBER(SEARCH("Al Khaleefa Factory",M55)),"Manufacturer",
        ISNUMBER(SEARCH("Al Saadeh Trading",M55)),"Trading Company",
        ISNUMBER(SEARCH("Al Zaehaan",M55)),"Trading Company",
        ISNUMBER(SEARCH("Ali Abdullah K Al Darwish",M55)),"Airlines",
        ISNUMBER(SEARCH("Bupa Arabia",M55)),"Health Insurance",
        ISNUMBER(SEARCH("Dar Fahoosaat",M55)),"Consultant",
        ISNUMBER(SEARCH("General Authority of Zakat",M55)),"Tax Collection",
        ISNUMBER(SEARCH("Gulf Voyager",M55)),"Travel Agency",
        ISNUMBER(SEARCH("Hopeway Trading",M55)),"Trading Company",
        ISNUMBER(SEARCH("Interhealth Medical",M55)),"Medical Services",
        ISNUMBER(SEARCH("Ishaar",M55)),"Online Payment Service",
        ISNUMBER(SEARCH("ISO Arabia",M55)),"Certification",
        ISNUMBER(SEARCH("Khalid Saad Al Otaibi",M55)),"Trading Company",
        ISNUMBER(SEARCH("MERAS for Decoration",M55)),"Decor Company",
        ISNUMBER(SEARCH("Middle East Customs Clearance",M55)),"Customs",
        ISNUMBER(SEARCH("Ministry of Human Resources",M55)),"Government",
        ISNUMBER(SEARCH("My Business Services",M55)),"Service Provider",
        ISNUMBER(SEARCH("National Water Company",M55)),"Water Company",
        ISNUMBER(SEARCH("Rania Contracting",M55)),"Contracting",
        ISNUMBER(SEARCH("Rashid Ali Sheikh",M55)),"Shareholder",
        ISNUMBER(SEARCH("Sahab United Motors",M55)),"Car Show Room",
        ISNUMBER(SEARCH("Saud Mohammed Al Tamimi",M55)),"Shareholder",
        ISNUMBER(SEARCH("Saud Mohammed Tamimi",M55)),"Shareholder",
        ISNUMBER(SEARCH("Saudi Electric Company",M55)),"Electricity Company",
        ISNUMBER(SEARCH("Saudi Vetonit",M55)),"Building Materials",
        ISNUMBER(SEARCH("Shomoul Eng",M55)),"Safety",
        ISNUMBER(SEARCH("STC",M55)),"Telecom Company",
        ISNUMBER(SEARCH("The General Organization for Social Insurance",M55)),"Social Insurance Agency",
        ISNUMBER(SEARCH("TUV Rheinland",M55)),"Certification",
        ISNUMBER(SEARCH("Al Arabia Ceramic",M55)),"Building Materials",
        ISNUMBER(SEARCH("National Company for Building and Marketing",M55)),"Parent Company",
        ISNUMBER(SEARCH("Athraa Holding",M55)),"Holding Company",
        ISNUMBER(SEARCH("Al Rasan",M55)),"Contracting",
        ISNUMBER(SEARCH("Raboua Al Haid",M55)),"Trading Company",
        ISNUMBER(SEARCH("Al Jazeera Paint",M55)),"Manufacturer",
        ISNUMBER(SEARCH("Rania Works Contracting",M55)),"Contracting",
        ISNUMBER(SEARCH("Bandar Jarallah",M55)),"Trading Establishment",
        ISNUMBER(SEARCH("RS Infratec Saudi",M55)),"Same Company",
        ISNUMBER(SEARCH("Payroll",M55)),"Bank",
        ISNUMBER(SEARCH("Expatriate",M55)),"Government",
        ISNUMBER(SEARCH("Unknown Sender",M55)),"Unknown",
        TRUE,"Unknown"
    ),
    "-"
)</f>
        <v>Building Materials</v>
      </c>
      <c r="AA55" s="25" t="str" cm="1">
        <f t="array" ref="AA55">_xlfn.IFNA(
    _xlfn.IFS(
        Z55="Lender","Financing",
        Z55="Accounting","Accounting",
        Z55="Shareholder","Individual",
        Z55="Equipment Rental","Equipment Rental",
        Z55="Telecom Company","Telecom",
        Z55="Manufacturer","Manufacturer",
        Z55="Trading Company","Trading And Transport",
        Z55="Trading Establishment","Trading",
        Z55="Airlines","Airlines",
        Z55="Health Insurance","Insurance",
        Z55="Consultant","Consultant",
        Z55="Tax Collection","Government",
        Z55="Travel Agency","Travel Agency",
        Z55="Medical Services","Medical Center",
        Z55="Online Payment Service","Payment Facilitator",
        Z55="Certification","Safety",
        Z55="Decor Company","Design",
        Z55="Customs","Customs",
        Z55="Government","Government",
        Z55="Service Provider","Service Provider",
        Z55="Water Company","Water Company",
        Z55="Contracting","Contracting",
        Z55="Car Show Room","Car Trader",
        Z55="Electricity Company","Electricity Company",
        Z55="Building Materials","Building Materials",
        Z55="Safety","Safety",
        Z55="Social Insurance Agency","Government Fund",
        Z55="Parent Company","Holding Company",
        Z55="Holding Company","Holding Company",
        Z55="Same Company","Construction",
        Z55="Bank","Bank",
        Z55="Unknown","Unknown",
        TRUE,"-"
    ),
    "-"
)</f>
        <v>Building Materials</v>
      </c>
      <c r="AB55" s="25" t="str">
        <f t="shared" si="1"/>
        <v>-</v>
      </c>
      <c r="AC55" s="25" t="str" cm="1">
        <f t="array" ref="AC55">_xlfn.IFNA(
    _xlfn.IFS(
        Z55="Shareholder","Shareholder",
        Z55="Same Company","Same Company",
        Z55="Bank","Bank",
        Z55="Government","Government",
        Z55="Social Insurance Agency","Government",
        Z55="Parent Company","Customer",
        Z55="Lender","Lender",
        Z55="Unknown","Unknown",
        ISNUMBER(SEARCH("Abdullah Abdulkarim",M55)),"Service Provider",
        ISNUMBER(SEARCH("Abdullah Fahad",M55)),"Service Provider",
        ISNUMBER(SEARCH("Advanced Equipments",M55)),"Supplier",
        ISNUMBER(SEARCH("Al Banuk Sana",M55)),"Supplier",
        ISNUMBER(SEARCH("Al Khaleefa Factory",M55)),"Supplier",
        ISNUMBER(SEARCH("Al Saadeh Trading",M55)),"Supplier",
        ISNUMBER(SEARCH("Al Zaehaan",M55)),"Supplier",
        ISNUMBER(SEARCH("Ali Abdullah K Al Darwish",M55)),"Service Provider",
        ISNUMBER(SEARCH("Bupa Arabia",M55)),"Insurance Company",
        ISNUMBER(SEARCH("Dar Fahoosaat",M55)),"Service Provider",
        ISNUMBER(SEARCH("General Authority of Zakat",M55)),"Tax Authority",
        ISNUMBER(SEARCH("Gulf Voyager",M55)),"Service Provider",
        ISNUMBER(SEARCH("Hopeway Trading",M55)),"Supplier",
        ISNUMBER(SEARCH("Interhealth Medical",M55)),"Customer",
        ISNUMBER(SEARCH("Ishaar",M55)),"Service Provider",
        ISNUMBER(SEARCH("ISO Arabia",M55)),"Service Provider",
        ISNUMBER(SEARCH("Khalid Saad Al Otaibi",M55)),"Supplier",
        ISNUMBER(SEARCH("MERAS for Decoration",M55)),"Supplier",
        ISNUMBER(SEARCH("Middle East Customs Clearance",M55)),"Service Provider",
        ISNUMBER(SEARCH("Ministry of Human Resources",M55)),"Regulatory Agency",
        ISNUMBER(SEARCH("My Business Services",M55)),"Service Provider",
        ISNUMBER(SEARCH("National Water Company",M55)),"Utility Provider",
        ISNUMBER(SEARCH("Rania Contracting",M55)),"Supplier",
        ISNUMBER(SEARCH("Sahab United Motors",M55)),"Supplier",
        ISNUMBER(SEARCH("Saudi Electric Company",M55)),"Utility Provider",
        ISNUMBER(SEARCH("Saudi Vetonit",M55)),"Supplier",
        ISNUMBER(SEARCH("Shomoul Eng",M55)),"Service Provider",
        ISNUMBER(SEARCH("STC",M55)),"Utility Provider",
        ISNUMBER(SEARCH("The General Organization for Social Insurance",M55)),"Social Insurance Agency",
        ISNUMBER(SEARCH("TUV Rheinland",M55)),"Service Provider",
        ISNUMBER(SEARCH("Al Arabia Ceramic",M55)),"Supplier",
        ISNUMBER(SEARCH("National Company for Building",M55)),"Customer",
        ISNUMBER(SEARCH("Athraa Holding",M55)),"Customer",
        ISNUMBER(SEARCH("Al Rasan",M55)),"Supplier",
        ISNUMBER(SEARCH("Raboua Al Haid",M55)),"Customer",
        ISNUMBER(SEARCH("Al Jazeera Paint",M55)),"Supplier",
        ISNUMBER(SEARCH("Rania Works Contracting",M55)),"Supplier",
        ISNUMBER(SEARCH("Bandar Jarallah",M55)),"Supplier",
        TRUE,"Supplier"
    ),
    "-"
)</f>
        <v>Supplier</v>
      </c>
      <c r="AD55" s="25" t="str" cm="1">
        <f t="array" ref="AD55">_xlfn.IFNA(
    _xlfn.IFS(
        AC55="Same Company","High",
        AC55="Shareholder","High",
        AC55="Government","High",
        AC55="Bank","High",
        AC55="Lender","High",
        AC55="Unknown","Low",
        AC55="-","Low",
        TRUE,"Medium"
    ),
    "-"
)</f>
        <v>Medium</v>
      </c>
      <c r="AE55" s="25" t="str">
        <f t="shared" si="2"/>
        <v>-</v>
      </c>
      <c r="AF55" s="25" t="str" cm="1">
        <f t="array" ref="AF55">_xlfn.IFNA(
    _xlfn.IFS(
        K55="Credit",
            _xlfn.IFS(
                OR(ISNUMBER(SEARCH("Rejected",L55)),ISNUMBER(SEARCH("Returned",L55))),"Other Income",
                TRUE,"Revenue"
            ),
        K55="Debit",
            _xlfn.IFS(
                ISNUMBER(SEARCH("Payroll",L55)),"OPEX",
                ISNUMBER(SEARCH("Expatriate",L55)),"OPEX",
                ISNUMBER(SEARCH("Zakat",M55)),"ZATCA",
                ISNUMBER(SEARCH("General Organization for Social Insurance",M55)),"OPEX",
                ISNUMBER(SEARCH("Saudi Electric",M55)),"OPEX",
                ISNUMBER(SEARCH("STC",M55)),"OPEX",
                ISNUMBER(SEARCH("National Water",M55)),"OPEX",
                ISNUMBER(SEARCH("Bupa",M55)),"OPEX",
                ISNUMBER(SEARCH("Abdullah Abdulkarim",M55)),"OPEX",
                ISNUMBER(SEARCH("Abdullah Fahad",M55)),"OPEX",
                ISNUMBER(SEARCH("ISO Arabia",M55)),"OPEX",
                ISNUMBER(SEARCH("Gulf Voyager",M55)),"OPEX",
                ISNUMBER(SEARCH("Ministry",M55)),"OPEX",
                ISNUMBER(SEARCH("General Authority of Zakat",M55)),"ZATCA",
                ISNUMBER(SEARCH("Rejected",L55)),"Other Income",
                TRUE,"COGS"
            ),
        TRUE,"-"
    ),
    "-"
)</f>
        <v>COGS</v>
      </c>
      <c r="AG55" s="25" t="str" cm="1">
        <f t="array" ref="AG55">_xlfn.IFNA(
    _xlfn.IFS(
        ISNUMBER(SEARCH("Payroll",L55)),"Payroll",
        ISNUMBER(SEARCH("Expatriate",L55)),"Government Fees",
        ISNUMBER(SEARCH("Zakat",M55)),"Zakat",
        ISNUMBER(SEARCH("Social Insurance",M55)),"Social Insurance",
        ISNUMBER(SEARCH("Saudi Electric",M55)),"Electricity",
        ISNUMBER(SEARCH("STC",M55)),"Telecom",
        ISNUMBER(SEARCH("National Water",M55)),"Water",
        ISNUMBER(SEARCH("Bupa",M55)),"Insurance",
        ISNUMBER(SEARCH("Gulf Voyager",M55)),"Travel",
        ISNUMBER(SEARCH("Ministry",M55)),"Government Fees",
        ISNUMBER(SEARCH("Abdullah Abdulkarim",M55)),"Consulting",
        ISNUMBER(SEARCH("Abdullah Fahad",M55)),"Accounting",
        ISNUMBER(SEARCH("ISO Arabia",M55)),"Consulting",
        ISNUMBER(SEARCH("Rejected",L55)),"Refund",
        AF55="COGS","Inventory Purchase",
        AF55="Revenue","Revenue",
        AF55="OPEX","Other",
        AF55="ZATCA","Zakat",
        TRUE,"-"
    ),
    "-"
)</f>
        <v>Inventory Purchase</v>
      </c>
      <c r="AH55" s="25" t="str" cm="1">
        <f t="array" ref="AH55">_xlfn.IFNA(
    _xlfn.IFS(
        AF55="-","Low",
        AF55="Other","Low",
        TRUE,"Medium"
    ),
    "-"
)</f>
        <v>Medium</v>
      </c>
      <c r="AI55" s="25" t="str">
        <f t="shared" si="3"/>
        <v>-</v>
      </c>
    </row>
    <row r="56" spans="1:35" x14ac:dyDescent="0.25">
      <c r="A56" s="10">
        <v>3</v>
      </c>
      <c r="B56" s="10" t="s">
        <v>35</v>
      </c>
      <c r="C56" s="10" t="s">
        <v>36</v>
      </c>
      <c r="D56" s="10" t="s">
        <v>37</v>
      </c>
      <c r="E56" s="10" t="s">
        <v>38</v>
      </c>
      <c r="F56" s="11" t="s">
        <v>39</v>
      </c>
      <c r="G56" s="11" t="s">
        <v>40</v>
      </c>
      <c r="H56" s="12">
        <v>45091</v>
      </c>
      <c r="I56" s="20">
        <v>144472.74</v>
      </c>
      <c r="J56" s="20">
        <v>13335</v>
      </c>
      <c r="K56" s="10" t="s">
        <v>41</v>
      </c>
      <c r="L56" s="9" t="s">
        <v>224</v>
      </c>
      <c r="M56" s="9" t="s">
        <v>316</v>
      </c>
      <c r="N56" s="9">
        <v>68203421964000</v>
      </c>
      <c r="O56" s="9" t="s">
        <v>226</v>
      </c>
      <c r="P56" s="15">
        <v>45091</v>
      </c>
      <c r="Q56" s="9" t="s">
        <v>317</v>
      </c>
      <c r="R56" s="16">
        <v>13335</v>
      </c>
      <c r="U56" s="9" t="s">
        <v>55</v>
      </c>
      <c r="V56" s="24" t="str" cm="1">
        <f t="array" ref="V56">_xlfn.IFNA(
    _xlfn.IFS(
        ISNUMBER(SEARCH("Fast Outgoing Transfer",L56)),"Transfer",
        ISNUMBER(SEARCH("Incoming Fast Transfer",L56)),"Transfer",
        ISNUMBER(SEARCH("Outgoing International Transfer",L56)),"Transfer",
        ISNUMBER(SEARCH("Bill Payment",L56)),"SADAD",
        ISNUMBER(SEARCH("Payroll",L56)),"Payroll",
        ISNUMBER(SEARCH("Cash Deposit",L56)),"Cash",
        ISNUMBER(SEARCH("Internal Transfer",L56)),"Transfer",
        ISNUMBER(SEARCH("Expatriate Services Payment",L56)),"SADAD",
        ISNUMBER(SEARCH("Rejected",L56)),"Transfer"
    ),
    "-"
)</f>
        <v>Transfer</v>
      </c>
      <c r="W56" s="25" t="str" cm="1">
        <f t="array" ref="W56">_xlfn.IFNA(
    _xlfn.IFS(
        AND(V56="Transfer",ISNUMBER(SEARCH("RIYAD BANK",L56))),"External FI",
        AND(V56="Transfer",ISNUMBER(SEARCH("Al Ahli",L56))),"External FI",
        AND(V56="Transfer",ISNUMBER(SEARCH("CIB via",L56))),"Local Transfer",
        AND(V56="Transfer",ISNUMBER(SEARCH("CIB)",L56))),"Local Transfer",
        AND(V56="Transfer",ISNUMBER(SEARCH("SMRT",L56))),"Local Transfer",
        AND(V56="Transfer",ISNUMBER(SEARCH("Al Murabba",L56))),"Local Transfer",
        AND(V56="Transfer",ISNUMBER(SEARCH("Internal Transfer",L56))),"Same FI",
        AND(V56="Transfer",ISNUMBER(SEARCH("Rejected",L56))),"Failed",
        V56="SADAD",
            _xlfn.IFS(
                ISNUMBER(SEARCH("Expatriate",L56)),"Expat Fees",
                TRUE,"Online Payment"
            ),
        V56="Payroll","Payroll",
        V56="Cash","Deposit",
        TRUE,"-"
    ),
    "-"
)</f>
        <v>Local Transfer</v>
      </c>
      <c r="X56" s="25" t="str" cm="1">
        <f t="array" ref="X56">_xlfn.IFNA(
    _xlfn.IFS(
        V56="-","Low",
        W56="-","Low",
        TRUE,"High"
    ),
    "-"
)</f>
        <v>High</v>
      </c>
      <c r="Y56" s="25" t="str">
        <f t="shared" si="0"/>
        <v>-</v>
      </c>
      <c r="Z56" s="25" t="str" cm="1">
        <f t="array" ref="Z56">_xlfn.IFNA(
    _xlfn.IFS(
        ISNUMBER(SEARCH("Abdul Latif Jameel",M56)),"Lender",
        ISNUMBER(SEARCH("Abdullah Abdulkarim Al Sudais",M56)),"Accounting",
        ISNUMBER(SEARCH("Abdullah Fahad for Accounting",M56)),"Accounting",
        ISNUMBER(SEARCH("Abdullah Rashid Shaikh",M56)),"Shareholder",
        ISNUMBER(SEARCH("Advanced Equipments",M56)),"Equipment Rental",
        ISNUMBER(SEARCH("Al Banuk Sana",M56)),"Telecom Company",
        ISNUMBER(SEARCH("Al Khaleefa Factory",M56)),"Manufacturer",
        ISNUMBER(SEARCH("Al Saadeh Trading",M56)),"Trading Company",
        ISNUMBER(SEARCH("Al Zaehaan",M56)),"Trading Company",
        ISNUMBER(SEARCH("Ali Abdullah K Al Darwish",M56)),"Airlines",
        ISNUMBER(SEARCH("Bupa Arabia",M56)),"Health Insurance",
        ISNUMBER(SEARCH("Dar Fahoosaat",M56)),"Consultant",
        ISNUMBER(SEARCH("General Authority of Zakat",M56)),"Tax Collection",
        ISNUMBER(SEARCH("Gulf Voyager",M56)),"Travel Agency",
        ISNUMBER(SEARCH("Hopeway Trading",M56)),"Trading Company",
        ISNUMBER(SEARCH("Interhealth Medical",M56)),"Medical Services",
        ISNUMBER(SEARCH("Ishaar",M56)),"Online Payment Service",
        ISNUMBER(SEARCH("ISO Arabia",M56)),"Certification",
        ISNUMBER(SEARCH("Khalid Saad Al Otaibi",M56)),"Trading Company",
        ISNUMBER(SEARCH("MERAS for Decoration",M56)),"Decor Company",
        ISNUMBER(SEARCH("Middle East Customs Clearance",M56)),"Customs",
        ISNUMBER(SEARCH("Ministry of Human Resources",M56)),"Government",
        ISNUMBER(SEARCH("My Business Services",M56)),"Service Provider",
        ISNUMBER(SEARCH("National Water Company",M56)),"Water Company",
        ISNUMBER(SEARCH("Rania Contracting",M56)),"Contracting",
        ISNUMBER(SEARCH("Rashid Ali Sheikh",M56)),"Shareholder",
        ISNUMBER(SEARCH("Sahab United Motors",M56)),"Car Show Room",
        ISNUMBER(SEARCH("Saud Mohammed Al Tamimi",M56)),"Shareholder",
        ISNUMBER(SEARCH("Saud Mohammed Tamimi",M56)),"Shareholder",
        ISNUMBER(SEARCH("Saudi Electric Company",M56)),"Electricity Company",
        ISNUMBER(SEARCH("Saudi Vetonit",M56)),"Building Materials",
        ISNUMBER(SEARCH("Shomoul Eng",M56)),"Safety",
        ISNUMBER(SEARCH("STC",M56)),"Telecom Company",
        ISNUMBER(SEARCH("The General Organization for Social Insurance",M56)),"Social Insurance Agency",
        ISNUMBER(SEARCH("TUV Rheinland",M56)),"Certification",
        ISNUMBER(SEARCH("Al Arabia Ceramic",M56)),"Building Materials",
        ISNUMBER(SEARCH("National Company for Building and Marketing",M56)),"Parent Company",
        ISNUMBER(SEARCH("Athraa Holding",M56)),"Holding Company",
        ISNUMBER(SEARCH("Al Rasan",M56)),"Contracting",
        ISNUMBER(SEARCH("Raboua Al Haid",M56)),"Trading Company",
        ISNUMBER(SEARCH("Al Jazeera Paint",M56)),"Manufacturer",
        ISNUMBER(SEARCH("Rania Works Contracting",M56)),"Contracting",
        ISNUMBER(SEARCH("Bandar Jarallah",M56)),"Trading Establishment",
        ISNUMBER(SEARCH("RS Infratec Saudi",M56)),"Same Company",
        ISNUMBER(SEARCH("Payroll",M56)),"Bank",
        ISNUMBER(SEARCH("Expatriate",M56)),"Government",
        ISNUMBER(SEARCH("Unknown Sender",M56)),"Unknown",
        TRUE,"Unknown"
    ),
    "-"
)</f>
        <v>Contracting</v>
      </c>
      <c r="AA56" s="25" t="str" cm="1">
        <f t="array" ref="AA56">_xlfn.IFNA(
    _xlfn.IFS(
        Z56="Lender","Financing",
        Z56="Accounting","Accounting",
        Z56="Shareholder","Individual",
        Z56="Equipment Rental","Equipment Rental",
        Z56="Telecom Company","Telecom",
        Z56="Manufacturer","Manufacturer",
        Z56="Trading Company","Trading And Transport",
        Z56="Trading Establishment","Trading",
        Z56="Airlines","Airlines",
        Z56="Health Insurance","Insurance",
        Z56="Consultant","Consultant",
        Z56="Tax Collection","Government",
        Z56="Travel Agency","Travel Agency",
        Z56="Medical Services","Medical Center",
        Z56="Online Payment Service","Payment Facilitator",
        Z56="Certification","Safety",
        Z56="Decor Company","Design",
        Z56="Customs","Customs",
        Z56="Government","Government",
        Z56="Service Provider","Service Provider",
        Z56="Water Company","Water Company",
        Z56="Contracting","Contracting",
        Z56="Car Show Room","Car Trader",
        Z56="Electricity Company","Electricity Company",
        Z56="Building Materials","Building Materials",
        Z56="Safety","Safety",
        Z56="Social Insurance Agency","Government Fund",
        Z56="Parent Company","Holding Company",
        Z56="Holding Company","Holding Company",
        Z56="Same Company","Construction",
        Z56="Bank","Bank",
        Z56="Unknown","Unknown",
        TRUE,"-"
    ),
    "-"
)</f>
        <v>Contracting</v>
      </c>
      <c r="AB56" s="25" t="str">
        <f t="shared" si="1"/>
        <v>-</v>
      </c>
      <c r="AC56" s="25" t="str" cm="1">
        <f t="array" ref="AC56">_xlfn.IFNA(
    _xlfn.IFS(
        Z56="Shareholder","Shareholder",
        Z56="Same Company","Same Company",
        Z56="Bank","Bank",
        Z56="Government","Government",
        Z56="Social Insurance Agency","Government",
        Z56="Parent Company","Customer",
        Z56="Lender","Lender",
        Z56="Unknown","Unknown",
        ISNUMBER(SEARCH("Abdullah Abdulkarim",M56)),"Service Provider",
        ISNUMBER(SEARCH("Abdullah Fahad",M56)),"Service Provider",
        ISNUMBER(SEARCH("Advanced Equipments",M56)),"Supplier",
        ISNUMBER(SEARCH("Al Banuk Sana",M56)),"Supplier",
        ISNUMBER(SEARCH("Al Khaleefa Factory",M56)),"Supplier",
        ISNUMBER(SEARCH("Al Saadeh Trading",M56)),"Supplier",
        ISNUMBER(SEARCH("Al Zaehaan",M56)),"Supplier",
        ISNUMBER(SEARCH("Ali Abdullah K Al Darwish",M56)),"Service Provider",
        ISNUMBER(SEARCH("Bupa Arabia",M56)),"Insurance Company",
        ISNUMBER(SEARCH("Dar Fahoosaat",M56)),"Service Provider",
        ISNUMBER(SEARCH("General Authority of Zakat",M56)),"Tax Authority",
        ISNUMBER(SEARCH("Gulf Voyager",M56)),"Service Provider",
        ISNUMBER(SEARCH("Hopeway Trading",M56)),"Supplier",
        ISNUMBER(SEARCH("Interhealth Medical",M56)),"Customer",
        ISNUMBER(SEARCH("Ishaar",M56)),"Service Provider",
        ISNUMBER(SEARCH("ISO Arabia",M56)),"Service Provider",
        ISNUMBER(SEARCH("Khalid Saad Al Otaibi",M56)),"Supplier",
        ISNUMBER(SEARCH("MERAS for Decoration",M56)),"Supplier",
        ISNUMBER(SEARCH("Middle East Customs Clearance",M56)),"Service Provider",
        ISNUMBER(SEARCH("Ministry of Human Resources",M56)),"Regulatory Agency",
        ISNUMBER(SEARCH("My Business Services",M56)),"Service Provider",
        ISNUMBER(SEARCH("National Water Company",M56)),"Utility Provider",
        ISNUMBER(SEARCH("Rania Contracting",M56)),"Supplier",
        ISNUMBER(SEARCH("Sahab United Motors",M56)),"Supplier",
        ISNUMBER(SEARCH("Saudi Electric Company",M56)),"Utility Provider",
        ISNUMBER(SEARCH("Saudi Vetonit",M56)),"Supplier",
        ISNUMBER(SEARCH("Shomoul Eng",M56)),"Service Provider",
        ISNUMBER(SEARCH("STC",M56)),"Utility Provider",
        ISNUMBER(SEARCH("The General Organization for Social Insurance",M56)),"Social Insurance Agency",
        ISNUMBER(SEARCH("TUV Rheinland",M56)),"Service Provider",
        ISNUMBER(SEARCH("Al Arabia Ceramic",M56)),"Supplier",
        ISNUMBER(SEARCH("National Company for Building",M56)),"Customer",
        ISNUMBER(SEARCH("Athraa Holding",M56)),"Customer",
        ISNUMBER(SEARCH("Al Rasan",M56)),"Supplier",
        ISNUMBER(SEARCH("Raboua Al Haid",M56)),"Customer",
        ISNUMBER(SEARCH("Al Jazeera Paint",M56)),"Supplier",
        ISNUMBER(SEARCH("Rania Works Contracting",M56)),"Supplier",
        ISNUMBER(SEARCH("Bandar Jarallah",M56)),"Supplier",
        TRUE,"Supplier"
    ),
    "-"
)</f>
        <v>Supplier</v>
      </c>
      <c r="AD56" s="25" t="str" cm="1">
        <f t="array" ref="AD56">_xlfn.IFNA(
    _xlfn.IFS(
        AC56="Same Company","High",
        AC56="Shareholder","High",
        AC56="Government","High",
        AC56="Bank","High",
        AC56="Lender","High",
        AC56="Unknown","Low",
        AC56="-","Low",
        TRUE,"Medium"
    ),
    "-"
)</f>
        <v>Medium</v>
      </c>
      <c r="AE56" s="25" t="str">
        <f t="shared" si="2"/>
        <v>-</v>
      </c>
      <c r="AF56" s="25" t="str" cm="1">
        <f t="array" ref="AF56">_xlfn.IFNA(
    _xlfn.IFS(
        K56="Credit",
            _xlfn.IFS(
                OR(ISNUMBER(SEARCH("Rejected",L56)),ISNUMBER(SEARCH("Returned",L56))),"Other Income",
                TRUE,"Revenue"
            ),
        K56="Debit",
            _xlfn.IFS(
                ISNUMBER(SEARCH("Payroll",L56)),"OPEX",
                ISNUMBER(SEARCH("Expatriate",L56)),"OPEX",
                ISNUMBER(SEARCH("Zakat",M56)),"ZATCA",
                ISNUMBER(SEARCH("General Organization for Social Insurance",M56)),"OPEX",
                ISNUMBER(SEARCH("Saudi Electric",M56)),"OPEX",
                ISNUMBER(SEARCH("STC",M56)),"OPEX",
                ISNUMBER(SEARCH("National Water",M56)),"OPEX",
                ISNUMBER(SEARCH("Bupa",M56)),"OPEX",
                ISNUMBER(SEARCH("Abdullah Abdulkarim",M56)),"OPEX",
                ISNUMBER(SEARCH("Abdullah Fahad",M56)),"OPEX",
                ISNUMBER(SEARCH("ISO Arabia",M56)),"OPEX",
                ISNUMBER(SEARCH("Gulf Voyager",M56)),"OPEX",
                ISNUMBER(SEARCH("Ministry",M56)),"OPEX",
                ISNUMBER(SEARCH("General Authority of Zakat",M56)),"ZATCA",
                ISNUMBER(SEARCH("Rejected",L56)),"Other Income",
                TRUE,"COGS"
            ),
        TRUE,"-"
    ),
    "-"
)</f>
        <v>COGS</v>
      </c>
      <c r="AG56" s="25" t="str" cm="1">
        <f t="array" ref="AG56">_xlfn.IFNA(
    _xlfn.IFS(
        ISNUMBER(SEARCH("Payroll",L56)),"Payroll",
        ISNUMBER(SEARCH("Expatriate",L56)),"Government Fees",
        ISNUMBER(SEARCH("Zakat",M56)),"Zakat",
        ISNUMBER(SEARCH("Social Insurance",M56)),"Social Insurance",
        ISNUMBER(SEARCH("Saudi Electric",M56)),"Electricity",
        ISNUMBER(SEARCH("STC",M56)),"Telecom",
        ISNUMBER(SEARCH("National Water",M56)),"Water",
        ISNUMBER(SEARCH("Bupa",M56)),"Insurance",
        ISNUMBER(SEARCH("Gulf Voyager",M56)),"Travel",
        ISNUMBER(SEARCH("Ministry",M56)),"Government Fees",
        ISNUMBER(SEARCH("Abdullah Abdulkarim",M56)),"Consulting",
        ISNUMBER(SEARCH("Abdullah Fahad",M56)),"Accounting",
        ISNUMBER(SEARCH("ISO Arabia",M56)),"Consulting",
        ISNUMBER(SEARCH("Rejected",L56)),"Refund",
        AF56="COGS","Inventory Purchase",
        AF56="Revenue","Revenue",
        AF56="OPEX","Other",
        AF56="ZATCA","Zakat",
        TRUE,"-"
    ),
    "-"
)</f>
        <v>Inventory Purchase</v>
      </c>
      <c r="AH56" s="25" t="str" cm="1">
        <f t="array" ref="AH56">_xlfn.IFNA(
    _xlfn.IFS(
        AF56="-","Low",
        AF56="Other","Low",
        TRUE,"Medium"
    ),
    "-"
)</f>
        <v>Medium</v>
      </c>
      <c r="AI56" s="25" t="str">
        <f t="shared" si="3"/>
        <v>-</v>
      </c>
    </row>
    <row r="57" spans="1:35" x14ac:dyDescent="0.25">
      <c r="A57" s="10">
        <v>3</v>
      </c>
      <c r="B57" s="10" t="s">
        <v>35</v>
      </c>
      <c r="C57" s="10" t="s">
        <v>36</v>
      </c>
      <c r="D57" s="10" t="s">
        <v>37</v>
      </c>
      <c r="E57" s="10" t="s">
        <v>38</v>
      </c>
      <c r="F57" s="11" t="s">
        <v>39</v>
      </c>
      <c r="G57" s="11" t="s">
        <v>40</v>
      </c>
      <c r="H57" s="12">
        <v>45087</v>
      </c>
      <c r="I57" s="20">
        <v>77234.12</v>
      </c>
      <c r="J57" s="20">
        <v>25000</v>
      </c>
      <c r="K57" s="10" t="s">
        <v>41</v>
      </c>
      <c r="L57" s="9" t="s">
        <v>224</v>
      </c>
      <c r="M57" s="9" t="s">
        <v>316</v>
      </c>
      <c r="N57" s="9">
        <v>68203421964000</v>
      </c>
      <c r="O57" s="9" t="s">
        <v>226</v>
      </c>
      <c r="P57" s="15">
        <v>45087</v>
      </c>
      <c r="Q57" s="9" t="s">
        <v>318</v>
      </c>
      <c r="R57" s="16">
        <v>25000</v>
      </c>
      <c r="U57" s="9" t="s">
        <v>55</v>
      </c>
      <c r="V57" s="24" t="str" cm="1">
        <f t="array" ref="V57">_xlfn.IFNA(
    _xlfn.IFS(
        ISNUMBER(SEARCH("Fast Outgoing Transfer",L57)),"Transfer",
        ISNUMBER(SEARCH("Incoming Fast Transfer",L57)),"Transfer",
        ISNUMBER(SEARCH("Outgoing International Transfer",L57)),"Transfer",
        ISNUMBER(SEARCH("Bill Payment",L57)),"SADAD",
        ISNUMBER(SEARCH("Payroll",L57)),"Payroll",
        ISNUMBER(SEARCH("Cash Deposit",L57)),"Cash",
        ISNUMBER(SEARCH("Internal Transfer",L57)),"Transfer",
        ISNUMBER(SEARCH("Expatriate Services Payment",L57)),"SADAD",
        ISNUMBER(SEARCH("Rejected",L57)),"Transfer"
    ),
    "-"
)</f>
        <v>Transfer</v>
      </c>
      <c r="W57" s="25" t="str" cm="1">
        <f t="array" ref="W57">_xlfn.IFNA(
    _xlfn.IFS(
        AND(V57="Transfer",ISNUMBER(SEARCH("RIYAD BANK",L57))),"External FI",
        AND(V57="Transfer",ISNUMBER(SEARCH("Al Ahli",L57))),"External FI",
        AND(V57="Transfer",ISNUMBER(SEARCH("CIB via",L57))),"Local Transfer",
        AND(V57="Transfer",ISNUMBER(SEARCH("CIB)",L57))),"Local Transfer",
        AND(V57="Transfer",ISNUMBER(SEARCH("SMRT",L57))),"Local Transfer",
        AND(V57="Transfer",ISNUMBER(SEARCH("Al Murabba",L57))),"Local Transfer",
        AND(V57="Transfer",ISNUMBER(SEARCH("Internal Transfer",L57))),"Same FI",
        AND(V57="Transfer",ISNUMBER(SEARCH("Rejected",L57))),"Failed",
        V57="SADAD",
            _xlfn.IFS(
                ISNUMBER(SEARCH("Expatriate",L57)),"Expat Fees",
                TRUE,"Online Payment"
            ),
        V57="Payroll","Payroll",
        V57="Cash","Deposit",
        TRUE,"-"
    ),
    "-"
)</f>
        <v>Local Transfer</v>
      </c>
      <c r="X57" s="25" t="str" cm="1">
        <f t="array" ref="X57">_xlfn.IFNA(
    _xlfn.IFS(
        V57="-","Low",
        W57="-","Low",
        TRUE,"High"
    ),
    "-"
)</f>
        <v>High</v>
      </c>
      <c r="Y57" s="25" t="str">
        <f t="shared" si="0"/>
        <v>-</v>
      </c>
      <c r="Z57" s="25" t="str" cm="1">
        <f t="array" ref="Z57">_xlfn.IFNA(
    _xlfn.IFS(
        ISNUMBER(SEARCH("Abdul Latif Jameel",M57)),"Lender",
        ISNUMBER(SEARCH("Abdullah Abdulkarim Al Sudais",M57)),"Accounting",
        ISNUMBER(SEARCH("Abdullah Fahad for Accounting",M57)),"Accounting",
        ISNUMBER(SEARCH("Abdullah Rashid Shaikh",M57)),"Shareholder",
        ISNUMBER(SEARCH("Advanced Equipments",M57)),"Equipment Rental",
        ISNUMBER(SEARCH("Al Banuk Sana",M57)),"Telecom Company",
        ISNUMBER(SEARCH("Al Khaleefa Factory",M57)),"Manufacturer",
        ISNUMBER(SEARCH("Al Saadeh Trading",M57)),"Trading Company",
        ISNUMBER(SEARCH("Al Zaehaan",M57)),"Trading Company",
        ISNUMBER(SEARCH("Ali Abdullah K Al Darwish",M57)),"Airlines",
        ISNUMBER(SEARCH("Bupa Arabia",M57)),"Health Insurance",
        ISNUMBER(SEARCH("Dar Fahoosaat",M57)),"Consultant",
        ISNUMBER(SEARCH("General Authority of Zakat",M57)),"Tax Collection",
        ISNUMBER(SEARCH("Gulf Voyager",M57)),"Travel Agency",
        ISNUMBER(SEARCH("Hopeway Trading",M57)),"Trading Company",
        ISNUMBER(SEARCH("Interhealth Medical",M57)),"Medical Services",
        ISNUMBER(SEARCH("Ishaar",M57)),"Online Payment Service",
        ISNUMBER(SEARCH("ISO Arabia",M57)),"Certification",
        ISNUMBER(SEARCH("Khalid Saad Al Otaibi",M57)),"Trading Company",
        ISNUMBER(SEARCH("MERAS for Decoration",M57)),"Decor Company",
        ISNUMBER(SEARCH("Middle East Customs Clearance",M57)),"Customs",
        ISNUMBER(SEARCH("Ministry of Human Resources",M57)),"Government",
        ISNUMBER(SEARCH("My Business Services",M57)),"Service Provider",
        ISNUMBER(SEARCH("National Water Company",M57)),"Water Company",
        ISNUMBER(SEARCH("Rania Contracting",M57)),"Contracting",
        ISNUMBER(SEARCH("Rashid Ali Sheikh",M57)),"Shareholder",
        ISNUMBER(SEARCH("Sahab United Motors",M57)),"Car Show Room",
        ISNUMBER(SEARCH("Saud Mohammed Al Tamimi",M57)),"Shareholder",
        ISNUMBER(SEARCH("Saud Mohammed Tamimi",M57)),"Shareholder",
        ISNUMBER(SEARCH("Saudi Electric Company",M57)),"Electricity Company",
        ISNUMBER(SEARCH("Saudi Vetonit",M57)),"Building Materials",
        ISNUMBER(SEARCH("Shomoul Eng",M57)),"Safety",
        ISNUMBER(SEARCH("STC",M57)),"Telecom Company",
        ISNUMBER(SEARCH("The General Organization for Social Insurance",M57)),"Social Insurance Agency",
        ISNUMBER(SEARCH("TUV Rheinland",M57)),"Certification",
        ISNUMBER(SEARCH("Al Arabia Ceramic",M57)),"Building Materials",
        ISNUMBER(SEARCH("National Company for Building and Marketing",M57)),"Parent Company",
        ISNUMBER(SEARCH("Athraa Holding",M57)),"Holding Company",
        ISNUMBER(SEARCH("Al Rasan",M57)),"Contracting",
        ISNUMBER(SEARCH("Raboua Al Haid",M57)),"Trading Company",
        ISNUMBER(SEARCH("Al Jazeera Paint",M57)),"Manufacturer",
        ISNUMBER(SEARCH("Rania Works Contracting",M57)),"Contracting",
        ISNUMBER(SEARCH("Bandar Jarallah",M57)),"Trading Establishment",
        ISNUMBER(SEARCH("RS Infratec Saudi",M57)),"Same Company",
        ISNUMBER(SEARCH("Payroll",M57)),"Bank",
        ISNUMBER(SEARCH("Expatriate",M57)),"Government",
        ISNUMBER(SEARCH("Unknown Sender",M57)),"Unknown",
        TRUE,"Unknown"
    ),
    "-"
)</f>
        <v>Contracting</v>
      </c>
      <c r="AA57" s="25" t="str" cm="1">
        <f t="array" ref="AA57">_xlfn.IFNA(
    _xlfn.IFS(
        Z57="Lender","Financing",
        Z57="Accounting","Accounting",
        Z57="Shareholder","Individual",
        Z57="Equipment Rental","Equipment Rental",
        Z57="Telecom Company","Telecom",
        Z57="Manufacturer","Manufacturer",
        Z57="Trading Company","Trading And Transport",
        Z57="Trading Establishment","Trading",
        Z57="Airlines","Airlines",
        Z57="Health Insurance","Insurance",
        Z57="Consultant","Consultant",
        Z57="Tax Collection","Government",
        Z57="Travel Agency","Travel Agency",
        Z57="Medical Services","Medical Center",
        Z57="Online Payment Service","Payment Facilitator",
        Z57="Certification","Safety",
        Z57="Decor Company","Design",
        Z57="Customs","Customs",
        Z57="Government","Government",
        Z57="Service Provider","Service Provider",
        Z57="Water Company","Water Company",
        Z57="Contracting","Contracting",
        Z57="Car Show Room","Car Trader",
        Z57="Electricity Company","Electricity Company",
        Z57="Building Materials","Building Materials",
        Z57="Safety","Safety",
        Z57="Social Insurance Agency","Government Fund",
        Z57="Parent Company","Holding Company",
        Z57="Holding Company","Holding Company",
        Z57="Same Company","Construction",
        Z57="Bank","Bank",
        Z57="Unknown","Unknown",
        TRUE,"-"
    ),
    "-"
)</f>
        <v>Contracting</v>
      </c>
      <c r="AB57" s="25" t="str">
        <f t="shared" si="1"/>
        <v>-</v>
      </c>
      <c r="AC57" s="25" t="str" cm="1">
        <f t="array" ref="AC57">_xlfn.IFNA(
    _xlfn.IFS(
        Z57="Shareholder","Shareholder",
        Z57="Same Company","Same Company",
        Z57="Bank","Bank",
        Z57="Government","Government",
        Z57="Social Insurance Agency","Government",
        Z57="Parent Company","Customer",
        Z57="Lender","Lender",
        Z57="Unknown","Unknown",
        ISNUMBER(SEARCH("Abdullah Abdulkarim",M57)),"Service Provider",
        ISNUMBER(SEARCH("Abdullah Fahad",M57)),"Service Provider",
        ISNUMBER(SEARCH("Advanced Equipments",M57)),"Supplier",
        ISNUMBER(SEARCH("Al Banuk Sana",M57)),"Supplier",
        ISNUMBER(SEARCH("Al Khaleefa Factory",M57)),"Supplier",
        ISNUMBER(SEARCH("Al Saadeh Trading",M57)),"Supplier",
        ISNUMBER(SEARCH("Al Zaehaan",M57)),"Supplier",
        ISNUMBER(SEARCH("Ali Abdullah K Al Darwish",M57)),"Service Provider",
        ISNUMBER(SEARCH("Bupa Arabia",M57)),"Insurance Company",
        ISNUMBER(SEARCH("Dar Fahoosaat",M57)),"Service Provider",
        ISNUMBER(SEARCH("General Authority of Zakat",M57)),"Tax Authority",
        ISNUMBER(SEARCH("Gulf Voyager",M57)),"Service Provider",
        ISNUMBER(SEARCH("Hopeway Trading",M57)),"Supplier",
        ISNUMBER(SEARCH("Interhealth Medical",M57)),"Customer",
        ISNUMBER(SEARCH("Ishaar",M57)),"Service Provider",
        ISNUMBER(SEARCH("ISO Arabia",M57)),"Service Provider",
        ISNUMBER(SEARCH("Khalid Saad Al Otaibi",M57)),"Supplier",
        ISNUMBER(SEARCH("MERAS for Decoration",M57)),"Supplier",
        ISNUMBER(SEARCH("Middle East Customs Clearance",M57)),"Service Provider",
        ISNUMBER(SEARCH("Ministry of Human Resources",M57)),"Regulatory Agency",
        ISNUMBER(SEARCH("My Business Services",M57)),"Service Provider",
        ISNUMBER(SEARCH("National Water Company",M57)),"Utility Provider",
        ISNUMBER(SEARCH("Rania Contracting",M57)),"Supplier",
        ISNUMBER(SEARCH("Sahab United Motors",M57)),"Supplier",
        ISNUMBER(SEARCH("Saudi Electric Company",M57)),"Utility Provider",
        ISNUMBER(SEARCH("Saudi Vetonit",M57)),"Supplier",
        ISNUMBER(SEARCH("Shomoul Eng",M57)),"Service Provider",
        ISNUMBER(SEARCH("STC",M57)),"Utility Provider",
        ISNUMBER(SEARCH("The General Organization for Social Insurance",M57)),"Social Insurance Agency",
        ISNUMBER(SEARCH("TUV Rheinland",M57)),"Service Provider",
        ISNUMBER(SEARCH("Al Arabia Ceramic",M57)),"Supplier",
        ISNUMBER(SEARCH("National Company for Building",M57)),"Customer",
        ISNUMBER(SEARCH("Athraa Holding",M57)),"Customer",
        ISNUMBER(SEARCH("Al Rasan",M57)),"Supplier",
        ISNUMBER(SEARCH("Raboua Al Haid",M57)),"Customer",
        ISNUMBER(SEARCH("Al Jazeera Paint",M57)),"Supplier",
        ISNUMBER(SEARCH("Rania Works Contracting",M57)),"Supplier",
        ISNUMBER(SEARCH("Bandar Jarallah",M57)),"Supplier",
        TRUE,"Supplier"
    ),
    "-"
)</f>
        <v>Supplier</v>
      </c>
      <c r="AD57" s="25" t="str" cm="1">
        <f t="array" ref="AD57">_xlfn.IFNA(
    _xlfn.IFS(
        AC57="Same Company","High",
        AC57="Shareholder","High",
        AC57="Government","High",
        AC57="Bank","High",
        AC57="Lender","High",
        AC57="Unknown","Low",
        AC57="-","Low",
        TRUE,"Medium"
    ),
    "-"
)</f>
        <v>Medium</v>
      </c>
      <c r="AE57" s="25" t="str">
        <f t="shared" si="2"/>
        <v>-</v>
      </c>
      <c r="AF57" s="25" t="str" cm="1">
        <f t="array" ref="AF57">_xlfn.IFNA(
    _xlfn.IFS(
        K57="Credit",
            _xlfn.IFS(
                OR(ISNUMBER(SEARCH("Rejected",L57)),ISNUMBER(SEARCH("Returned",L57))),"Other Income",
                TRUE,"Revenue"
            ),
        K57="Debit",
            _xlfn.IFS(
                ISNUMBER(SEARCH("Payroll",L57)),"OPEX",
                ISNUMBER(SEARCH("Expatriate",L57)),"OPEX",
                ISNUMBER(SEARCH("Zakat",M57)),"ZATCA",
                ISNUMBER(SEARCH("General Organization for Social Insurance",M57)),"OPEX",
                ISNUMBER(SEARCH("Saudi Electric",M57)),"OPEX",
                ISNUMBER(SEARCH("STC",M57)),"OPEX",
                ISNUMBER(SEARCH("National Water",M57)),"OPEX",
                ISNUMBER(SEARCH("Bupa",M57)),"OPEX",
                ISNUMBER(SEARCH("Abdullah Abdulkarim",M57)),"OPEX",
                ISNUMBER(SEARCH("Abdullah Fahad",M57)),"OPEX",
                ISNUMBER(SEARCH("ISO Arabia",M57)),"OPEX",
                ISNUMBER(SEARCH("Gulf Voyager",M57)),"OPEX",
                ISNUMBER(SEARCH("Ministry",M57)),"OPEX",
                ISNUMBER(SEARCH("General Authority of Zakat",M57)),"ZATCA",
                ISNUMBER(SEARCH("Rejected",L57)),"Other Income",
                TRUE,"COGS"
            ),
        TRUE,"-"
    ),
    "-"
)</f>
        <v>COGS</v>
      </c>
      <c r="AG57" s="25" t="str" cm="1">
        <f t="array" ref="AG57">_xlfn.IFNA(
    _xlfn.IFS(
        ISNUMBER(SEARCH("Payroll",L57)),"Payroll",
        ISNUMBER(SEARCH("Expatriate",L57)),"Government Fees",
        ISNUMBER(SEARCH("Zakat",M57)),"Zakat",
        ISNUMBER(SEARCH("Social Insurance",M57)),"Social Insurance",
        ISNUMBER(SEARCH("Saudi Electric",M57)),"Electricity",
        ISNUMBER(SEARCH("STC",M57)),"Telecom",
        ISNUMBER(SEARCH("National Water",M57)),"Water",
        ISNUMBER(SEARCH("Bupa",M57)),"Insurance",
        ISNUMBER(SEARCH("Gulf Voyager",M57)),"Travel",
        ISNUMBER(SEARCH("Ministry",M57)),"Government Fees",
        ISNUMBER(SEARCH("Abdullah Abdulkarim",M57)),"Consulting",
        ISNUMBER(SEARCH("Abdullah Fahad",M57)),"Accounting",
        ISNUMBER(SEARCH("ISO Arabia",M57)),"Consulting",
        ISNUMBER(SEARCH("Rejected",L57)),"Refund",
        AF57="COGS","Inventory Purchase",
        AF57="Revenue","Revenue",
        AF57="OPEX","Other",
        AF57="ZATCA","Zakat",
        TRUE,"-"
    ),
    "-"
)</f>
        <v>Inventory Purchase</v>
      </c>
      <c r="AH57" s="25" t="str" cm="1">
        <f t="array" ref="AH57">_xlfn.IFNA(
    _xlfn.IFS(
        AF57="-","Low",
        AF57="Other","Low",
        TRUE,"Medium"
    ),
    "-"
)</f>
        <v>Medium</v>
      </c>
      <c r="AI57" s="25" t="str">
        <f t="shared" si="3"/>
        <v>-</v>
      </c>
    </row>
    <row r="58" spans="1:35" x14ac:dyDescent="0.25">
      <c r="A58" s="10">
        <v>3</v>
      </c>
      <c r="B58" s="10" t="s">
        <v>35</v>
      </c>
      <c r="C58" s="10" t="s">
        <v>36</v>
      </c>
      <c r="D58" s="10" t="s">
        <v>37</v>
      </c>
      <c r="E58" s="10" t="s">
        <v>38</v>
      </c>
      <c r="F58" s="11" t="s">
        <v>39</v>
      </c>
      <c r="G58" s="11" t="s">
        <v>40</v>
      </c>
      <c r="H58" s="12">
        <v>45091</v>
      </c>
      <c r="I58" s="20">
        <v>88035.74</v>
      </c>
      <c r="J58" s="20">
        <v>41437</v>
      </c>
      <c r="K58" s="10" t="s">
        <v>41</v>
      </c>
      <c r="L58" s="9" t="s">
        <v>224</v>
      </c>
      <c r="M58" s="9" t="s">
        <v>316</v>
      </c>
      <c r="N58" s="9">
        <v>68203421964000</v>
      </c>
      <c r="O58" s="9" t="s">
        <v>226</v>
      </c>
      <c r="P58" s="15">
        <v>45091</v>
      </c>
      <c r="Q58" s="9" t="s">
        <v>319</v>
      </c>
      <c r="R58" s="16">
        <v>41437</v>
      </c>
      <c r="U58" s="9" t="s">
        <v>55</v>
      </c>
      <c r="V58" s="24" t="str" cm="1">
        <f t="array" ref="V58">_xlfn.IFNA(
    _xlfn.IFS(
        ISNUMBER(SEARCH("Fast Outgoing Transfer",L58)),"Transfer",
        ISNUMBER(SEARCH("Incoming Fast Transfer",L58)),"Transfer",
        ISNUMBER(SEARCH("Outgoing International Transfer",L58)),"Transfer",
        ISNUMBER(SEARCH("Bill Payment",L58)),"SADAD",
        ISNUMBER(SEARCH("Payroll",L58)),"Payroll",
        ISNUMBER(SEARCH("Cash Deposit",L58)),"Cash",
        ISNUMBER(SEARCH("Internal Transfer",L58)),"Transfer",
        ISNUMBER(SEARCH("Expatriate Services Payment",L58)),"SADAD",
        ISNUMBER(SEARCH("Rejected",L58)),"Transfer"
    ),
    "-"
)</f>
        <v>Transfer</v>
      </c>
      <c r="W58" s="25" t="str" cm="1">
        <f t="array" ref="W58">_xlfn.IFNA(
    _xlfn.IFS(
        AND(V58="Transfer",ISNUMBER(SEARCH("RIYAD BANK",L58))),"External FI",
        AND(V58="Transfer",ISNUMBER(SEARCH("Al Ahli",L58))),"External FI",
        AND(V58="Transfer",ISNUMBER(SEARCH("CIB via",L58))),"Local Transfer",
        AND(V58="Transfer",ISNUMBER(SEARCH("CIB)",L58))),"Local Transfer",
        AND(V58="Transfer",ISNUMBER(SEARCH("SMRT",L58))),"Local Transfer",
        AND(V58="Transfer",ISNUMBER(SEARCH("Al Murabba",L58))),"Local Transfer",
        AND(V58="Transfer",ISNUMBER(SEARCH("Internal Transfer",L58))),"Same FI",
        AND(V58="Transfer",ISNUMBER(SEARCH("Rejected",L58))),"Failed",
        V58="SADAD",
            _xlfn.IFS(
                ISNUMBER(SEARCH("Expatriate",L58)),"Expat Fees",
                TRUE,"Online Payment"
            ),
        V58="Payroll","Payroll",
        V58="Cash","Deposit",
        TRUE,"-"
    ),
    "-"
)</f>
        <v>Local Transfer</v>
      </c>
      <c r="X58" s="25" t="str" cm="1">
        <f t="array" ref="X58">_xlfn.IFNA(
    _xlfn.IFS(
        V58="-","Low",
        W58="-","Low",
        TRUE,"High"
    ),
    "-"
)</f>
        <v>High</v>
      </c>
      <c r="Y58" s="25" t="str">
        <f t="shared" si="0"/>
        <v>-</v>
      </c>
      <c r="Z58" s="25" t="str" cm="1">
        <f t="array" ref="Z58">_xlfn.IFNA(
    _xlfn.IFS(
        ISNUMBER(SEARCH("Abdul Latif Jameel",M58)),"Lender",
        ISNUMBER(SEARCH("Abdullah Abdulkarim Al Sudais",M58)),"Accounting",
        ISNUMBER(SEARCH("Abdullah Fahad for Accounting",M58)),"Accounting",
        ISNUMBER(SEARCH("Abdullah Rashid Shaikh",M58)),"Shareholder",
        ISNUMBER(SEARCH("Advanced Equipments",M58)),"Equipment Rental",
        ISNUMBER(SEARCH("Al Banuk Sana",M58)),"Telecom Company",
        ISNUMBER(SEARCH("Al Khaleefa Factory",M58)),"Manufacturer",
        ISNUMBER(SEARCH("Al Saadeh Trading",M58)),"Trading Company",
        ISNUMBER(SEARCH("Al Zaehaan",M58)),"Trading Company",
        ISNUMBER(SEARCH("Ali Abdullah K Al Darwish",M58)),"Airlines",
        ISNUMBER(SEARCH("Bupa Arabia",M58)),"Health Insurance",
        ISNUMBER(SEARCH("Dar Fahoosaat",M58)),"Consultant",
        ISNUMBER(SEARCH("General Authority of Zakat",M58)),"Tax Collection",
        ISNUMBER(SEARCH("Gulf Voyager",M58)),"Travel Agency",
        ISNUMBER(SEARCH("Hopeway Trading",M58)),"Trading Company",
        ISNUMBER(SEARCH("Interhealth Medical",M58)),"Medical Services",
        ISNUMBER(SEARCH("Ishaar",M58)),"Online Payment Service",
        ISNUMBER(SEARCH("ISO Arabia",M58)),"Certification",
        ISNUMBER(SEARCH("Khalid Saad Al Otaibi",M58)),"Trading Company",
        ISNUMBER(SEARCH("MERAS for Decoration",M58)),"Decor Company",
        ISNUMBER(SEARCH("Middle East Customs Clearance",M58)),"Customs",
        ISNUMBER(SEARCH("Ministry of Human Resources",M58)),"Government",
        ISNUMBER(SEARCH("My Business Services",M58)),"Service Provider",
        ISNUMBER(SEARCH("National Water Company",M58)),"Water Company",
        ISNUMBER(SEARCH("Rania Contracting",M58)),"Contracting",
        ISNUMBER(SEARCH("Rashid Ali Sheikh",M58)),"Shareholder",
        ISNUMBER(SEARCH("Sahab United Motors",M58)),"Car Show Room",
        ISNUMBER(SEARCH("Saud Mohammed Al Tamimi",M58)),"Shareholder",
        ISNUMBER(SEARCH("Saud Mohammed Tamimi",M58)),"Shareholder",
        ISNUMBER(SEARCH("Saudi Electric Company",M58)),"Electricity Company",
        ISNUMBER(SEARCH("Saudi Vetonit",M58)),"Building Materials",
        ISNUMBER(SEARCH("Shomoul Eng",M58)),"Safety",
        ISNUMBER(SEARCH("STC",M58)),"Telecom Company",
        ISNUMBER(SEARCH("The General Organization for Social Insurance",M58)),"Social Insurance Agency",
        ISNUMBER(SEARCH("TUV Rheinland",M58)),"Certification",
        ISNUMBER(SEARCH("Al Arabia Ceramic",M58)),"Building Materials",
        ISNUMBER(SEARCH("National Company for Building and Marketing",M58)),"Parent Company",
        ISNUMBER(SEARCH("Athraa Holding",M58)),"Holding Company",
        ISNUMBER(SEARCH("Al Rasan",M58)),"Contracting",
        ISNUMBER(SEARCH("Raboua Al Haid",M58)),"Trading Company",
        ISNUMBER(SEARCH("Al Jazeera Paint",M58)),"Manufacturer",
        ISNUMBER(SEARCH("Rania Works Contracting",M58)),"Contracting",
        ISNUMBER(SEARCH("Bandar Jarallah",M58)),"Trading Establishment",
        ISNUMBER(SEARCH("RS Infratec Saudi",M58)),"Same Company",
        ISNUMBER(SEARCH("Payroll",M58)),"Bank",
        ISNUMBER(SEARCH("Expatriate",M58)),"Government",
        ISNUMBER(SEARCH("Unknown Sender",M58)),"Unknown",
        TRUE,"Unknown"
    ),
    "-"
)</f>
        <v>Contracting</v>
      </c>
      <c r="AA58" s="25" t="str" cm="1">
        <f t="array" ref="AA58">_xlfn.IFNA(
    _xlfn.IFS(
        Z58="Lender","Financing",
        Z58="Accounting","Accounting",
        Z58="Shareholder","Individual",
        Z58="Equipment Rental","Equipment Rental",
        Z58="Telecom Company","Telecom",
        Z58="Manufacturer","Manufacturer",
        Z58="Trading Company","Trading And Transport",
        Z58="Trading Establishment","Trading",
        Z58="Airlines","Airlines",
        Z58="Health Insurance","Insurance",
        Z58="Consultant","Consultant",
        Z58="Tax Collection","Government",
        Z58="Travel Agency","Travel Agency",
        Z58="Medical Services","Medical Center",
        Z58="Online Payment Service","Payment Facilitator",
        Z58="Certification","Safety",
        Z58="Decor Company","Design",
        Z58="Customs","Customs",
        Z58="Government","Government",
        Z58="Service Provider","Service Provider",
        Z58="Water Company","Water Company",
        Z58="Contracting","Contracting",
        Z58="Car Show Room","Car Trader",
        Z58="Electricity Company","Electricity Company",
        Z58="Building Materials","Building Materials",
        Z58="Safety","Safety",
        Z58="Social Insurance Agency","Government Fund",
        Z58="Parent Company","Holding Company",
        Z58="Holding Company","Holding Company",
        Z58="Same Company","Construction",
        Z58="Bank","Bank",
        Z58="Unknown","Unknown",
        TRUE,"-"
    ),
    "-"
)</f>
        <v>Contracting</v>
      </c>
      <c r="AB58" s="25" t="str">
        <f t="shared" si="1"/>
        <v>-</v>
      </c>
      <c r="AC58" s="25" t="str" cm="1">
        <f t="array" ref="AC58">_xlfn.IFNA(
    _xlfn.IFS(
        Z58="Shareholder","Shareholder",
        Z58="Same Company","Same Company",
        Z58="Bank","Bank",
        Z58="Government","Government",
        Z58="Social Insurance Agency","Government",
        Z58="Parent Company","Customer",
        Z58="Lender","Lender",
        Z58="Unknown","Unknown",
        ISNUMBER(SEARCH("Abdullah Abdulkarim",M58)),"Service Provider",
        ISNUMBER(SEARCH("Abdullah Fahad",M58)),"Service Provider",
        ISNUMBER(SEARCH("Advanced Equipments",M58)),"Supplier",
        ISNUMBER(SEARCH("Al Banuk Sana",M58)),"Supplier",
        ISNUMBER(SEARCH("Al Khaleefa Factory",M58)),"Supplier",
        ISNUMBER(SEARCH("Al Saadeh Trading",M58)),"Supplier",
        ISNUMBER(SEARCH("Al Zaehaan",M58)),"Supplier",
        ISNUMBER(SEARCH("Ali Abdullah K Al Darwish",M58)),"Service Provider",
        ISNUMBER(SEARCH("Bupa Arabia",M58)),"Insurance Company",
        ISNUMBER(SEARCH("Dar Fahoosaat",M58)),"Service Provider",
        ISNUMBER(SEARCH("General Authority of Zakat",M58)),"Tax Authority",
        ISNUMBER(SEARCH("Gulf Voyager",M58)),"Service Provider",
        ISNUMBER(SEARCH("Hopeway Trading",M58)),"Supplier",
        ISNUMBER(SEARCH("Interhealth Medical",M58)),"Customer",
        ISNUMBER(SEARCH("Ishaar",M58)),"Service Provider",
        ISNUMBER(SEARCH("ISO Arabia",M58)),"Service Provider",
        ISNUMBER(SEARCH("Khalid Saad Al Otaibi",M58)),"Supplier",
        ISNUMBER(SEARCH("MERAS for Decoration",M58)),"Supplier",
        ISNUMBER(SEARCH("Middle East Customs Clearance",M58)),"Service Provider",
        ISNUMBER(SEARCH("Ministry of Human Resources",M58)),"Regulatory Agency",
        ISNUMBER(SEARCH("My Business Services",M58)),"Service Provider",
        ISNUMBER(SEARCH("National Water Company",M58)),"Utility Provider",
        ISNUMBER(SEARCH("Rania Contracting",M58)),"Supplier",
        ISNUMBER(SEARCH("Sahab United Motors",M58)),"Supplier",
        ISNUMBER(SEARCH("Saudi Electric Company",M58)),"Utility Provider",
        ISNUMBER(SEARCH("Saudi Vetonit",M58)),"Supplier",
        ISNUMBER(SEARCH("Shomoul Eng",M58)),"Service Provider",
        ISNUMBER(SEARCH("STC",M58)),"Utility Provider",
        ISNUMBER(SEARCH("The General Organization for Social Insurance",M58)),"Social Insurance Agency",
        ISNUMBER(SEARCH("TUV Rheinland",M58)),"Service Provider",
        ISNUMBER(SEARCH("Al Arabia Ceramic",M58)),"Supplier",
        ISNUMBER(SEARCH("National Company for Building",M58)),"Customer",
        ISNUMBER(SEARCH("Athraa Holding",M58)),"Customer",
        ISNUMBER(SEARCH("Al Rasan",M58)),"Supplier",
        ISNUMBER(SEARCH("Raboua Al Haid",M58)),"Customer",
        ISNUMBER(SEARCH("Al Jazeera Paint",M58)),"Supplier",
        ISNUMBER(SEARCH("Rania Works Contracting",M58)),"Supplier",
        ISNUMBER(SEARCH("Bandar Jarallah",M58)),"Supplier",
        TRUE,"Supplier"
    ),
    "-"
)</f>
        <v>Supplier</v>
      </c>
      <c r="AD58" s="25" t="str" cm="1">
        <f t="array" ref="AD58">_xlfn.IFNA(
    _xlfn.IFS(
        AC58="Same Company","High",
        AC58="Shareholder","High",
        AC58="Government","High",
        AC58="Bank","High",
        AC58="Lender","High",
        AC58="Unknown","Low",
        AC58="-","Low",
        TRUE,"Medium"
    ),
    "-"
)</f>
        <v>Medium</v>
      </c>
      <c r="AE58" s="25" t="str">
        <f t="shared" si="2"/>
        <v>-</v>
      </c>
      <c r="AF58" s="25" t="str" cm="1">
        <f t="array" ref="AF58">_xlfn.IFNA(
    _xlfn.IFS(
        K58="Credit",
            _xlfn.IFS(
                OR(ISNUMBER(SEARCH("Rejected",L58)),ISNUMBER(SEARCH("Returned",L58))),"Other Income",
                TRUE,"Revenue"
            ),
        K58="Debit",
            _xlfn.IFS(
                ISNUMBER(SEARCH("Payroll",L58)),"OPEX",
                ISNUMBER(SEARCH("Expatriate",L58)),"OPEX",
                ISNUMBER(SEARCH("Zakat",M58)),"ZATCA",
                ISNUMBER(SEARCH("General Organization for Social Insurance",M58)),"OPEX",
                ISNUMBER(SEARCH("Saudi Electric",M58)),"OPEX",
                ISNUMBER(SEARCH("STC",M58)),"OPEX",
                ISNUMBER(SEARCH("National Water",M58)),"OPEX",
                ISNUMBER(SEARCH("Bupa",M58)),"OPEX",
                ISNUMBER(SEARCH("Abdullah Abdulkarim",M58)),"OPEX",
                ISNUMBER(SEARCH("Abdullah Fahad",M58)),"OPEX",
                ISNUMBER(SEARCH("ISO Arabia",M58)),"OPEX",
                ISNUMBER(SEARCH("Gulf Voyager",M58)),"OPEX",
                ISNUMBER(SEARCH("Ministry",M58)),"OPEX",
                ISNUMBER(SEARCH("General Authority of Zakat",M58)),"ZATCA",
                ISNUMBER(SEARCH("Rejected",L58)),"Other Income",
                TRUE,"COGS"
            ),
        TRUE,"-"
    ),
    "-"
)</f>
        <v>COGS</v>
      </c>
      <c r="AG58" s="25" t="str" cm="1">
        <f t="array" ref="AG58">_xlfn.IFNA(
    _xlfn.IFS(
        ISNUMBER(SEARCH("Payroll",L58)),"Payroll",
        ISNUMBER(SEARCH("Expatriate",L58)),"Government Fees",
        ISNUMBER(SEARCH("Zakat",M58)),"Zakat",
        ISNUMBER(SEARCH("Social Insurance",M58)),"Social Insurance",
        ISNUMBER(SEARCH("Saudi Electric",M58)),"Electricity",
        ISNUMBER(SEARCH("STC",M58)),"Telecom",
        ISNUMBER(SEARCH("National Water",M58)),"Water",
        ISNUMBER(SEARCH("Bupa",M58)),"Insurance",
        ISNUMBER(SEARCH("Gulf Voyager",M58)),"Travel",
        ISNUMBER(SEARCH("Ministry",M58)),"Government Fees",
        ISNUMBER(SEARCH("Abdullah Abdulkarim",M58)),"Consulting",
        ISNUMBER(SEARCH("Abdullah Fahad",M58)),"Accounting",
        ISNUMBER(SEARCH("ISO Arabia",M58)),"Consulting",
        ISNUMBER(SEARCH("Rejected",L58)),"Refund",
        AF58="COGS","Inventory Purchase",
        AF58="Revenue","Revenue",
        AF58="OPEX","Other",
        AF58="ZATCA","Zakat",
        TRUE,"-"
    ),
    "-"
)</f>
        <v>Inventory Purchase</v>
      </c>
      <c r="AH58" s="25" t="str" cm="1">
        <f t="array" ref="AH58">_xlfn.IFNA(
    _xlfn.IFS(
        AF58="-","Low",
        AF58="Other","Low",
        TRUE,"Medium"
    ),
    "-"
)</f>
        <v>Medium</v>
      </c>
      <c r="AI58" s="25" t="str">
        <f t="shared" si="3"/>
        <v>-</v>
      </c>
    </row>
    <row r="59" spans="1:35" x14ac:dyDescent="0.25">
      <c r="A59" s="10">
        <v>3</v>
      </c>
      <c r="B59" s="10" t="s">
        <v>35</v>
      </c>
      <c r="C59" s="10" t="s">
        <v>36</v>
      </c>
      <c r="D59" s="10" t="s">
        <v>37</v>
      </c>
      <c r="E59" s="10" t="s">
        <v>38</v>
      </c>
      <c r="F59" s="11" t="s">
        <v>39</v>
      </c>
      <c r="G59" s="11" t="s">
        <v>40</v>
      </c>
      <c r="H59" s="12">
        <v>44991</v>
      </c>
      <c r="I59" s="20">
        <v>186682.78</v>
      </c>
      <c r="J59" s="20">
        <v>4140</v>
      </c>
      <c r="K59" s="10" t="s">
        <v>41</v>
      </c>
      <c r="L59" s="9" t="s">
        <v>224</v>
      </c>
      <c r="M59" s="9" t="s">
        <v>320</v>
      </c>
      <c r="N59" s="9">
        <v>68200912922000</v>
      </c>
      <c r="O59" s="9" t="s">
        <v>226</v>
      </c>
      <c r="P59" s="15">
        <v>44991</v>
      </c>
      <c r="Q59" s="9" t="s">
        <v>321</v>
      </c>
      <c r="R59" s="16">
        <v>4140</v>
      </c>
      <c r="U59" s="9" t="s">
        <v>55</v>
      </c>
      <c r="V59" s="24" t="str" cm="1">
        <f t="array" ref="V59">_xlfn.IFNA(
    _xlfn.IFS(
        ISNUMBER(SEARCH("Fast Outgoing Transfer",L59)),"Transfer",
        ISNUMBER(SEARCH("Incoming Fast Transfer",L59)),"Transfer",
        ISNUMBER(SEARCH("Outgoing International Transfer",L59)),"Transfer",
        ISNUMBER(SEARCH("Bill Payment",L59)),"SADAD",
        ISNUMBER(SEARCH("Payroll",L59)),"Payroll",
        ISNUMBER(SEARCH("Cash Deposit",L59)),"Cash",
        ISNUMBER(SEARCH("Internal Transfer",L59)),"Transfer",
        ISNUMBER(SEARCH("Expatriate Services Payment",L59)),"SADAD",
        ISNUMBER(SEARCH("Rejected",L59)),"Transfer"
    ),
    "-"
)</f>
        <v>Transfer</v>
      </c>
      <c r="W59" s="25" t="str" cm="1">
        <f t="array" ref="W59">_xlfn.IFNA(
    _xlfn.IFS(
        AND(V59="Transfer",ISNUMBER(SEARCH("RIYAD BANK",L59))),"External FI",
        AND(V59="Transfer",ISNUMBER(SEARCH("Al Ahli",L59))),"External FI",
        AND(V59="Transfer",ISNUMBER(SEARCH("CIB via",L59))),"Local Transfer",
        AND(V59="Transfer",ISNUMBER(SEARCH("CIB)",L59))),"Local Transfer",
        AND(V59="Transfer",ISNUMBER(SEARCH("SMRT",L59))),"Local Transfer",
        AND(V59="Transfer",ISNUMBER(SEARCH("Al Murabba",L59))),"Local Transfer",
        AND(V59="Transfer",ISNUMBER(SEARCH("Internal Transfer",L59))),"Same FI",
        AND(V59="Transfer",ISNUMBER(SEARCH("Rejected",L59))),"Failed",
        V59="SADAD",
            _xlfn.IFS(
                ISNUMBER(SEARCH("Expatriate",L59)),"Expat Fees",
                TRUE,"Online Payment"
            ),
        V59="Payroll","Payroll",
        V59="Cash","Deposit",
        TRUE,"-"
    ),
    "-"
)</f>
        <v>Local Transfer</v>
      </c>
      <c r="X59" s="25" t="str" cm="1">
        <f t="array" ref="X59">_xlfn.IFNA(
    _xlfn.IFS(
        V59="-","Low",
        W59="-","Low",
        TRUE,"High"
    ),
    "-"
)</f>
        <v>High</v>
      </c>
      <c r="Y59" s="25" t="str">
        <f t="shared" si="0"/>
        <v>-</v>
      </c>
      <c r="Z59" s="25" t="str" cm="1">
        <f t="array" ref="Z59">_xlfn.IFNA(
    _xlfn.IFS(
        ISNUMBER(SEARCH("Abdul Latif Jameel",M59)),"Lender",
        ISNUMBER(SEARCH("Abdullah Abdulkarim Al Sudais",M59)),"Accounting",
        ISNUMBER(SEARCH("Abdullah Fahad for Accounting",M59)),"Accounting",
        ISNUMBER(SEARCH("Abdullah Rashid Shaikh",M59)),"Shareholder",
        ISNUMBER(SEARCH("Advanced Equipments",M59)),"Equipment Rental",
        ISNUMBER(SEARCH("Al Banuk Sana",M59)),"Telecom Company",
        ISNUMBER(SEARCH("Al Khaleefa Factory",M59)),"Manufacturer",
        ISNUMBER(SEARCH("Al Saadeh Trading",M59)),"Trading Company",
        ISNUMBER(SEARCH("Al Zaehaan",M59)),"Trading Company",
        ISNUMBER(SEARCH("Ali Abdullah K Al Darwish",M59)),"Airlines",
        ISNUMBER(SEARCH("Bupa Arabia",M59)),"Health Insurance",
        ISNUMBER(SEARCH("Dar Fahoosaat",M59)),"Consultant",
        ISNUMBER(SEARCH("General Authority of Zakat",M59)),"Tax Collection",
        ISNUMBER(SEARCH("Gulf Voyager",M59)),"Travel Agency",
        ISNUMBER(SEARCH("Hopeway Trading",M59)),"Trading Company",
        ISNUMBER(SEARCH("Interhealth Medical",M59)),"Medical Services",
        ISNUMBER(SEARCH("Ishaar",M59)),"Online Payment Service",
        ISNUMBER(SEARCH("ISO Arabia",M59)),"Certification",
        ISNUMBER(SEARCH("Khalid Saad Al Otaibi",M59)),"Trading Company",
        ISNUMBER(SEARCH("MERAS for Decoration",M59)),"Decor Company",
        ISNUMBER(SEARCH("Middle East Customs Clearance",M59)),"Customs",
        ISNUMBER(SEARCH("Ministry of Human Resources",M59)),"Government",
        ISNUMBER(SEARCH("My Business Services",M59)),"Service Provider",
        ISNUMBER(SEARCH("National Water Company",M59)),"Water Company",
        ISNUMBER(SEARCH("Rania Contracting",M59)),"Contracting",
        ISNUMBER(SEARCH("Rashid Ali Sheikh",M59)),"Shareholder",
        ISNUMBER(SEARCH("Sahab United Motors",M59)),"Car Show Room",
        ISNUMBER(SEARCH("Saud Mohammed Al Tamimi",M59)),"Shareholder",
        ISNUMBER(SEARCH("Saud Mohammed Tamimi",M59)),"Shareholder",
        ISNUMBER(SEARCH("Saudi Electric Company",M59)),"Electricity Company",
        ISNUMBER(SEARCH("Saudi Vetonit",M59)),"Building Materials",
        ISNUMBER(SEARCH("Shomoul Eng",M59)),"Safety",
        ISNUMBER(SEARCH("STC",M59)),"Telecom Company",
        ISNUMBER(SEARCH("The General Organization for Social Insurance",M59)),"Social Insurance Agency",
        ISNUMBER(SEARCH("TUV Rheinland",M59)),"Certification",
        ISNUMBER(SEARCH("Al Arabia Ceramic",M59)),"Building Materials",
        ISNUMBER(SEARCH("National Company for Building and Marketing",M59)),"Parent Company",
        ISNUMBER(SEARCH("Athraa Holding",M59)),"Holding Company",
        ISNUMBER(SEARCH("Al Rasan",M59)),"Contracting",
        ISNUMBER(SEARCH("Raboua Al Haid",M59)),"Trading Company",
        ISNUMBER(SEARCH("Al Jazeera Paint",M59)),"Manufacturer",
        ISNUMBER(SEARCH("Rania Works Contracting",M59)),"Contracting",
        ISNUMBER(SEARCH("Bandar Jarallah",M59)),"Trading Establishment",
        ISNUMBER(SEARCH("RS Infratec Saudi",M59)),"Same Company",
        ISNUMBER(SEARCH("Payroll",M59)),"Bank",
        ISNUMBER(SEARCH("Expatriate",M59)),"Government",
        ISNUMBER(SEARCH("Unknown Sender",M59)),"Unknown",
        TRUE,"Unknown"
    ),
    "-"
)</f>
        <v>Trading Establishment</v>
      </c>
      <c r="AA59" s="25" t="str" cm="1">
        <f t="array" ref="AA59">_xlfn.IFNA(
    _xlfn.IFS(
        Z59="Lender","Financing",
        Z59="Accounting","Accounting",
        Z59="Shareholder","Individual",
        Z59="Equipment Rental","Equipment Rental",
        Z59="Telecom Company","Telecom",
        Z59="Manufacturer","Manufacturer",
        Z59="Trading Company","Trading And Transport",
        Z59="Trading Establishment","Trading",
        Z59="Airlines","Airlines",
        Z59="Health Insurance","Insurance",
        Z59="Consultant","Consultant",
        Z59="Tax Collection","Government",
        Z59="Travel Agency","Travel Agency",
        Z59="Medical Services","Medical Center",
        Z59="Online Payment Service","Payment Facilitator",
        Z59="Certification","Safety",
        Z59="Decor Company","Design",
        Z59="Customs","Customs",
        Z59="Government","Government",
        Z59="Service Provider","Service Provider",
        Z59="Water Company","Water Company",
        Z59="Contracting","Contracting",
        Z59="Car Show Room","Car Trader",
        Z59="Electricity Company","Electricity Company",
        Z59="Building Materials","Building Materials",
        Z59="Safety","Safety",
        Z59="Social Insurance Agency","Government Fund",
        Z59="Parent Company","Holding Company",
        Z59="Holding Company","Holding Company",
        Z59="Same Company","Construction",
        Z59="Bank","Bank",
        Z59="Unknown","Unknown",
        TRUE,"-"
    ),
    "-"
)</f>
        <v>Trading</v>
      </c>
      <c r="AB59" s="25" t="str">
        <f t="shared" si="1"/>
        <v>-</v>
      </c>
      <c r="AC59" s="25" t="str" cm="1">
        <f t="array" ref="AC59">_xlfn.IFNA(
    _xlfn.IFS(
        Z59="Shareholder","Shareholder",
        Z59="Same Company","Same Company",
        Z59="Bank","Bank",
        Z59="Government","Government",
        Z59="Social Insurance Agency","Government",
        Z59="Parent Company","Customer",
        Z59="Lender","Lender",
        Z59="Unknown","Unknown",
        ISNUMBER(SEARCH("Abdullah Abdulkarim",M59)),"Service Provider",
        ISNUMBER(SEARCH("Abdullah Fahad",M59)),"Service Provider",
        ISNUMBER(SEARCH("Advanced Equipments",M59)),"Supplier",
        ISNUMBER(SEARCH("Al Banuk Sana",M59)),"Supplier",
        ISNUMBER(SEARCH("Al Khaleefa Factory",M59)),"Supplier",
        ISNUMBER(SEARCH("Al Saadeh Trading",M59)),"Supplier",
        ISNUMBER(SEARCH("Al Zaehaan",M59)),"Supplier",
        ISNUMBER(SEARCH("Ali Abdullah K Al Darwish",M59)),"Service Provider",
        ISNUMBER(SEARCH("Bupa Arabia",M59)),"Insurance Company",
        ISNUMBER(SEARCH("Dar Fahoosaat",M59)),"Service Provider",
        ISNUMBER(SEARCH("General Authority of Zakat",M59)),"Tax Authority",
        ISNUMBER(SEARCH("Gulf Voyager",M59)),"Service Provider",
        ISNUMBER(SEARCH("Hopeway Trading",M59)),"Supplier",
        ISNUMBER(SEARCH("Interhealth Medical",M59)),"Customer",
        ISNUMBER(SEARCH("Ishaar",M59)),"Service Provider",
        ISNUMBER(SEARCH("ISO Arabia",M59)),"Service Provider",
        ISNUMBER(SEARCH("Khalid Saad Al Otaibi",M59)),"Supplier",
        ISNUMBER(SEARCH("MERAS for Decoration",M59)),"Supplier",
        ISNUMBER(SEARCH("Middle East Customs Clearance",M59)),"Service Provider",
        ISNUMBER(SEARCH("Ministry of Human Resources",M59)),"Regulatory Agency",
        ISNUMBER(SEARCH("My Business Services",M59)),"Service Provider",
        ISNUMBER(SEARCH("National Water Company",M59)),"Utility Provider",
        ISNUMBER(SEARCH("Rania Contracting",M59)),"Supplier",
        ISNUMBER(SEARCH("Sahab United Motors",M59)),"Supplier",
        ISNUMBER(SEARCH("Saudi Electric Company",M59)),"Utility Provider",
        ISNUMBER(SEARCH("Saudi Vetonit",M59)),"Supplier",
        ISNUMBER(SEARCH("Shomoul Eng",M59)),"Service Provider",
        ISNUMBER(SEARCH("STC",M59)),"Utility Provider",
        ISNUMBER(SEARCH("The General Organization for Social Insurance",M59)),"Social Insurance Agency",
        ISNUMBER(SEARCH("TUV Rheinland",M59)),"Service Provider",
        ISNUMBER(SEARCH("Al Arabia Ceramic",M59)),"Supplier",
        ISNUMBER(SEARCH("National Company for Building",M59)),"Customer",
        ISNUMBER(SEARCH("Athraa Holding",M59)),"Customer",
        ISNUMBER(SEARCH("Al Rasan",M59)),"Supplier",
        ISNUMBER(SEARCH("Raboua Al Haid",M59)),"Customer",
        ISNUMBER(SEARCH("Al Jazeera Paint",M59)),"Supplier",
        ISNUMBER(SEARCH("Rania Works Contracting",M59)),"Supplier",
        ISNUMBER(SEARCH("Bandar Jarallah",M59)),"Supplier",
        TRUE,"Supplier"
    ),
    "-"
)</f>
        <v>Supplier</v>
      </c>
      <c r="AD59" s="25" t="str" cm="1">
        <f t="array" ref="AD59">_xlfn.IFNA(
    _xlfn.IFS(
        AC59="Same Company","High",
        AC59="Shareholder","High",
        AC59="Government","High",
        AC59="Bank","High",
        AC59="Lender","High",
        AC59="Unknown","Low",
        AC59="-","Low",
        TRUE,"Medium"
    ),
    "-"
)</f>
        <v>Medium</v>
      </c>
      <c r="AE59" s="25" t="str">
        <f t="shared" si="2"/>
        <v>-</v>
      </c>
      <c r="AF59" s="25" t="str" cm="1">
        <f t="array" ref="AF59">_xlfn.IFNA(
    _xlfn.IFS(
        K59="Credit",
            _xlfn.IFS(
                OR(ISNUMBER(SEARCH("Rejected",L59)),ISNUMBER(SEARCH("Returned",L59))),"Other Income",
                TRUE,"Revenue"
            ),
        K59="Debit",
            _xlfn.IFS(
                ISNUMBER(SEARCH("Payroll",L59)),"OPEX",
                ISNUMBER(SEARCH("Expatriate",L59)),"OPEX",
                ISNUMBER(SEARCH("Zakat",M59)),"ZATCA",
                ISNUMBER(SEARCH("General Organization for Social Insurance",M59)),"OPEX",
                ISNUMBER(SEARCH("Saudi Electric",M59)),"OPEX",
                ISNUMBER(SEARCH("STC",M59)),"OPEX",
                ISNUMBER(SEARCH("National Water",M59)),"OPEX",
                ISNUMBER(SEARCH("Bupa",M59)),"OPEX",
                ISNUMBER(SEARCH("Abdullah Abdulkarim",M59)),"OPEX",
                ISNUMBER(SEARCH("Abdullah Fahad",M59)),"OPEX",
                ISNUMBER(SEARCH("ISO Arabia",M59)),"OPEX",
                ISNUMBER(SEARCH("Gulf Voyager",M59)),"OPEX",
                ISNUMBER(SEARCH("Ministry",M59)),"OPEX",
                ISNUMBER(SEARCH("General Authority of Zakat",M59)),"ZATCA",
                ISNUMBER(SEARCH("Rejected",L59)),"Other Income",
                TRUE,"COGS"
            ),
        TRUE,"-"
    ),
    "-"
)</f>
        <v>COGS</v>
      </c>
      <c r="AG59" s="25" t="str" cm="1">
        <f t="array" ref="AG59">_xlfn.IFNA(
    _xlfn.IFS(
        ISNUMBER(SEARCH("Payroll",L59)),"Payroll",
        ISNUMBER(SEARCH("Expatriate",L59)),"Government Fees",
        ISNUMBER(SEARCH("Zakat",M59)),"Zakat",
        ISNUMBER(SEARCH("Social Insurance",M59)),"Social Insurance",
        ISNUMBER(SEARCH("Saudi Electric",M59)),"Electricity",
        ISNUMBER(SEARCH("STC",M59)),"Telecom",
        ISNUMBER(SEARCH("National Water",M59)),"Water",
        ISNUMBER(SEARCH("Bupa",M59)),"Insurance",
        ISNUMBER(SEARCH("Gulf Voyager",M59)),"Travel",
        ISNUMBER(SEARCH("Ministry",M59)),"Government Fees",
        ISNUMBER(SEARCH("Abdullah Abdulkarim",M59)),"Consulting",
        ISNUMBER(SEARCH("Abdullah Fahad",M59)),"Accounting",
        ISNUMBER(SEARCH("ISO Arabia",M59)),"Consulting",
        ISNUMBER(SEARCH("Rejected",L59)),"Refund",
        AF59="COGS","Inventory Purchase",
        AF59="Revenue","Revenue",
        AF59="OPEX","Other",
        AF59="ZATCA","Zakat",
        TRUE,"-"
    ),
    "-"
)</f>
        <v>Inventory Purchase</v>
      </c>
      <c r="AH59" s="25" t="str" cm="1">
        <f t="array" ref="AH59">_xlfn.IFNA(
    _xlfn.IFS(
        AF59="-","Low",
        AF59="Other","Low",
        TRUE,"Medium"
    ),
    "-"
)</f>
        <v>Medium</v>
      </c>
      <c r="AI59" s="25" t="str">
        <f t="shared" si="3"/>
        <v>-</v>
      </c>
    </row>
    <row r="60" spans="1:35" x14ac:dyDescent="0.25">
      <c r="A60" s="10">
        <v>3</v>
      </c>
      <c r="B60" s="10" t="s">
        <v>35</v>
      </c>
      <c r="C60" s="10" t="s">
        <v>36</v>
      </c>
      <c r="D60" s="10" t="s">
        <v>37</v>
      </c>
      <c r="E60" s="10" t="s">
        <v>38</v>
      </c>
      <c r="F60" s="11" t="s">
        <v>39</v>
      </c>
      <c r="G60" s="11" t="s">
        <v>40</v>
      </c>
      <c r="H60" s="12">
        <v>45014</v>
      </c>
      <c r="I60" s="20">
        <v>11736.82</v>
      </c>
      <c r="J60" s="20">
        <v>4830</v>
      </c>
      <c r="K60" s="10" t="s">
        <v>41</v>
      </c>
      <c r="L60" s="9" t="s">
        <v>224</v>
      </c>
      <c r="M60" s="9" t="s">
        <v>320</v>
      </c>
      <c r="N60" s="9">
        <v>68200912922000</v>
      </c>
      <c r="O60" s="9" t="s">
        <v>226</v>
      </c>
      <c r="P60" s="15">
        <v>45014</v>
      </c>
      <c r="Q60" s="9" t="s">
        <v>322</v>
      </c>
      <c r="R60" s="16">
        <v>4830</v>
      </c>
      <c r="U60" s="9" t="s">
        <v>55</v>
      </c>
      <c r="V60" s="24" t="str" cm="1">
        <f t="array" ref="V60">_xlfn.IFNA(
    _xlfn.IFS(
        ISNUMBER(SEARCH("Fast Outgoing Transfer",L60)),"Transfer",
        ISNUMBER(SEARCH("Incoming Fast Transfer",L60)),"Transfer",
        ISNUMBER(SEARCH("Outgoing International Transfer",L60)),"Transfer",
        ISNUMBER(SEARCH("Bill Payment",L60)),"SADAD",
        ISNUMBER(SEARCH("Payroll",L60)),"Payroll",
        ISNUMBER(SEARCH("Cash Deposit",L60)),"Cash",
        ISNUMBER(SEARCH("Internal Transfer",L60)),"Transfer",
        ISNUMBER(SEARCH("Expatriate Services Payment",L60)),"SADAD",
        ISNUMBER(SEARCH("Rejected",L60)),"Transfer"
    ),
    "-"
)</f>
        <v>Transfer</v>
      </c>
      <c r="W60" s="25" t="str" cm="1">
        <f t="array" ref="W60">_xlfn.IFNA(
    _xlfn.IFS(
        AND(V60="Transfer",ISNUMBER(SEARCH("RIYAD BANK",L60))),"External FI",
        AND(V60="Transfer",ISNUMBER(SEARCH("Al Ahli",L60))),"External FI",
        AND(V60="Transfer",ISNUMBER(SEARCH("CIB via",L60))),"Local Transfer",
        AND(V60="Transfer",ISNUMBER(SEARCH("CIB)",L60))),"Local Transfer",
        AND(V60="Transfer",ISNUMBER(SEARCH("SMRT",L60))),"Local Transfer",
        AND(V60="Transfer",ISNUMBER(SEARCH("Al Murabba",L60))),"Local Transfer",
        AND(V60="Transfer",ISNUMBER(SEARCH("Internal Transfer",L60))),"Same FI",
        AND(V60="Transfer",ISNUMBER(SEARCH("Rejected",L60))),"Failed",
        V60="SADAD",
            _xlfn.IFS(
                ISNUMBER(SEARCH("Expatriate",L60)),"Expat Fees",
                TRUE,"Online Payment"
            ),
        V60="Payroll","Payroll",
        V60="Cash","Deposit",
        TRUE,"-"
    ),
    "-"
)</f>
        <v>Local Transfer</v>
      </c>
      <c r="X60" s="25" t="str" cm="1">
        <f t="array" ref="X60">_xlfn.IFNA(
    _xlfn.IFS(
        V60="-","Low",
        W60="-","Low",
        TRUE,"High"
    ),
    "-"
)</f>
        <v>High</v>
      </c>
      <c r="Y60" s="25" t="str">
        <f t="shared" si="0"/>
        <v>-</v>
      </c>
      <c r="Z60" s="25" t="str" cm="1">
        <f t="array" ref="Z60">_xlfn.IFNA(
    _xlfn.IFS(
        ISNUMBER(SEARCH("Abdul Latif Jameel",M60)),"Lender",
        ISNUMBER(SEARCH("Abdullah Abdulkarim Al Sudais",M60)),"Accounting",
        ISNUMBER(SEARCH("Abdullah Fahad for Accounting",M60)),"Accounting",
        ISNUMBER(SEARCH("Abdullah Rashid Shaikh",M60)),"Shareholder",
        ISNUMBER(SEARCH("Advanced Equipments",M60)),"Equipment Rental",
        ISNUMBER(SEARCH("Al Banuk Sana",M60)),"Telecom Company",
        ISNUMBER(SEARCH("Al Khaleefa Factory",M60)),"Manufacturer",
        ISNUMBER(SEARCH("Al Saadeh Trading",M60)),"Trading Company",
        ISNUMBER(SEARCH("Al Zaehaan",M60)),"Trading Company",
        ISNUMBER(SEARCH("Ali Abdullah K Al Darwish",M60)),"Airlines",
        ISNUMBER(SEARCH("Bupa Arabia",M60)),"Health Insurance",
        ISNUMBER(SEARCH("Dar Fahoosaat",M60)),"Consultant",
        ISNUMBER(SEARCH("General Authority of Zakat",M60)),"Tax Collection",
        ISNUMBER(SEARCH("Gulf Voyager",M60)),"Travel Agency",
        ISNUMBER(SEARCH("Hopeway Trading",M60)),"Trading Company",
        ISNUMBER(SEARCH("Interhealth Medical",M60)),"Medical Services",
        ISNUMBER(SEARCH("Ishaar",M60)),"Online Payment Service",
        ISNUMBER(SEARCH("ISO Arabia",M60)),"Certification",
        ISNUMBER(SEARCH("Khalid Saad Al Otaibi",M60)),"Trading Company",
        ISNUMBER(SEARCH("MERAS for Decoration",M60)),"Decor Company",
        ISNUMBER(SEARCH("Middle East Customs Clearance",M60)),"Customs",
        ISNUMBER(SEARCH("Ministry of Human Resources",M60)),"Government",
        ISNUMBER(SEARCH("My Business Services",M60)),"Service Provider",
        ISNUMBER(SEARCH("National Water Company",M60)),"Water Company",
        ISNUMBER(SEARCH("Rania Contracting",M60)),"Contracting",
        ISNUMBER(SEARCH("Rashid Ali Sheikh",M60)),"Shareholder",
        ISNUMBER(SEARCH("Sahab United Motors",M60)),"Car Show Room",
        ISNUMBER(SEARCH("Saud Mohammed Al Tamimi",M60)),"Shareholder",
        ISNUMBER(SEARCH("Saud Mohammed Tamimi",M60)),"Shareholder",
        ISNUMBER(SEARCH("Saudi Electric Company",M60)),"Electricity Company",
        ISNUMBER(SEARCH("Saudi Vetonit",M60)),"Building Materials",
        ISNUMBER(SEARCH("Shomoul Eng",M60)),"Safety",
        ISNUMBER(SEARCH("STC",M60)),"Telecom Company",
        ISNUMBER(SEARCH("The General Organization for Social Insurance",M60)),"Social Insurance Agency",
        ISNUMBER(SEARCH("TUV Rheinland",M60)),"Certification",
        ISNUMBER(SEARCH("Al Arabia Ceramic",M60)),"Building Materials",
        ISNUMBER(SEARCH("National Company for Building and Marketing",M60)),"Parent Company",
        ISNUMBER(SEARCH("Athraa Holding",M60)),"Holding Company",
        ISNUMBER(SEARCH("Al Rasan",M60)),"Contracting",
        ISNUMBER(SEARCH("Raboua Al Haid",M60)),"Trading Company",
        ISNUMBER(SEARCH("Al Jazeera Paint",M60)),"Manufacturer",
        ISNUMBER(SEARCH("Rania Works Contracting",M60)),"Contracting",
        ISNUMBER(SEARCH("Bandar Jarallah",M60)),"Trading Establishment",
        ISNUMBER(SEARCH("RS Infratec Saudi",M60)),"Same Company",
        ISNUMBER(SEARCH("Payroll",M60)),"Bank",
        ISNUMBER(SEARCH("Expatriate",M60)),"Government",
        ISNUMBER(SEARCH("Unknown Sender",M60)),"Unknown",
        TRUE,"Unknown"
    ),
    "-"
)</f>
        <v>Trading Establishment</v>
      </c>
      <c r="AA60" s="25" t="str" cm="1">
        <f t="array" ref="AA60">_xlfn.IFNA(
    _xlfn.IFS(
        Z60="Lender","Financing",
        Z60="Accounting","Accounting",
        Z60="Shareholder","Individual",
        Z60="Equipment Rental","Equipment Rental",
        Z60="Telecom Company","Telecom",
        Z60="Manufacturer","Manufacturer",
        Z60="Trading Company","Trading And Transport",
        Z60="Trading Establishment","Trading",
        Z60="Airlines","Airlines",
        Z60="Health Insurance","Insurance",
        Z60="Consultant","Consultant",
        Z60="Tax Collection","Government",
        Z60="Travel Agency","Travel Agency",
        Z60="Medical Services","Medical Center",
        Z60="Online Payment Service","Payment Facilitator",
        Z60="Certification","Safety",
        Z60="Decor Company","Design",
        Z60="Customs","Customs",
        Z60="Government","Government",
        Z60="Service Provider","Service Provider",
        Z60="Water Company","Water Company",
        Z60="Contracting","Contracting",
        Z60="Car Show Room","Car Trader",
        Z60="Electricity Company","Electricity Company",
        Z60="Building Materials","Building Materials",
        Z60="Safety","Safety",
        Z60="Social Insurance Agency","Government Fund",
        Z60="Parent Company","Holding Company",
        Z60="Holding Company","Holding Company",
        Z60="Same Company","Construction",
        Z60="Bank","Bank",
        Z60="Unknown","Unknown",
        TRUE,"-"
    ),
    "-"
)</f>
        <v>Trading</v>
      </c>
      <c r="AB60" s="25" t="str">
        <f t="shared" si="1"/>
        <v>-</v>
      </c>
      <c r="AC60" s="25" t="str" cm="1">
        <f t="array" ref="AC60">_xlfn.IFNA(
    _xlfn.IFS(
        Z60="Shareholder","Shareholder",
        Z60="Same Company","Same Company",
        Z60="Bank","Bank",
        Z60="Government","Government",
        Z60="Social Insurance Agency","Government",
        Z60="Parent Company","Customer",
        Z60="Lender","Lender",
        Z60="Unknown","Unknown",
        ISNUMBER(SEARCH("Abdullah Abdulkarim",M60)),"Service Provider",
        ISNUMBER(SEARCH("Abdullah Fahad",M60)),"Service Provider",
        ISNUMBER(SEARCH("Advanced Equipments",M60)),"Supplier",
        ISNUMBER(SEARCH("Al Banuk Sana",M60)),"Supplier",
        ISNUMBER(SEARCH("Al Khaleefa Factory",M60)),"Supplier",
        ISNUMBER(SEARCH("Al Saadeh Trading",M60)),"Supplier",
        ISNUMBER(SEARCH("Al Zaehaan",M60)),"Supplier",
        ISNUMBER(SEARCH("Ali Abdullah K Al Darwish",M60)),"Service Provider",
        ISNUMBER(SEARCH("Bupa Arabia",M60)),"Insurance Company",
        ISNUMBER(SEARCH("Dar Fahoosaat",M60)),"Service Provider",
        ISNUMBER(SEARCH("General Authority of Zakat",M60)),"Tax Authority",
        ISNUMBER(SEARCH("Gulf Voyager",M60)),"Service Provider",
        ISNUMBER(SEARCH("Hopeway Trading",M60)),"Supplier",
        ISNUMBER(SEARCH("Interhealth Medical",M60)),"Customer",
        ISNUMBER(SEARCH("Ishaar",M60)),"Service Provider",
        ISNUMBER(SEARCH("ISO Arabia",M60)),"Service Provider",
        ISNUMBER(SEARCH("Khalid Saad Al Otaibi",M60)),"Supplier",
        ISNUMBER(SEARCH("MERAS for Decoration",M60)),"Supplier",
        ISNUMBER(SEARCH("Middle East Customs Clearance",M60)),"Service Provider",
        ISNUMBER(SEARCH("Ministry of Human Resources",M60)),"Regulatory Agency",
        ISNUMBER(SEARCH("My Business Services",M60)),"Service Provider",
        ISNUMBER(SEARCH("National Water Company",M60)),"Utility Provider",
        ISNUMBER(SEARCH("Rania Contracting",M60)),"Supplier",
        ISNUMBER(SEARCH("Sahab United Motors",M60)),"Supplier",
        ISNUMBER(SEARCH("Saudi Electric Company",M60)),"Utility Provider",
        ISNUMBER(SEARCH("Saudi Vetonit",M60)),"Supplier",
        ISNUMBER(SEARCH("Shomoul Eng",M60)),"Service Provider",
        ISNUMBER(SEARCH("STC",M60)),"Utility Provider",
        ISNUMBER(SEARCH("The General Organization for Social Insurance",M60)),"Social Insurance Agency",
        ISNUMBER(SEARCH("TUV Rheinland",M60)),"Service Provider",
        ISNUMBER(SEARCH("Al Arabia Ceramic",M60)),"Supplier",
        ISNUMBER(SEARCH("National Company for Building",M60)),"Customer",
        ISNUMBER(SEARCH("Athraa Holding",M60)),"Customer",
        ISNUMBER(SEARCH("Al Rasan",M60)),"Supplier",
        ISNUMBER(SEARCH("Raboua Al Haid",M60)),"Customer",
        ISNUMBER(SEARCH("Al Jazeera Paint",M60)),"Supplier",
        ISNUMBER(SEARCH("Rania Works Contracting",M60)),"Supplier",
        ISNUMBER(SEARCH("Bandar Jarallah",M60)),"Supplier",
        TRUE,"Supplier"
    ),
    "-"
)</f>
        <v>Supplier</v>
      </c>
      <c r="AD60" s="25" t="str" cm="1">
        <f t="array" ref="AD60">_xlfn.IFNA(
    _xlfn.IFS(
        AC60="Same Company","High",
        AC60="Shareholder","High",
        AC60="Government","High",
        AC60="Bank","High",
        AC60="Lender","High",
        AC60="Unknown","Low",
        AC60="-","Low",
        TRUE,"Medium"
    ),
    "-"
)</f>
        <v>Medium</v>
      </c>
      <c r="AE60" s="25" t="str">
        <f t="shared" si="2"/>
        <v>-</v>
      </c>
      <c r="AF60" s="25" t="str" cm="1">
        <f t="array" ref="AF60">_xlfn.IFNA(
    _xlfn.IFS(
        K60="Credit",
            _xlfn.IFS(
                OR(ISNUMBER(SEARCH("Rejected",L60)),ISNUMBER(SEARCH("Returned",L60))),"Other Income",
                TRUE,"Revenue"
            ),
        K60="Debit",
            _xlfn.IFS(
                ISNUMBER(SEARCH("Payroll",L60)),"OPEX",
                ISNUMBER(SEARCH("Expatriate",L60)),"OPEX",
                ISNUMBER(SEARCH("Zakat",M60)),"ZATCA",
                ISNUMBER(SEARCH("General Organization for Social Insurance",M60)),"OPEX",
                ISNUMBER(SEARCH("Saudi Electric",M60)),"OPEX",
                ISNUMBER(SEARCH("STC",M60)),"OPEX",
                ISNUMBER(SEARCH("National Water",M60)),"OPEX",
                ISNUMBER(SEARCH("Bupa",M60)),"OPEX",
                ISNUMBER(SEARCH("Abdullah Abdulkarim",M60)),"OPEX",
                ISNUMBER(SEARCH("Abdullah Fahad",M60)),"OPEX",
                ISNUMBER(SEARCH("ISO Arabia",M60)),"OPEX",
                ISNUMBER(SEARCH("Gulf Voyager",M60)),"OPEX",
                ISNUMBER(SEARCH("Ministry",M60)),"OPEX",
                ISNUMBER(SEARCH("General Authority of Zakat",M60)),"ZATCA",
                ISNUMBER(SEARCH("Rejected",L60)),"Other Income",
                TRUE,"COGS"
            ),
        TRUE,"-"
    ),
    "-"
)</f>
        <v>COGS</v>
      </c>
      <c r="AG60" s="25" t="str" cm="1">
        <f t="array" ref="AG60">_xlfn.IFNA(
    _xlfn.IFS(
        ISNUMBER(SEARCH("Payroll",L60)),"Payroll",
        ISNUMBER(SEARCH("Expatriate",L60)),"Government Fees",
        ISNUMBER(SEARCH("Zakat",M60)),"Zakat",
        ISNUMBER(SEARCH("Social Insurance",M60)),"Social Insurance",
        ISNUMBER(SEARCH("Saudi Electric",M60)),"Electricity",
        ISNUMBER(SEARCH("STC",M60)),"Telecom",
        ISNUMBER(SEARCH("National Water",M60)),"Water",
        ISNUMBER(SEARCH("Bupa",M60)),"Insurance",
        ISNUMBER(SEARCH("Gulf Voyager",M60)),"Travel",
        ISNUMBER(SEARCH("Ministry",M60)),"Government Fees",
        ISNUMBER(SEARCH("Abdullah Abdulkarim",M60)),"Consulting",
        ISNUMBER(SEARCH("Abdullah Fahad",M60)),"Accounting",
        ISNUMBER(SEARCH("ISO Arabia",M60)),"Consulting",
        ISNUMBER(SEARCH("Rejected",L60)),"Refund",
        AF60="COGS","Inventory Purchase",
        AF60="Revenue","Revenue",
        AF60="OPEX","Other",
        AF60="ZATCA","Zakat",
        TRUE,"-"
    ),
    "-"
)</f>
        <v>Inventory Purchase</v>
      </c>
      <c r="AH60" s="25" t="str" cm="1">
        <f t="array" ref="AH60">_xlfn.IFNA(
    _xlfn.IFS(
        AF60="-","Low",
        AF60="Other","Low",
        TRUE,"Medium"
    ),
    "-"
)</f>
        <v>Medium</v>
      </c>
      <c r="AI60" s="25" t="str">
        <f t="shared" si="3"/>
        <v>-</v>
      </c>
    </row>
    <row r="61" spans="1:35" x14ac:dyDescent="0.25">
      <c r="A61" s="10">
        <v>3</v>
      </c>
      <c r="B61" s="10" t="s">
        <v>35</v>
      </c>
      <c r="C61" s="10" t="s">
        <v>36</v>
      </c>
      <c r="D61" s="10" t="s">
        <v>37</v>
      </c>
      <c r="E61" s="10" t="s">
        <v>38</v>
      </c>
      <c r="F61" s="11" t="s">
        <v>39</v>
      </c>
      <c r="G61" s="11" t="s">
        <v>40</v>
      </c>
      <c r="H61" s="12">
        <v>45049</v>
      </c>
      <c r="I61" s="20">
        <v>82009.17</v>
      </c>
      <c r="J61" s="20">
        <v>7943</v>
      </c>
      <c r="K61" s="10" t="s">
        <v>41</v>
      </c>
      <c r="L61" s="9" t="s">
        <v>224</v>
      </c>
      <c r="M61" s="9" t="s">
        <v>320</v>
      </c>
      <c r="N61" s="9">
        <v>68200912922000</v>
      </c>
      <c r="O61" s="9" t="s">
        <v>226</v>
      </c>
      <c r="P61" s="15">
        <v>45049</v>
      </c>
      <c r="Q61" s="9" t="s">
        <v>323</v>
      </c>
      <c r="R61" s="16">
        <v>7943</v>
      </c>
      <c r="U61" s="9" t="s">
        <v>55</v>
      </c>
      <c r="V61" s="24" t="str" cm="1">
        <f t="array" ref="V61">_xlfn.IFNA(
    _xlfn.IFS(
        ISNUMBER(SEARCH("Fast Outgoing Transfer",L61)),"Transfer",
        ISNUMBER(SEARCH("Incoming Fast Transfer",L61)),"Transfer",
        ISNUMBER(SEARCH("Outgoing International Transfer",L61)),"Transfer",
        ISNUMBER(SEARCH("Bill Payment",L61)),"SADAD",
        ISNUMBER(SEARCH("Payroll",L61)),"Payroll",
        ISNUMBER(SEARCH("Cash Deposit",L61)),"Cash",
        ISNUMBER(SEARCH("Internal Transfer",L61)),"Transfer",
        ISNUMBER(SEARCH("Expatriate Services Payment",L61)),"SADAD",
        ISNUMBER(SEARCH("Rejected",L61)),"Transfer"
    ),
    "-"
)</f>
        <v>Transfer</v>
      </c>
      <c r="W61" s="25" t="str" cm="1">
        <f t="array" ref="W61">_xlfn.IFNA(
    _xlfn.IFS(
        AND(V61="Transfer",ISNUMBER(SEARCH("RIYAD BANK",L61))),"External FI",
        AND(V61="Transfer",ISNUMBER(SEARCH("Al Ahli",L61))),"External FI",
        AND(V61="Transfer",ISNUMBER(SEARCH("CIB via",L61))),"Local Transfer",
        AND(V61="Transfer",ISNUMBER(SEARCH("CIB)",L61))),"Local Transfer",
        AND(V61="Transfer",ISNUMBER(SEARCH("SMRT",L61))),"Local Transfer",
        AND(V61="Transfer",ISNUMBER(SEARCH("Al Murabba",L61))),"Local Transfer",
        AND(V61="Transfer",ISNUMBER(SEARCH("Internal Transfer",L61))),"Same FI",
        AND(V61="Transfer",ISNUMBER(SEARCH("Rejected",L61))),"Failed",
        V61="SADAD",
            _xlfn.IFS(
                ISNUMBER(SEARCH("Expatriate",L61)),"Expat Fees",
                TRUE,"Online Payment"
            ),
        V61="Payroll","Payroll",
        V61="Cash","Deposit",
        TRUE,"-"
    ),
    "-"
)</f>
        <v>Local Transfer</v>
      </c>
      <c r="X61" s="25" t="str" cm="1">
        <f t="array" ref="X61">_xlfn.IFNA(
    _xlfn.IFS(
        V61="-","Low",
        W61="-","Low",
        TRUE,"High"
    ),
    "-"
)</f>
        <v>High</v>
      </c>
      <c r="Y61" s="25" t="str">
        <f t="shared" si="0"/>
        <v>-</v>
      </c>
      <c r="Z61" s="25" t="str" cm="1">
        <f t="array" ref="Z61">_xlfn.IFNA(
    _xlfn.IFS(
        ISNUMBER(SEARCH("Abdul Latif Jameel",M61)),"Lender",
        ISNUMBER(SEARCH("Abdullah Abdulkarim Al Sudais",M61)),"Accounting",
        ISNUMBER(SEARCH("Abdullah Fahad for Accounting",M61)),"Accounting",
        ISNUMBER(SEARCH("Abdullah Rashid Shaikh",M61)),"Shareholder",
        ISNUMBER(SEARCH("Advanced Equipments",M61)),"Equipment Rental",
        ISNUMBER(SEARCH("Al Banuk Sana",M61)),"Telecom Company",
        ISNUMBER(SEARCH("Al Khaleefa Factory",M61)),"Manufacturer",
        ISNUMBER(SEARCH("Al Saadeh Trading",M61)),"Trading Company",
        ISNUMBER(SEARCH("Al Zaehaan",M61)),"Trading Company",
        ISNUMBER(SEARCH("Ali Abdullah K Al Darwish",M61)),"Airlines",
        ISNUMBER(SEARCH("Bupa Arabia",M61)),"Health Insurance",
        ISNUMBER(SEARCH("Dar Fahoosaat",M61)),"Consultant",
        ISNUMBER(SEARCH("General Authority of Zakat",M61)),"Tax Collection",
        ISNUMBER(SEARCH("Gulf Voyager",M61)),"Travel Agency",
        ISNUMBER(SEARCH("Hopeway Trading",M61)),"Trading Company",
        ISNUMBER(SEARCH("Interhealth Medical",M61)),"Medical Services",
        ISNUMBER(SEARCH("Ishaar",M61)),"Online Payment Service",
        ISNUMBER(SEARCH("ISO Arabia",M61)),"Certification",
        ISNUMBER(SEARCH("Khalid Saad Al Otaibi",M61)),"Trading Company",
        ISNUMBER(SEARCH("MERAS for Decoration",M61)),"Decor Company",
        ISNUMBER(SEARCH("Middle East Customs Clearance",M61)),"Customs",
        ISNUMBER(SEARCH("Ministry of Human Resources",M61)),"Government",
        ISNUMBER(SEARCH("My Business Services",M61)),"Service Provider",
        ISNUMBER(SEARCH("National Water Company",M61)),"Water Company",
        ISNUMBER(SEARCH("Rania Contracting",M61)),"Contracting",
        ISNUMBER(SEARCH("Rashid Ali Sheikh",M61)),"Shareholder",
        ISNUMBER(SEARCH("Sahab United Motors",M61)),"Car Show Room",
        ISNUMBER(SEARCH("Saud Mohammed Al Tamimi",M61)),"Shareholder",
        ISNUMBER(SEARCH("Saud Mohammed Tamimi",M61)),"Shareholder",
        ISNUMBER(SEARCH("Saudi Electric Company",M61)),"Electricity Company",
        ISNUMBER(SEARCH("Saudi Vetonit",M61)),"Building Materials",
        ISNUMBER(SEARCH("Shomoul Eng",M61)),"Safety",
        ISNUMBER(SEARCH("STC",M61)),"Telecom Company",
        ISNUMBER(SEARCH("The General Organization for Social Insurance",M61)),"Social Insurance Agency",
        ISNUMBER(SEARCH("TUV Rheinland",M61)),"Certification",
        ISNUMBER(SEARCH("Al Arabia Ceramic",M61)),"Building Materials",
        ISNUMBER(SEARCH("National Company for Building and Marketing",M61)),"Parent Company",
        ISNUMBER(SEARCH("Athraa Holding",M61)),"Holding Company",
        ISNUMBER(SEARCH("Al Rasan",M61)),"Contracting",
        ISNUMBER(SEARCH("Raboua Al Haid",M61)),"Trading Company",
        ISNUMBER(SEARCH("Al Jazeera Paint",M61)),"Manufacturer",
        ISNUMBER(SEARCH("Rania Works Contracting",M61)),"Contracting",
        ISNUMBER(SEARCH("Bandar Jarallah",M61)),"Trading Establishment",
        ISNUMBER(SEARCH("RS Infratec Saudi",M61)),"Same Company",
        ISNUMBER(SEARCH("Payroll",M61)),"Bank",
        ISNUMBER(SEARCH("Expatriate",M61)),"Government",
        ISNUMBER(SEARCH("Unknown Sender",M61)),"Unknown",
        TRUE,"Unknown"
    ),
    "-"
)</f>
        <v>Trading Establishment</v>
      </c>
      <c r="AA61" s="25" t="str" cm="1">
        <f t="array" ref="AA61">_xlfn.IFNA(
    _xlfn.IFS(
        Z61="Lender","Financing",
        Z61="Accounting","Accounting",
        Z61="Shareholder","Individual",
        Z61="Equipment Rental","Equipment Rental",
        Z61="Telecom Company","Telecom",
        Z61="Manufacturer","Manufacturer",
        Z61="Trading Company","Trading And Transport",
        Z61="Trading Establishment","Trading",
        Z61="Airlines","Airlines",
        Z61="Health Insurance","Insurance",
        Z61="Consultant","Consultant",
        Z61="Tax Collection","Government",
        Z61="Travel Agency","Travel Agency",
        Z61="Medical Services","Medical Center",
        Z61="Online Payment Service","Payment Facilitator",
        Z61="Certification","Safety",
        Z61="Decor Company","Design",
        Z61="Customs","Customs",
        Z61="Government","Government",
        Z61="Service Provider","Service Provider",
        Z61="Water Company","Water Company",
        Z61="Contracting","Contracting",
        Z61="Car Show Room","Car Trader",
        Z61="Electricity Company","Electricity Company",
        Z61="Building Materials","Building Materials",
        Z61="Safety","Safety",
        Z61="Social Insurance Agency","Government Fund",
        Z61="Parent Company","Holding Company",
        Z61="Holding Company","Holding Company",
        Z61="Same Company","Construction",
        Z61="Bank","Bank",
        Z61="Unknown","Unknown",
        TRUE,"-"
    ),
    "-"
)</f>
        <v>Trading</v>
      </c>
      <c r="AB61" s="25" t="str">
        <f t="shared" si="1"/>
        <v>-</v>
      </c>
      <c r="AC61" s="25" t="str" cm="1">
        <f t="array" ref="AC61">_xlfn.IFNA(
    _xlfn.IFS(
        Z61="Shareholder","Shareholder",
        Z61="Same Company","Same Company",
        Z61="Bank","Bank",
        Z61="Government","Government",
        Z61="Social Insurance Agency","Government",
        Z61="Parent Company","Customer",
        Z61="Lender","Lender",
        Z61="Unknown","Unknown",
        ISNUMBER(SEARCH("Abdullah Abdulkarim",M61)),"Service Provider",
        ISNUMBER(SEARCH("Abdullah Fahad",M61)),"Service Provider",
        ISNUMBER(SEARCH("Advanced Equipments",M61)),"Supplier",
        ISNUMBER(SEARCH("Al Banuk Sana",M61)),"Supplier",
        ISNUMBER(SEARCH("Al Khaleefa Factory",M61)),"Supplier",
        ISNUMBER(SEARCH("Al Saadeh Trading",M61)),"Supplier",
        ISNUMBER(SEARCH("Al Zaehaan",M61)),"Supplier",
        ISNUMBER(SEARCH("Ali Abdullah K Al Darwish",M61)),"Service Provider",
        ISNUMBER(SEARCH("Bupa Arabia",M61)),"Insurance Company",
        ISNUMBER(SEARCH("Dar Fahoosaat",M61)),"Service Provider",
        ISNUMBER(SEARCH("General Authority of Zakat",M61)),"Tax Authority",
        ISNUMBER(SEARCH("Gulf Voyager",M61)),"Service Provider",
        ISNUMBER(SEARCH("Hopeway Trading",M61)),"Supplier",
        ISNUMBER(SEARCH("Interhealth Medical",M61)),"Customer",
        ISNUMBER(SEARCH("Ishaar",M61)),"Service Provider",
        ISNUMBER(SEARCH("ISO Arabia",M61)),"Service Provider",
        ISNUMBER(SEARCH("Khalid Saad Al Otaibi",M61)),"Supplier",
        ISNUMBER(SEARCH("MERAS for Decoration",M61)),"Supplier",
        ISNUMBER(SEARCH("Middle East Customs Clearance",M61)),"Service Provider",
        ISNUMBER(SEARCH("Ministry of Human Resources",M61)),"Regulatory Agency",
        ISNUMBER(SEARCH("My Business Services",M61)),"Service Provider",
        ISNUMBER(SEARCH("National Water Company",M61)),"Utility Provider",
        ISNUMBER(SEARCH("Rania Contracting",M61)),"Supplier",
        ISNUMBER(SEARCH("Sahab United Motors",M61)),"Supplier",
        ISNUMBER(SEARCH("Saudi Electric Company",M61)),"Utility Provider",
        ISNUMBER(SEARCH("Saudi Vetonit",M61)),"Supplier",
        ISNUMBER(SEARCH("Shomoul Eng",M61)),"Service Provider",
        ISNUMBER(SEARCH("STC",M61)),"Utility Provider",
        ISNUMBER(SEARCH("The General Organization for Social Insurance",M61)),"Social Insurance Agency",
        ISNUMBER(SEARCH("TUV Rheinland",M61)),"Service Provider",
        ISNUMBER(SEARCH("Al Arabia Ceramic",M61)),"Supplier",
        ISNUMBER(SEARCH("National Company for Building",M61)),"Customer",
        ISNUMBER(SEARCH("Athraa Holding",M61)),"Customer",
        ISNUMBER(SEARCH("Al Rasan",M61)),"Supplier",
        ISNUMBER(SEARCH("Raboua Al Haid",M61)),"Customer",
        ISNUMBER(SEARCH("Al Jazeera Paint",M61)),"Supplier",
        ISNUMBER(SEARCH("Rania Works Contracting",M61)),"Supplier",
        ISNUMBER(SEARCH("Bandar Jarallah",M61)),"Supplier",
        TRUE,"Supplier"
    ),
    "-"
)</f>
        <v>Supplier</v>
      </c>
      <c r="AD61" s="25" t="str" cm="1">
        <f t="array" ref="AD61">_xlfn.IFNA(
    _xlfn.IFS(
        AC61="Same Company","High",
        AC61="Shareholder","High",
        AC61="Government","High",
        AC61="Bank","High",
        AC61="Lender","High",
        AC61="Unknown","Low",
        AC61="-","Low",
        TRUE,"Medium"
    ),
    "-"
)</f>
        <v>Medium</v>
      </c>
      <c r="AE61" s="25" t="str">
        <f t="shared" si="2"/>
        <v>-</v>
      </c>
      <c r="AF61" s="25" t="str" cm="1">
        <f t="array" ref="AF61">_xlfn.IFNA(
    _xlfn.IFS(
        K61="Credit",
            _xlfn.IFS(
                OR(ISNUMBER(SEARCH("Rejected",L61)),ISNUMBER(SEARCH("Returned",L61))),"Other Income",
                TRUE,"Revenue"
            ),
        K61="Debit",
            _xlfn.IFS(
                ISNUMBER(SEARCH("Payroll",L61)),"OPEX",
                ISNUMBER(SEARCH("Expatriate",L61)),"OPEX",
                ISNUMBER(SEARCH("Zakat",M61)),"ZATCA",
                ISNUMBER(SEARCH("General Organization for Social Insurance",M61)),"OPEX",
                ISNUMBER(SEARCH("Saudi Electric",M61)),"OPEX",
                ISNUMBER(SEARCH("STC",M61)),"OPEX",
                ISNUMBER(SEARCH("National Water",M61)),"OPEX",
                ISNUMBER(SEARCH("Bupa",M61)),"OPEX",
                ISNUMBER(SEARCH("Abdullah Abdulkarim",M61)),"OPEX",
                ISNUMBER(SEARCH("Abdullah Fahad",M61)),"OPEX",
                ISNUMBER(SEARCH("ISO Arabia",M61)),"OPEX",
                ISNUMBER(SEARCH("Gulf Voyager",M61)),"OPEX",
                ISNUMBER(SEARCH("Ministry",M61)),"OPEX",
                ISNUMBER(SEARCH("General Authority of Zakat",M61)),"ZATCA",
                ISNUMBER(SEARCH("Rejected",L61)),"Other Income",
                TRUE,"COGS"
            ),
        TRUE,"-"
    ),
    "-"
)</f>
        <v>COGS</v>
      </c>
      <c r="AG61" s="25" t="str" cm="1">
        <f t="array" ref="AG61">_xlfn.IFNA(
    _xlfn.IFS(
        ISNUMBER(SEARCH("Payroll",L61)),"Payroll",
        ISNUMBER(SEARCH("Expatriate",L61)),"Government Fees",
        ISNUMBER(SEARCH("Zakat",M61)),"Zakat",
        ISNUMBER(SEARCH("Social Insurance",M61)),"Social Insurance",
        ISNUMBER(SEARCH("Saudi Electric",M61)),"Electricity",
        ISNUMBER(SEARCH("STC",M61)),"Telecom",
        ISNUMBER(SEARCH("National Water",M61)),"Water",
        ISNUMBER(SEARCH("Bupa",M61)),"Insurance",
        ISNUMBER(SEARCH("Gulf Voyager",M61)),"Travel",
        ISNUMBER(SEARCH("Ministry",M61)),"Government Fees",
        ISNUMBER(SEARCH("Abdullah Abdulkarim",M61)),"Consulting",
        ISNUMBER(SEARCH("Abdullah Fahad",M61)),"Accounting",
        ISNUMBER(SEARCH("ISO Arabia",M61)),"Consulting",
        ISNUMBER(SEARCH("Rejected",L61)),"Refund",
        AF61="COGS","Inventory Purchase",
        AF61="Revenue","Revenue",
        AF61="OPEX","Other",
        AF61="ZATCA","Zakat",
        TRUE,"-"
    ),
    "-"
)</f>
        <v>Inventory Purchase</v>
      </c>
      <c r="AH61" s="25" t="str" cm="1">
        <f t="array" ref="AH61">_xlfn.IFNA(
    _xlfn.IFS(
        AF61="-","Low",
        AF61="Other","Low",
        TRUE,"Medium"
    ),
    "-"
)</f>
        <v>Medium</v>
      </c>
      <c r="AI61" s="25" t="str">
        <f t="shared" si="3"/>
        <v>-</v>
      </c>
    </row>
    <row r="62" spans="1:35" x14ac:dyDescent="0.25">
      <c r="A62" s="10">
        <v>3</v>
      </c>
      <c r="B62" s="10" t="s">
        <v>35</v>
      </c>
      <c r="C62" s="10" t="s">
        <v>36</v>
      </c>
      <c r="D62" s="10" t="s">
        <v>37</v>
      </c>
      <c r="E62" s="10" t="s">
        <v>38</v>
      </c>
      <c r="F62" s="11" t="s">
        <v>39</v>
      </c>
      <c r="G62" s="11" t="s">
        <v>40</v>
      </c>
      <c r="H62" s="12">
        <v>44972</v>
      </c>
      <c r="I62" s="20">
        <v>37764.04</v>
      </c>
      <c r="J62" s="20">
        <v>30000</v>
      </c>
      <c r="K62" s="10" t="s">
        <v>116</v>
      </c>
      <c r="L62" s="9" t="s">
        <v>224</v>
      </c>
      <c r="M62" s="9" t="s">
        <v>324</v>
      </c>
      <c r="O62" s="9" t="s">
        <v>226</v>
      </c>
      <c r="P62" s="15">
        <v>44972</v>
      </c>
      <c r="Q62" s="9" t="s">
        <v>325</v>
      </c>
      <c r="R62" s="16">
        <v>30000</v>
      </c>
      <c r="U62" s="9" t="s">
        <v>55</v>
      </c>
      <c r="V62" s="24" t="str" cm="1">
        <f t="array" ref="V62">_xlfn.IFNA(
    _xlfn.IFS(
        ISNUMBER(SEARCH("Fast Outgoing Transfer",L62)),"Transfer",
        ISNUMBER(SEARCH("Incoming Fast Transfer",L62)),"Transfer",
        ISNUMBER(SEARCH("Outgoing International Transfer",L62)),"Transfer",
        ISNUMBER(SEARCH("Bill Payment",L62)),"SADAD",
        ISNUMBER(SEARCH("Payroll",L62)),"Payroll",
        ISNUMBER(SEARCH("Cash Deposit",L62)),"Cash",
        ISNUMBER(SEARCH("Internal Transfer",L62)),"Transfer",
        ISNUMBER(SEARCH("Expatriate Services Payment",L62)),"SADAD",
        ISNUMBER(SEARCH("Rejected",L62)),"Transfer"
    ),
    "-"
)</f>
        <v>Transfer</v>
      </c>
      <c r="W62" s="25" t="str" cm="1">
        <f t="array" ref="W62">_xlfn.IFNA(
    _xlfn.IFS(
        AND(V62="Transfer",ISNUMBER(SEARCH("RIYAD BANK",L62))),"External FI",
        AND(V62="Transfer",ISNUMBER(SEARCH("Al Ahli",L62))),"External FI",
        AND(V62="Transfer",ISNUMBER(SEARCH("CIB via",L62))),"Local Transfer",
        AND(V62="Transfer",ISNUMBER(SEARCH("CIB)",L62))),"Local Transfer",
        AND(V62="Transfer",ISNUMBER(SEARCH("SMRT",L62))),"Local Transfer",
        AND(V62="Transfer",ISNUMBER(SEARCH("Al Murabba",L62))),"Local Transfer",
        AND(V62="Transfer",ISNUMBER(SEARCH("Internal Transfer",L62))),"Same FI",
        AND(V62="Transfer",ISNUMBER(SEARCH("Rejected",L62))),"Failed",
        V62="SADAD",
            _xlfn.IFS(
                ISNUMBER(SEARCH("Expatriate",L62)),"Expat Fees",
                TRUE,"Online Payment"
            ),
        V62="Payroll","Payroll",
        V62="Cash","Deposit",
        TRUE,"-"
    ),
    "-"
)</f>
        <v>Local Transfer</v>
      </c>
      <c r="X62" s="25" t="str" cm="1">
        <f t="array" ref="X62">_xlfn.IFNA(
    _xlfn.IFS(
        V62="-","Low",
        W62="-","Low",
        TRUE,"High"
    ),
    "-"
)</f>
        <v>High</v>
      </c>
      <c r="Y62" s="25" t="str">
        <f t="shared" si="0"/>
        <v>-</v>
      </c>
      <c r="Z62" s="25" t="str" cm="1">
        <f t="array" ref="Z62">_xlfn.IFNA(
    _xlfn.IFS(
        ISNUMBER(SEARCH("Abdul Latif Jameel",M62)),"Lender",
        ISNUMBER(SEARCH("Abdullah Abdulkarim Al Sudais",M62)),"Accounting",
        ISNUMBER(SEARCH("Abdullah Fahad for Accounting",M62)),"Accounting",
        ISNUMBER(SEARCH("Abdullah Rashid Shaikh",M62)),"Shareholder",
        ISNUMBER(SEARCH("Advanced Equipments",M62)),"Equipment Rental",
        ISNUMBER(SEARCH("Al Banuk Sana",M62)),"Telecom Company",
        ISNUMBER(SEARCH("Al Khaleefa Factory",M62)),"Manufacturer",
        ISNUMBER(SEARCH("Al Saadeh Trading",M62)),"Trading Company",
        ISNUMBER(SEARCH("Al Zaehaan",M62)),"Trading Company",
        ISNUMBER(SEARCH("Ali Abdullah K Al Darwish",M62)),"Airlines",
        ISNUMBER(SEARCH("Bupa Arabia",M62)),"Health Insurance",
        ISNUMBER(SEARCH("Dar Fahoosaat",M62)),"Consultant",
        ISNUMBER(SEARCH("General Authority of Zakat",M62)),"Tax Collection",
        ISNUMBER(SEARCH("Gulf Voyager",M62)),"Travel Agency",
        ISNUMBER(SEARCH("Hopeway Trading",M62)),"Trading Company",
        ISNUMBER(SEARCH("Interhealth Medical",M62)),"Medical Services",
        ISNUMBER(SEARCH("Ishaar",M62)),"Online Payment Service",
        ISNUMBER(SEARCH("ISO Arabia",M62)),"Certification",
        ISNUMBER(SEARCH("Khalid Saad Al Otaibi",M62)),"Trading Company",
        ISNUMBER(SEARCH("MERAS for Decoration",M62)),"Decor Company",
        ISNUMBER(SEARCH("Middle East Customs Clearance",M62)),"Customs",
        ISNUMBER(SEARCH("Ministry of Human Resources",M62)),"Government",
        ISNUMBER(SEARCH("My Business Services",M62)),"Service Provider",
        ISNUMBER(SEARCH("National Water Company",M62)),"Water Company",
        ISNUMBER(SEARCH("Rania Contracting",M62)),"Contracting",
        ISNUMBER(SEARCH("Rashid Ali Sheikh",M62)),"Shareholder",
        ISNUMBER(SEARCH("Sahab United Motors",M62)),"Car Show Room",
        ISNUMBER(SEARCH("Saud Mohammed Al Tamimi",M62)),"Shareholder",
        ISNUMBER(SEARCH("Saud Mohammed Tamimi",M62)),"Shareholder",
        ISNUMBER(SEARCH("Saudi Electric Company",M62)),"Electricity Company",
        ISNUMBER(SEARCH("Saudi Vetonit",M62)),"Building Materials",
        ISNUMBER(SEARCH("Shomoul Eng",M62)),"Safety",
        ISNUMBER(SEARCH("STC",M62)),"Telecom Company",
        ISNUMBER(SEARCH("The General Organization for Social Insurance",M62)),"Social Insurance Agency",
        ISNUMBER(SEARCH("TUV Rheinland",M62)),"Certification",
        ISNUMBER(SEARCH("Al Arabia Ceramic",M62)),"Building Materials",
        ISNUMBER(SEARCH("National Company for Building and Marketing",M62)),"Parent Company",
        ISNUMBER(SEARCH("Athraa Holding",M62)),"Holding Company",
        ISNUMBER(SEARCH("Al Rasan",M62)),"Contracting",
        ISNUMBER(SEARCH("Raboua Al Haid",M62)),"Trading Company",
        ISNUMBER(SEARCH("Al Jazeera Paint",M62)),"Manufacturer",
        ISNUMBER(SEARCH("Rania Works Contracting",M62)),"Contracting",
        ISNUMBER(SEARCH("Bandar Jarallah",M62)),"Trading Establishment",
        ISNUMBER(SEARCH("RS Infratec Saudi",M62)),"Same Company",
        ISNUMBER(SEARCH("Payroll",M62)),"Bank",
        ISNUMBER(SEARCH("Expatriate",M62)),"Government",
        ISNUMBER(SEARCH("Unknown Sender",M62)),"Unknown",
        TRUE,"Unknown"
    ),
    "-"
)</f>
        <v>Same Company</v>
      </c>
      <c r="AA62" s="25" t="str" cm="1">
        <f t="array" ref="AA62">_xlfn.IFNA(
    _xlfn.IFS(
        Z62="Lender","Financing",
        Z62="Accounting","Accounting",
        Z62="Shareholder","Individual",
        Z62="Equipment Rental","Equipment Rental",
        Z62="Telecom Company","Telecom",
        Z62="Manufacturer","Manufacturer",
        Z62="Trading Company","Trading And Transport",
        Z62="Trading Establishment","Trading",
        Z62="Airlines","Airlines",
        Z62="Health Insurance","Insurance",
        Z62="Consultant","Consultant",
        Z62="Tax Collection","Government",
        Z62="Travel Agency","Travel Agency",
        Z62="Medical Services","Medical Center",
        Z62="Online Payment Service","Payment Facilitator",
        Z62="Certification","Safety",
        Z62="Decor Company","Design",
        Z62="Customs","Customs",
        Z62="Government","Government",
        Z62="Service Provider","Service Provider",
        Z62="Water Company","Water Company",
        Z62="Contracting","Contracting",
        Z62="Car Show Room","Car Trader",
        Z62="Electricity Company","Electricity Company",
        Z62="Building Materials","Building Materials",
        Z62="Safety","Safety",
        Z62="Social Insurance Agency","Government Fund",
        Z62="Parent Company","Holding Company",
        Z62="Holding Company","Holding Company",
        Z62="Same Company","Construction",
        Z62="Bank","Bank",
        Z62="Unknown","Unknown",
        TRUE,"-"
    ),
    "-"
)</f>
        <v>Construction</v>
      </c>
      <c r="AB62" s="25" t="str">
        <f t="shared" si="1"/>
        <v>-</v>
      </c>
      <c r="AC62" s="25" t="str" cm="1">
        <f t="array" ref="AC62">_xlfn.IFNA(
    _xlfn.IFS(
        Z62="Shareholder","Shareholder",
        Z62="Same Company","Same Company",
        Z62="Bank","Bank",
        Z62="Government","Government",
        Z62="Social Insurance Agency","Government",
        Z62="Parent Company","Customer",
        Z62="Lender","Lender",
        Z62="Unknown","Unknown",
        ISNUMBER(SEARCH("Abdullah Abdulkarim",M62)),"Service Provider",
        ISNUMBER(SEARCH("Abdullah Fahad",M62)),"Service Provider",
        ISNUMBER(SEARCH("Advanced Equipments",M62)),"Supplier",
        ISNUMBER(SEARCH("Al Banuk Sana",M62)),"Supplier",
        ISNUMBER(SEARCH("Al Khaleefa Factory",M62)),"Supplier",
        ISNUMBER(SEARCH("Al Saadeh Trading",M62)),"Supplier",
        ISNUMBER(SEARCH("Al Zaehaan",M62)),"Supplier",
        ISNUMBER(SEARCH("Ali Abdullah K Al Darwish",M62)),"Service Provider",
        ISNUMBER(SEARCH("Bupa Arabia",M62)),"Insurance Company",
        ISNUMBER(SEARCH("Dar Fahoosaat",M62)),"Service Provider",
        ISNUMBER(SEARCH("General Authority of Zakat",M62)),"Tax Authority",
        ISNUMBER(SEARCH("Gulf Voyager",M62)),"Service Provider",
        ISNUMBER(SEARCH("Hopeway Trading",M62)),"Supplier",
        ISNUMBER(SEARCH("Interhealth Medical",M62)),"Customer",
        ISNUMBER(SEARCH("Ishaar",M62)),"Service Provider",
        ISNUMBER(SEARCH("ISO Arabia",M62)),"Service Provider",
        ISNUMBER(SEARCH("Khalid Saad Al Otaibi",M62)),"Supplier",
        ISNUMBER(SEARCH("MERAS for Decoration",M62)),"Supplier",
        ISNUMBER(SEARCH("Middle East Customs Clearance",M62)),"Service Provider",
        ISNUMBER(SEARCH("Ministry of Human Resources",M62)),"Regulatory Agency",
        ISNUMBER(SEARCH("My Business Services",M62)),"Service Provider",
        ISNUMBER(SEARCH("National Water Company",M62)),"Utility Provider",
        ISNUMBER(SEARCH("Rania Contracting",M62)),"Supplier",
        ISNUMBER(SEARCH("Sahab United Motors",M62)),"Supplier",
        ISNUMBER(SEARCH("Saudi Electric Company",M62)),"Utility Provider",
        ISNUMBER(SEARCH("Saudi Vetonit",M62)),"Supplier",
        ISNUMBER(SEARCH("Shomoul Eng",M62)),"Service Provider",
        ISNUMBER(SEARCH("STC",M62)),"Utility Provider",
        ISNUMBER(SEARCH("The General Organization for Social Insurance",M62)),"Social Insurance Agency",
        ISNUMBER(SEARCH("TUV Rheinland",M62)),"Service Provider",
        ISNUMBER(SEARCH("Al Arabia Ceramic",M62)),"Supplier",
        ISNUMBER(SEARCH("National Company for Building",M62)),"Customer",
        ISNUMBER(SEARCH("Athraa Holding",M62)),"Customer",
        ISNUMBER(SEARCH("Al Rasan",M62)),"Supplier",
        ISNUMBER(SEARCH("Raboua Al Haid",M62)),"Customer",
        ISNUMBER(SEARCH("Al Jazeera Paint",M62)),"Supplier",
        ISNUMBER(SEARCH("Rania Works Contracting",M62)),"Supplier",
        ISNUMBER(SEARCH("Bandar Jarallah",M62)),"Supplier",
        TRUE,"Supplier"
    ),
    "-"
)</f>
        <v>Same Company</v>
      </c>
      <c r="AD62" s="25" t="str" cm="1">
        <f t="array" ref="AD62">_xlfn.IFNA(
    _xlfn.IFS(
        AC62="Same Company","High",
        AC62="Shareholder","High",
        AC62="Government","High",
        AC62="Bank","High",
        AC62="Lender","High",
        AC62="Unknown","Low",
        AC62="-","Low",
        TRUE,"Medium"
    ),
    "-"
)</f>
        <v>High</v>
      </c>
      <c r="AE62" s="25" t="str">
        <f t="shared" si="2"/>
        <v>-</v>
      </c>
      <c r="AF62" s="25" t="str" cm="1">
        <f t="array" ref="AF62">_xlfn.IFNA(
    _xlfn.IFS(
        K62="Credit",
            _xlfn.IFS(
                OR(ISNUMBER(SEARCH("Rejected",L62)),ISNUMBER(SEARCH("Returned",L62))),"Other Income",
                TRUE,"Revenue"
            ),
        K62="Debit",
            _xlfn.IFS(
                ISNUMBER(SEARCH("Payroll",L62)),"OPEX",
                ISNUMBER(SEARCH("Expatriate",L62)),"OPEX",
                ISNUMBER(SEARCH("Zakat",M62)),"ZATCA",
                ISNUMBER(SEARCH("General Organization for Social Insurance",M62)),"OPEX",
                ISNUMBER(SEARCH("Saudi Electric",M62)),"OPEX",
                ISNUMBER(SEARCH("STC",M62)),"OPEX",
                ISNUMBER(SEARCH("National Water",M62)),"OPEX",
                ISNUMBER(SEARCH("Bupa",M62)),"OPEX",
                ISNUMBER(SEARCH("Abdullah Abdulkarim",M62)),"OPEX",
                ISNUMBER(SEARCH("Abdullah Fahad",M62)),"OPEX",
                ISNUMBER(SEARCH("ISO Arabia",M62)),"OPEX",
                ISNUMBER(SEARCH("Gulf Voyager",M62)),"OPEX",
                ISNUMBER(SEARCH("Ministry",M62)),"OPEX",
                ISNUMBER(SEARCH("General Authority of Zakat",M62)),"ZATCA",
                ISNUMBER(SEARCH("Rejected",L62)),"Other Income",
                TRUE,"COGS"
            ),
        TRUE,"-"
    ),
    "-"
)</f>
        <v>Revenue</v>
      </c>
      <c r="AG62" s="25" t="str" cm="1">
        <f t="array" ref="AG62">_xlfn.IFNA(
    _xlfn.IFS(
        ISNUMBER(SEARCH("Payroll",L62)),"Payroll",
        ISNUMBER(SEARCH("Expatriate",L62)),"Government Fees",
        ISNUMBER(SEARCH("Zakat",M62)),"Zakat",
        ISNUMBER(SEARCH("Social Insurance",M62)),"Social Insurance",
        ISNUMBER(SEARCH("Saudi Electric",M62)),"Electricity",
        ISNUMBER(SEARCH("STC",M62)),"Telecom",
        ISNUMBER(SEARCH("National Water",M62)),"Water",
        ISNUMBER(SEARCH("Bupa",M62)),"Insurance",
        ISNUMBER(SEARCH("Gulf Voyager",M62)),"Travel",
        ISNUMBER(SEARCH("Ministry",M62)),"Government Fees",
        ISNUMBER(SEARCH("Abdullah Abdulkarim",M62)),"Consulting",
        ISNUMBER(SEARCH("Abdullah Fahad",M62)),"Accounting",
        ISNUMBER(SEARCH("ISO Arabia",M62)),"Consulting",
        ISNUMBER(SEARCH("Rejected",L62)),"Refund",
        AF62="COGS","Inventory Purchase",
        AF62="Revenue","Revenue",
        AF62="OPEX","Other",
        AF62="ZATCA","Zakat",
        TRUE,"-"
    ),
    "-"
)</f>
        <v>Revenue</v>
      </c>
      <c r="AH62" s="25" t="str" cm="1">
        <f t="array" ref="AH62">_xlfn.IFNA(
    _xlfn.IFS(
        AF62="-","Low",
        AF62="Other","Low",
        TRUE,"Medium"
    ),
    "-"
)</f>
        <v>Medium</v>
      </c>
      <c r="AI62" s="25" t="str">
        <f t="shared" si="3"/>
        <v>-</v>
      </c>
    </row>
    <row r="63" spans="1:35" x14ac:dyDescent="0.25">
      <c r="A63" s="10">
        <v>3</v>
      </c>
      <c r="B63" s="10" t="s">
        <v>35</v>
      </c>
      <c r="C63" s="10" t="s">
        <v>36</v>
      </c>
      <c r="D63" s="10" t="s">
        <v>37</v>
      </c>
      <c r="E63" s="10" t="s">
        <v>38</v>
      </c>
      <c r="F63" s="11" t="s">
        <v>39</v>
      </c>
      <c r="G63" s="11" t="s">
        <v>40</v>
      </c>
      <c r="H63" s="12">
        <v>44975</v>
      </c>
      <c r="I63" s="20">
        <v>20346.810000000001</v>
      </c>
      <c r="J63" s="20">
        <v>20000</v>
      </c>
      <c r="K63" s="10" t="s">
        <v>116</v>
      </c>
      <c r="L63" s="9" t="s">
        <v>224</v>
      </c>
      <c r="M63" s="9" t="s">
        <v>324</v>
      </c>
      <c r="O63" s="9" t="s">
        <v>226</v>
      </c>
      <c r="P63" s="15">
        <v>44975</v>
      </c>
      <c r="Q63" s="9" t="s">
        <v>326</v>
      </c>
      <c r="R63" s="16">
        <v>20000</v>
      </c>
      <c r="U63" s="9" t="s">
        <v>55</v>
      </c>
      <c r="V63" s="24" t="str" cm="1">
        <f t="array" ref="V63">_xlfn.IFNA(
    _xlfn.IFS(
        ISNUMBER(SEARCH("Fast Outgoing Transfer",L63)),"Transfer",
        ISNUMBER(SEARCH("Incoming Fast Transfer",L63)),"Transfer",
        ISNUMBER(SEARCH("Outgoing International Transfer",L63)),"Transfer",
        ISNUMBER(SEARCH("Bill Payment",L63)),"SADAD",
        ISNUMBER(SEARCH("Payroll",L63)),"Payroll",
        ISNUMBER(SEARCH("Cash Deposit",L63)),"Cash",
        ISNUMBER(SEARCH("Internal Transfer",L63)),"Transfer",
        ISNUMBER(SEARCH("Expatriate Services Payment",L63)),"SADAD",
        ISNUMBER(SEARCH("Rejected",L63)),"Transfer"
    ),
    "-"
)</f>
        <v>Transfer</v>
      </c>
      <c r="W63" s="25" t="str" cm="1">
        <f t="array" ref="W63">_xlfn.IFNA(
    _xlfn.IFS(
        AND(V63="Transfer",ISNUMBER(SEARCH("RIYAD BANK",L63))),"External FI",
        AND(V63="Transfer",ISNUMBER(SEARCH("Al Ahli",L63))),"External FI",
        AND(V63="Transfer",ISNUMBER(SEARCH("CIB via",L63))),"Local Transfer",
        AND(V63="Transfer",ISNUMBER(SEARCH("CIB)",L63))),"Local Transfer",
        AND(V63="Transfer",ISNUMBER(SEARCH("SMRT",L63))),"Local Transfer",
        AND(V63="Transfer",ISNUMBER(SEARCH("Al Murabba",L63))),"Local Transfer",
        AND(V63="Transfer",ISNUMBER(SEARCH("Internal Transfer",L63))),"Same FI",
        AND(V63="Transfer",ISNUMBER(SEARCH("Rejected",L63))),"Failed",
        V63="SADAD",
            _xlfn.IFS(
                ISNUMBER(SEARCH("Expatriate",L63)),"Expat Fees",
                TRUE,"Online Payment"
            ),
        V63="Payroll","Payroll",
        V63="Cash","Deposit",
        TRUE,"-"
    ),
    "-"
)</f>
        <v>Local Transfer</v>
      </c>
      <c r="X63" s="25" t="str" cm="1">
        <f t="array" ref="X63">_xlfn.IFNA(
    _xlfn.IFS(
        V63="-","Low",
        W63="-","Low",
        TRUE,"High"
    ),
    "-"
)</f>
        <v>High</v>
      </c>
      <c r="Y63" s="25" t="str">
        <f t="shared" si="0"/>
        <v>-</v>
      </c>
      <c r="Z63" s="25" t="str" cm="1">
        <f t="array" ref="Z63">_xlfn.IFNA(
    _xlfn.IFS(
        ISNUMBER(SEARCH("Abdul Latif Jameel",M63)),"Lender",
        ISNUMBER(SEARCH("Abdullah Abdulkarim Al Sudais",M63)),"Accounting",
        ISNUMBER(SEARCH("Abdullah Fahad for Accounting",M63)),"Accounting",
        ISNUMBER(SEARCH("Abdullah Rashid Shaikh",M63)),"Shareholder",
        ISNUMBER(SEARCH("Advanced Equipments",M63)),"Equipment Rental",
        ISNUMBER(SEARCH("Al Banuk Sana",M63)),"Telecom Company",
        ISNUMBER(SEARCH("Al Khaleefa Factory",M63)),"Manufacturer",
        ISNUMBER(SEARCH("Al Saadeh Trading",M63)),"Trading Company",
        ISNUMBER(SEARCH("Al Zaehaan",M63)),"Trading Company",
        ISNUMBER(SEARCH("Ali Abdullah K Al Darwish",M63)),"Airlines",
        ISNUMBER(SEARCH("Bupa Arabia",M63)),"Health Insurance",
        ISNUMBER(SEARCH("Dar Fahoosaat",M63)),"Consultant",
        ISNUMBER(SEARCH("General Authority of Zakat",M63)),"Tax Collection",
        ISNUMBER(SEARCH("Gulf Voyager",M63)),"Travel Agency",
        ISNUMBER(SEARCH("Hopeway Trading",M63)),"Trading Company",
        ISNUMBER(SEARCH("Interhealth Medical",M63)),"Medical Services",
        ISNUMBER(SEARCH("Ishaar",M63)),"Online Payment Service",
        ISNUMBER(SEARCH("ISO Arabia",M63)),"Certification",
        ISNUMBER(SEARCH("Khalid Saad Al Otaibi",M63)),"Trading Company",
        ISNUMBER(SEARCH("MERAS for Decoration",M63)),"Decor Company",
        ISNUMBER(SEARCH("Middle East Customs Clearance",M63)),"Customs",
        ISNUMBER(SEARCH("Ministry of Human Resources",M63)),"Government",
        ISNUMBER(SEARCH("My Business Services",M63)),"Service Provider",
        ISNUMBER(SEARCH("National Water Company",M63)),"Water Company",
        ISNUMBER(SEARCH("Rania Contracting",M63)),"Contracting",
        ISNUMBER(SEARCH("Rashid Ali Sheikh",M63)),"Shareholder",
        ISNUMBER(SEARCH("Sahab United Motors",M63)),"Car Show Room",
        ISNUMBER(SEARCH("Saud Mohammed Al Tamimi",M63)),"Shareholder",
        ISNUMBER(SEARCH("Saud Mohammed Tamimi",M63)),"Shareholder",
        ISNUMBER(SEARCH("Saudi Electric Company",M63)),"Electricity Company",
        ISNUMBER(SEARCH("Saudi Vetonit",M63)),"Building Materials",
        ISNUMBER(SEARCH("Shomoul Eng",M63)),"Safety",
        ISNUMBER(SEARCH("STC",M63)),"Telecom Company",
        ISNUMBER(SEARCH("The General Organization for Social Insurance",M63)),"Social Insurance Agency",
        ISNUMBER(SEARCH("TUV Rheinland",M63)),"Certification",
        ISNUMBER(SEARCH("Al Arabia Ceramic",M63)),"Building Materials",
        ISNUMBER(SEARCH("National Company for Building and Marketing",M63)),"Parent Company",
        ISNUMBER(SEARCH("Athraa Holding",M63)),"Holding Company",
        ISNUMBER(SEARCH("Al Rasan",M63)),"Contracting",
        ISNUMBER(SEARCH("Raboua Al Haid",M63)),"Trading Company",
        ISNUMBER(SEARCH("Al Jazeera Paint",M63)),"Manufacturer",
        ISNUMBER(SEARCH("Rania Works Contracting",M63)),"Contracting",
        ISNUMBER(SEARCH("Bandar Jarallah",M63)),"Trading Establishment",
        ISNUMBER(SEARCH("RS Infratec Saudi",M63)),"Same Company",
        ISNUMBER(SEARCH("Payroll",M63)),"Bank",
        ISNUMBER(SEARCH("Expatriate",M63)),"Government",
        ISNUMBER(SEARCH("Unknown Sender",M63)),"Unknown",
        TRUE,"Unknown"
    ),
    "-"
)</f>
        <v>Same Company</v>
      </c>
      <c r="AA63" s="25" t="str" cm="1">
        <f t="array" ref="AA63">_xlfn.IFNA(
    _xlfn.IFS(
        Z63="Lender","Financing",
        Z63="Accounting","Accounting",
        Z63="Shareholder","Individual",
        Z63="Equipment Rental","Equipment Rental",
        Z63="Telecom Company","Telecom",
        Z63="Manufacturer","Manufacturer",
        Z63="Trading Company","Trading And Transport",
        Z63="Trading Establishment","Trading",
        Z63="Airlines","Airlines",
        Z63="Health Insurance","Insurance",
        Z63="Consultant","Consultant",
        Z63="Tax Collection","Government",
        Z63="Travel Agency","Travel Agency",
        Z63="Medical Services","Medical Center",
        Z63="Online Payment Service","Payment Facilitator",
        Z63="Certification","Safety",
        Z63="Decor Company","Design",
        Z63="Customs","Customs",
        Z63="Government","Government",
        Z63="Service Provider","Service Provider",
        Z63="Water Company","Water Company",
        Z63="Contracting","Contracting",
        Z63="Car Show Room","Car Trader",
        Z63="Electricity Company","Electricity Company",
        Z63="Building Materials","Building Materials",
        Z63="Safety","Safety",
        Z63="Social Insurance Agency","Government Fund",
        Z63="Parent Company","Holding Company",
        Z63="Holding Company","Holding Company",
        Z63="Same Company","Construction",
        Z63="Bank","Bank",
        Z63="Unknown","Unknown",
        TRUE,"-"
    ),
    "-"
)</f>
        <v>Construction</v>
      </c>
      <c r="AB63" s="25" t="str">
        <f t="shared" si="1"/>
        <v>-</v>
      </c>
      <c r="AC63" s="25" t="str" cm="1">
        <f t="array" ref="AC63">_xlfn.IFNA(
    _xlfn.IFS(
        Z63="Shareholder","Shareholder",
        Z63="Same Company","Same Company",
        Z63="Bank","Bank",
        Z63="Government","Government",
        Z63="Social Insurance Agency","Government",
        Z63="Parent Company","Customer",
        Z63="Lender","Lender",
        Z63="Unknown","Unknown",
        ISNUMBER(SEARCH("Abdullah Abdulkarim",M63)),"Service Provider",
        ISNUMBER(SEARCH("Abdullah Fahad",M63)),"Service Provider",
        ISNUMBER(SEARCH("Advanced Equipments",M63)),"Supplier",
        ISNUMBER(SEARCH("Al Banuk Sana",M63)),"Supplier",
        ISNUMBER(SEARCH("Al Khaleefa Factory",M63)),"Supplier",
        ISNUMBER(SEARCH("Al Saadeh Trading",M63)),"Supplier",
        ISNUMBER(SEARCH("Al Zaehaan",M63)),"Supplier",
        ISNUMBER(SEARCH("Ali Abdullah K Al Darwish",M63)),"Service Provider",
        ISNUMBER(SEARCH("Bupa Arabia",M63)),"Insurance Company",
        ISNUMBER(SEARCH("Dar Fahoosaat",M63)),"Service Provider",
        ISNUMBER(SEARCH("General Authority of Zakat",M63)),"Tax Authority",
        ISNUMBER(SEARCH("Gulf Voyager",M63)),"Service Provider",
        ISNUMBER(SEARCH("Hopeway Trading",M63)),"Supplier",
        ISNUMBER(SEARCH("Interhealth Medical",M63)),"Customer",
        ISNUMBER(SEARCH("Ishaar",M63)),"Service Provider",
        ISNUMBER(SEARCH("ISO Arabia",M63)),"Service Provider",
        ISNUMBER(SEARCH("Khalid Saad Al Otaibi",M63)),"Supplier",
        ISNUMBER(SEARCH("MERAS for Decoration",M63)),"Supplier",
        ISNUMBER(SEARCH("Middle East Customs Clearance",M63)),"Service Provider",
        ISNUMBER(SEARCH("Ministry of Human Resources",M63)),"Regulatory Agency",
        ISNUMBER(SEARCH("My Business Services",M63)),"Service Provider",
        ISNUMBER(SEARCH("National Water Company",M63)),"Utility Provider",
        ISNUMBER(SEARCH("Rania Contracting",M63)),"Supplier",
        ISNUMBER(SEARCH("Sahab United Motors",M63)),"Supplier",
        ISNUMBER(SEARCH("Saudi Electric Company",M63)),"Utility Provider",
        ISNUMBER(SEARCH("Saudi Vetonit",M63)),"Supplier",
        ISNUMBER(SEARCH("Shomoul Eng",M63)),"Service Provider",
        ISNUMBER(SEARCH("STC",M63)),"Utility Provider",
        ISNUMBER(SEARCH("The General Organization for Social Insurance",M63)),"Social Insurance Agency",
        ISNUMBER(SEARCH("TUV Rheinland",M63)),"Service Provider",
        ISNUMBER(SEARCH("Al Arabia Ceramic",M63)),"Supplier",
        ISNUMBER(SEARCH("National Company for Building",M63)),"Customer",
        ISNUMBER(SEARCH("Athraa Holding",M63)),"Customer",
        ISNUMBER(SEARCH("Al Rasan",M63)),"Supplier",
        ISNUMBER(SEARCH("Raboua Al Haid",M63)),"Customer",
        ISNUMBER(SEARCH("Al Jazeera Paint",M63)),"Supplier",
        ISNUMBER(SEARCH("Rania Works Contracting",M63)),"Supplier",
        ISNUMBER(SEARCH("Bandar Jarallah",M63)),"Supplier",
        TRUE,"Supplier"
    ),
    "-"
)</f>
        <v>Same Company</v>
      </c>
      <c r="AD63" s="25" t="str" cm="1">
        <f t="array" ref="AD63">_xlfn.IFNA(
    _xlfn.IFS(
        AC63="Same Company","High",
        AC63="Shareholder","High",
        AC63="Government","High",
        AC63="Bank","High",
        AC63="Lender","High",
        AC63="Unknown","Low",
        AC63="-","Low",
        TRUE,"Medium"
    ),
    "-"
)</f>
        <v>High</v>
      </c>
      <c r="AE63" s="25" t="str">
        <f t="shared" si="2"/>
        <v>-</v>
      </c>
      <c r="AF63" s="25" t="str" cm="1">
        <f t="array" ref="AF63">_xlfn.IFNA(
    _xlfn.IFS(
        K63="Credit",
            _xlfn.IFS(
                OR(ISNUMBER(SEARCH("Rejected",L63)),ISNUMBER(SEARCH("Returned",L63))),"Other Income",
                TRUE,"Revenue"
            ),
        K63="Debit",
            _xlfn.IFS(
                ISNUMBER(SEARCH("Payroll",L63)),"OPEX",
                ISNUMBER(SEARCH("Expatriate",L63)),"OPEX",
                ISNUMBER(SEARCH("Zakat",M63)),"ZATCA",
                ISNUMBER(SEARCH("General Organization for Social Insurance",M63)),"OPEX",
                ISNUMBER(SEARCH("Saudi Electric",M63)),"OPEX",
                ISNUMBER(SEARCH("STC",M63)),"OPEX",
                ISNUMBER(SEARCH("National Water",M63)),"OPEX",
                ISNUMBER(SEARCH("Bupa",M63)),"OPEX",
                ISNUMBER(SEARCH("Abdullah Abdulkarim",M63)),"OPEX",
                ISNUMBER(SEARCH("Abdullah Fahad",M63)),"OPEX",
                ISNUMBER(SEARCH("ISO Arabia",M63)),"OPEX",
                ISNUMBER(SEARCH("Gulf Voyager",M63)),"OPEX",
                ISNUMBER(SEARCH("Ministry",M63)),"OPEX",
                ISNUMBER(SEARCH("General Authority of Zakat",M63)),"ZATCA",
                ISNUMBER(SEARCH("Rejected",L63)),"Other Income",
                TRUE,"COGS"
            ),
        TRUE,"-"
    ),
    "-"
)</f>
        <v>Revenue</v>
      </c>
      <c r="AG63" s="25" t="str" cm="1">
        <f t="array" ref="AG63">_xlfn.IFNA(
    _xlfn.IFS(
        ISNUMBER(SEARCH("Payroll",L63)),"Payroll",
        ISNUMBER(SEARCH("Expatriate",L63)),"Government Fees",
        ISNUMBER(SEARCH("Zakat",M63)),"Zakat",
        ISNUMBER(SEARCH("Social Insurance",M63)),"Social Insurance",
        ISNUMBER(SEARCH("Saudi Electric",M63)),"Electricity",
        ISNUMBER(SEARCH("STC",M63)),"Telecom",
        ISNUMBER(SEARCH("National Water",M63)),"Water",
        ISNUMBER(SEARCH("Bupa",M63)),"Insurance",
        ISNUMBER(SEARCH("Gulf Voyager",M63)),"Travel",
        ISNUMBER(SEARCH("Ministry",M63)),"Government Fees",
        ISNUMBER(SEARCH("Abdullah Abdulkarim",M63)),"Consulting",
        ISNUMBER(SEARCH("Abdullah Fahad",M63)),"Accounting",
        ISNUMBER(SEARCH("ISO Arabia",M63)),"Consulting",
        ISNUMBER(SEARCH("Rejected",L63)),"Refund",
        AF63="COGS","Inventory Purchase",
        AF63="Revenue","Revenue",
        AF63="OPEX","Other",
        AF63="ZATCA","Zakat",
        TRUE,"-"
    ),
    "-"
)</f>
        <v>Revenue</v>
      </c>
      <c r="AH63" s="25" t="str" cm="1">
        <f t="array" ref="AH63">_xlfn.IFNA(
    _xlfn.IFS(
        AF63="-","Low",
        AF63="Other","Low",
        TRUE,"Medium"
    ),
    "-"
)</f>
        <v>Medium</v>
      </c>
      <c r="AI63" s="25" t="str">
        <f t="shared" si="3"/>
        <v>-</v>
      </c>
    </row>
    <row r="64" spans="1:35" x14ac:dyDescent="0.25">
      <c r="A64" s="10">
        <v>3</v>
      </c>
      <c r="B64" s="10" t="s">
        <v>35</v>
      </c>
      <c r="C64" s="10" t="s">
        <v>36</v>
      </c>
      <c r="D64" s="10" t="s">
        <v>37</v>
      </c>
      <c r="E64" s="10" t="s">
        <v>38</v>
      </c>
      <c r="F64" s="11" t="s">
        <v>39</v>
      </c>
      <c r="G64" s="11" t="s">
        <v>40</v>
      </c>
      <c r="H64" s="12">
        <v>44992</v>
      </c>
      <c r="I64" s="20">
        <v>31084.240000000002</v>
      </c>
      <c r="J64" s="20">
        <v>10000</v>
      </c>
      <c r="K64" s="10" t="s">
        <v>116</v>
      </c>
      <c r="L64" s="9" t="s">
        <v>224</v>
      </c>
      <c r="M64" s="9" t="s">
        <v>324</v>
      </c>
      <c r="O64" s="9" t="s">
        <v>226</v>
      </c>
      <c r="P64" s="15">
        <v>44992</v>
      </c>
      <c r="Q64" s="9" t="s">
        <v>327</v>
      </c>
      <c r="R64" s="16">
        <v>10000</v>
      </c>
      <c r="U64" s="9" t="s">
        <v>55</v>
      </c>
      <c r="V64" s="24" t="str" cm="1">
        <f t="array" ref="V64">_xlfn.IFNA(
    _xlfn.IFS(
        ISNUMBER(SEARCH("Fast Outgoing Transfer",L64)),"Transfer",
        ISNUMBER(SEARCH("Incoming Fast Transfer",L64)),"Transfer",
        ISNUMBER(SEARCH("Outgoing International Transfer",L64)),"Transfer",
        ISNUMBER(SEARCH("Bill Payment",L64)),"SADAD",
        ISNUMBER(SEARCH("Payroll",L64)),"Payroll",
        ISNUMBER(SEARCH("Cash Deposit",L64)),"Cash",
        ISNUMBER(SEARCH("Internal Transfer",L64)),"Transfer",
        ISNUMBER(SEARCH("Expatriate Services Payment",L64)),"SADAD",
        ISNUMBER(SEARCH("Rejected",L64)),"Transfer"
    ),
    "-"
)</f>
        <v>Transfer</v>
      </c>
      <c r="W64" s="25" t="str" cm="1">
        <f t="array" ref="W64">_xlfn.IFNA(
    _xlfn.IFS(
        AND(V64="Transfer",ISNUMBER(SEARCH("RIYAD BANK",L64))),"External FI",
        AND(V64="Transfer",ISNUMBER(SEARCH("Al Ahli",L64))),"External FI",
        AND(V64="Transfer",ISNUMBER(SEARCH("CIB via",L64))),"Local Transfer",
        AND(V64="Transfer",ISNUMBER(SEARCH("CIB)",L64))),"Local Transfer",
        AND(V64="Transfer",ISNUMBER(SEARCH("SMRT",L64))),"Local Transfer",
        AND(V64="Transfer",ISNUMBER(SEARCH("Al Murabba",L64))),"Local Transfer",
        AND(V64="Transfer",ISNUMBER(SEARCH("Internal Transfer",L64))),"Same FI",
        AND(V64="Transfer",ISNUMBER(SEARCH("Rejected",L64))),"Failed",
        V64="SADAD",
            _xlfn.IFS(
                ISNUMBER(SEARCH("Expatriate",L64)),"Expat Fees",
                TRUE,"Online Payment"
            ),
        V64="Payroll","Payroll",
        V64="Cash","Deposit",
        TRUE,"-"
    ),
    "-"
)</f>
        <v>Local Transfer</v>
      </c>
      <c r="X64" s="25" t="str" cm="1">
        <f t="array" ref="X64">_xlfn.IFNA(
    _xlfn.IFS(
        V64="-","Low",
        W64="-","Low",
        TRUE,"High"
    ),
    "-"
)</f>
        <v>High</v>
      </c>
      <c r="Y64" s="25" t="str">
        <f t="shared" si="0"/>
        <v>-</v>
      </c>
      <c r="Z64" s="25" t="str" cm="1">
        <f t="array" ref="Z64">_xlfn.IFNA(
    _xlfn.IFS(
        ISNUMBER(SEARCH("Abdul Latif Jameel",M64)),"Lender",
        ISNUMBER(SEARCH("Abdullah Abdulkarim Al Sudais",M64)),"Accounting",
        ISNUMBER(SEARCH("Abdullah Fahad for Accounting",M64)),"Accounting",
        ISNUMBER(SEARCH("Abdullah Rashid Shaikh",M64)),"Shareholder",
        ISNUMBER(SEARCH("Advanced Equipments",M64)),"Equipment Rental",
        ISNUMBER(SEARCH("Al Banuk Sana",M64)),"Telecom Company",
        ISNUMBER(SEARCH("Al Khaleefa Factory",M64)),"Manufacturer",
        ISNUMBER(SEARCH("Al Saadeh Trading",M64)),"Trading Company",
        ISNUMBER(SEARCH("Al Zaehaan",M64)),"Trading Company",
        ISNUMBER(SEARCH("Ali Abdullah K Al Darwish",M64)),"Airlines",
        ISNUMBER(SEARCH("Bupa Arabia",M64)),"Health Insurance",
        ISNUMBER(SEARCH("Dar Fahoosaat",M64)),"Consultant",
        ISNUMBER(SEARCH("General Authority of Zakat",M64)),"Tax Collection",
        ISNUMBER(SEARCH("Gulf Voyager",M64)),"Travel Agency",
        ISNUMBER(SEARCH("Hopeway Trading",M64)),"Trading Company",
        ISNUMBER(SEARCH("Interhealth Medical",M64)),"Medical Services",
        ISNUMBER(SEARCH("Ishaar",M64)),"Online Payment Service",
        ISNUMBER(SEARCH("ISO Arabia",M64)),"Certification",
        ISNUMBER(SEARCH("Khalid Saad Al Otaibi",M64)),"Trading Company",
        ISNUMBER(SEARCH("MERAS for Decoration",M64)),"Decor Company",
        ISNUMBER(SEARCH("Middle East Customs Clearance",M64)),"Customs",
        ISNUMBER(SEARCH("Ministry of Human Resources",M64)),"Government",
        ISNUMBER(SEARCH("My Business Services",M64)),"Service Provider",
        ISNUMBER(SEARCH("National Water Company",M64)),"Water Company",
        ISNUMBER(SEARCH("Rania Contracting",M64)),"Contracting",
        ISNUMBER(SEARCH("Rashid Ali Sheikh",M64)),"Shareholder",
        ISNUMBER(SEARCH("Sahab United Motors",M64)),"Car Show Room",
        ISNUMBER(SEARCH("Saud Mohammed Al Tamimi",M64)),"Shareholder",
        ISNUMBER(SEARCH("Saud Mohammed Tamimi",M64)),"Shareholder",
        ISNUMBER(SEARCH("Saudi Electric Company",M64)),"Electricity Company",
        ISNUMBER(SEARCH("Saudi Vetonit",M64)),"Building Materials",
        ISNUMBER(SEARCH("Shomoul Eng",M64)),"Safety",
        ISNUMBER(SEARCH("STC",M64)),"Telecom Company",
        ISNUMBER(SEARCH("The General Organization for Social Insurance",M64)),"Social Insurance Agency",
        ISNUMBER(SEARCH("TUV Rheinland",M64)),"Certification",
        ISNUMBER(SEARCH("Al Arabia Ceramic",M64)),"Building Materials",
        ISNUMBER(SEARCH("National Company for Building and Marketing",M64)),"Parent Company",
        ISNUMBER(SEARCH("Athraa Holding",M64)),"Holding Company",
        ISNUMBER(SEARCH("Al Rasan",M64)),"Contracting",
        ISNUMBER(SEARCH("Raboua Al Haid",M64)),"Trading Company",
        ISNUMBER(SEARCH("Al Jazeera Paint",M64)),"Manufacturer",
        ISNUMBER(SEARCH("Rania Works Contracting",M64)),"Contracting",
        ISNUMBER(SEARCH("Bandar Jarallah",M64)),"Trading Establishment",
        ISNUMBER(SEARCH("RS Infratec Saudi",M64)),"Same Company",
        ISNUMBER(SEARCH("Payroll",M64)),"Bank",
        ISNUMBER(SEARCH("Expatriate",M64)),"Government",
        ISNUMBER(SEARCH("Unknown Sender",M64)),"Unknown",
        TRUE,"Unknown"
    ),
    "-"
)</f>
        <v>Same Company</v>
      </c>
      <c r="AA64" s="25" t="str" cm="1">
        <f t="array" ref="AA64">_xlfn.IFNA(
    _xlfn.IFS(
        Z64="Lender","Financing",
        Z64="Accounting","Accounting",
        Z64="Shareholder","Individual",
        Z64="Equipment Rental","Equipment Rental",
        Z64="Telecom Company","Telecom",
        Z64="Manufacturer","Manufacturer",
        Z64="Trading Company","Trading And Transport",
        Z64="Trading Establishment","Trading",
        Z64="Airlines","Airlines",
        Z64="Health Insurance","Insurance",
        Z64="Consultant","Consultant",
        Z64="Tax Collection","Government",
        Z64="Travel Agency","Travel Agency",
        Z64="Medical Services","Medical Center",
        Z64="Online Payment Service","Payment Facilitator",
        Z64="Certification","Safety",
        Z64="Decor Company","Design",
        Z64="Customs","Customs",
        Z64="Government","Government",
        Z64="Service Provider","Service Provider",
        Z64="Water Company","Water Company",
        Z64="Contracting","Contracting",
        Z64="Car Show Room","Car Trader",
        Z64="Electricity Company","Electricity Company",
        Z64="Building Materials","Building Materials",
        Z64="Safety","Safety",
        Z64="Social Insurance Agency","Government Fund",
        Z64="Parent Company","Holding Company",
        Z64="Holding Company","Holding Company",
        Z64="Same Company","Construction",
        Z64="Bank","Bank",
        Z64="Unknown","Unknown",
        TRUE,"-"
    ),
    "-"
)</f>
        <v>Construction</v>
      </c>
      <c r="AB64" s="25" t="str">
        <f t="shared" si="1"/>
        <v>-</v>
      </c>
      <c r="AC64" s="25" t="str" cm="1">
        <f t="array" ref="AC64">_xlfn.IFNA(
    _xlfn.IFS(
        Z64="Shareholder","Shareholder",
        Z64="Same Company","Same Company",
        Z64="Bank","Bank",
        Z64="Government","Government",
        Z64="Social Insurance Agency","Government",
        Z64="Parent Company","Customer",
        Z64="Lender","Lender",
        Z64="Unknown","Unknown",
        ISNUMBER(SEARCH("Abdullah Abdulkarim",M64)),"Service Provider",
        ISNUMBER(SEARCH("Abdullah Fahad",M64)),"Service Provider",
        ISNUMBER(SEARCH("Advanced Equipments",M64)),"Supplier",
        ISNUMBER(SEARCH("Al Banuk Sana",M64)),"Supplier",
        ISNUMBER(SEARCH("Al Khaleefa Factory",M64)),"Supplier",
        ISNUMBER(SEARCH("Al Saadeh Trading",M64)),"Supplier",
        ISNUMBER(SEARCH("Al Zaehaan",M64)),"Supplier",
        ISNUMBER(SEARCH("Ali Abdullah K Al Darwish",M64)),"Service Provider",
        ISNUMBER(SEARCH("Bupa Arabia",M64)),"Insurance Company",
        ISNUMBER(SEARCH("Dar Fahoosaat",M64)),"Service Provider",
        ISNUMBER(SEARCH("General Authority of Zakat",M64)),"Tax Authority",
        ISNUMBER(SEARCH("Gulf Voyager",M64)),"Service Provider",
        ISNUMBER(SEARCH("Hopeway Trading",M64)),"Supplier",
        ISNUMBER(SEARCH("Interhealth Medical",M64)),"Customer",
        ISNUMBER(SEARCH("Ishaar",M64)),"Service Provider",
        ISNUMBER(SEARCH("ISO Arabia",M64)),"Service Provider",
        ISNUMBER(SEARCH("Khalid Saad Al Otaibi",M64)),"Supplier",
        ISNUMBER(SEARCH("MERAS for Decoration",M64)),"Supplier",
        ISNUMBER(SEARCH("Middle East Customs Clearance",M64)),"Service Provider",
        ISNUMBER(SEARCH("Ministry of Human Resources",M64)),"Regulatory Agency",
        ISNUMBER(SEARCH("My Business Services",M64)),"Service Provider",
        ISNUMBER(SEARCH("National Water Company",M64)),"Utility Provider",
        ISNUMBER(SEARCH("Rania Contracting",M64)),"Supplier",
        ISNUMBER(SEARCH("Sahab United Motors",M64)),"Supplier",
        ISNUMBER(SEARCH("Saudi Electric Company",M64)),"Utility Provider",
        ISNUMBER(SEARCH("Saudi Vetonit",M64)),"Supplier",
        ISNUMBER(SEARCH("Shomoul Eng",M64)),"Service Provider",
        ISNUMBER(SEARCH("STC",M64)),"Utility Provider",
        ISNUMBER(SEARCH("The General Organization for Social Insurance",M64)),"Social Insurance Agency",
        ISNUMBER(SEARCH("TUV Rheinland",M64)),"Service Provider",
        ISNUMBER(SEARCH("Al Arabia Ceramic",M64)),"Supplier",
        ISNUMBER(SEARCH("National Company for Building",M64)),"Customer",
        ISNUMBER(SEARCH("Athraa Holding",M64)),"Customer",
        ISNUMBER(SEARCH("Al Rasan",M64)),"Supplier",
        ISNUMBER(SEARCH("Raboua Al Haid",M64)),"Customer",
        ISNUMBER(SEARCH("Al Jazeera Paint",M64)),"Supplier",
        ISNUMBER(SEARCH("Rania Works Contracting",M64)),"Supplier",
        ISNUMBER(SEARCH("Bandar Jarallah",M64)),"Supplier",
        TRUE,"Supplier"
    ),
    "-"
)</f>
        <v>Same Company</v>
      </c>
      <c r="AD64" s="25" t="str" cm="1">
        <f t="array" ref="AD64">_xlfn.IFNA(
    _xlfn.IFS(
        AC64="Same Company","High",
        AC64="Shareholder","High",
        AC64="Government","High",
        AC64="Bank","High",
        AC64="Lender","High",
        AC64="Unknown","Low",
        AC64="-","Low",
        TRUE,"Medium"
    ),
    "-"
)</f>
        <v>High</v>
      </c>
      <c r="AE64" s="25" t="str">
        <f t="shared" si="2"/>
        <v>-</v>
      </c>
      <c r="AF64" s="25" t="str" cm="1">
        <f t="array" ref="AF64">_xlfn.IFNA(
    _xlfn.IFS(
        K64="Credit",
            _xlfn.IFS(
                OR(ISNUMBER(SEARCH("Rejected",L64)),ISNUMBER(SEARCH("Returned",L64))),"Other Income",
                TRUE,"Revenue"
            ),
        K64="Debit",
            _xlfn.IFS(
                ISNUMBER(SEARCH("Payroll",L64)),"OPEX",
                ISNUMBER(SEARCH("Expatriate",L64)),"OPEX",
                ISNUMBER(SEARCH("Zakat",M64)),"ZATCA",
                ISNUMBER(SEARCH("General Organization for Social Insurance",M64)),"OPEX",
                ISNUMBER(SEARCH("Saudi Electric",M64)),"OPEX",
                ISNUMBER(SEARCH("STC",M64)),"OPEX",
                ISNUMBER(SEARCH("National Water",M64)),"OPEX",
                ISNUMBER(SEARCH("Bupa",M64)),"OPEX",
                ISNUMBER(SEARCH("Abdullah Abdulkarim",M64)),"OPEX",
                ISNUMBER(SEARCH("Abdullah Fahad",M64)),"OPEX",
                ISNUMBER(SEARCH("ISO Arabia",M64)),"OPEX",
                ISNUMBER(SEARCH("Gulf Voyager",M64)),"OPEX",
                ISNUMBER(SEARCH("Ministry",M64)),"OPEX",
                ISNUMBER(SEARCH("General Authority of Zakat",M64)),"ZATCA",
                ISNUMBER(SEARCH("Rejected",L64)),"Other Income",
                TRUE,"COGS"
            ),
        TRUE,"-"
    ),
    "-"
)</f>
        <v>Revenue</v>
      </c>
      <c r="AG64" s="25" t="str" cm="1">
        <f t="array" ref="AG64">_xlfn.IFNA(
    _xlfn.IFS(
        ISNUMBER(SEARCH("Payroll",L64)),"Payroll",
        ISNUMBER(SEARCH("Expatriate",L64)),"Government Fees",
        ISNUMBER(SEARCH("Zakat",M64)),"Zakat",
        ISNUMBER(SEARCH("Social Insurance",M64)),"Social Insurance",
        ISNUMBER(SEARCH("Saudi Electric",M64)),"Electricity",
        ISNUMBER(SEARCH("STC",M64)),"Telecom",
        ISNUMBER(SEARCH("National Water",M64)),"Water",
        ISNUMBER(SEARCH("Bupa",M64)),"Insurance",
        ISNUMBER(SEARCH("Gulf Voyager",M64)),"Travel",
        ISNUMBER(SEARCH("Ministry",M64)),"Government Fees",
        ISNUMBER(SEARCH("Abdullah Abdulkarim",M64)),"Consulting",
        ISNUMBER(SEARCH("Abdullah Fahad",M64)),"Accounting",
        ISNUMBER(SEARCH("ISO Arabia",M64)),"Consulting",
        ISNUMBER(SEARCH("Rejected",L64)),"Refund",
        AF64="COGS","Inventory Purchase",
        AF64="Revenue","Revenue",
        AF64="OPEX","Other",
        AF64="ZATCA","Zakat",
        TRUE,"-"
    ),
    "-"
)</f>
        <v>Revenue</v>
      </c>
      <c r="AH64" s="25" t="str" cm="1">
        <f t="array" ref="AH64">_xlfn.IFNA(
    _xlfn.IFS(
        AF64="-","Low",
        AF64="Other","Low",
        TRUE,"Medium"
    ),
    "-"
)</f>
        <v>Medium</v>
      </c>
      <c r="AI64" s="25" t="str">
        <f t="shared" si="3"/>
        <v>-</v>
      </c>
    </row>
    <row r="65" spans="1:35" x14ac:dyDescent="0.25">
      <c r="A65" s="10">
        <v>4</v>
      </c>
      <c r="B65" s="10" t="s">
        <v>35</v>
      </c>
      <c r="C65" s="10" t="s">
        <v>36</v>
      </c>
      <c r="D65" s="10" t="s">
        <v>37</v>
      </c>
      <c r="E65" s="10" t="s">
        <v>38</v>
      </c>
      <c r="F65" s="11" t="s">
        <v>39</v>
      </c>
      <c r="G65" s="11" t="s">
        <v>40</v>
      </c>
      <c r="H65" s="12">
        <v>45017</v>
      </c>
      <c r="I65" s="20">
        <v>41752.17</v>
      </c>
      <c r="J65" s="20">
        <v>3605.9</v>
      </c>
      <c r="K65" s="10" t="s">
        <v>41</v>
      </c>
      <c r="L65" s="9" t="s">
        <v>42</v>
      </c>
      <c r="M65" s="9" t="s">
        <v>43</v>
      </c>
      <c r="N65" s="9">
        <v>723967007577001</v>
      </c>
      <c r="O65" s="9" t="s">
        <v>44</v>
      </c>
      <c r="P65" s="15">
        <v>45017</v>
      </c>
      <c r="Q65" s="9" t="s">
        <v>45</v>
      </c>
      <c r="R65" s="16">
        <v>3605.9</v>
      </c>
      <c r="U65" s="9" t="s">
        <v>46</v>
      </c>
      <c r="V65" s="24" t="str" cm="1">
        <f t="array" ref="V65">_xlfn.IFNA(
    _xlfn.IFS(
        ISNUMBER(SEARCH("Fast Outgoing Transfer",L65)),"Transfer",
        ISNUMBER(SEARCH("Incoming Fast Transfer",L65)),"Transfer",
        ISNUMBER(SEARCH("Outgoing International Transfer",L65)),"Transfer",
        ISNUMBER(SEARCH("Bill Payment",L65)),"SADAD",
        ISNUMBER(SEARCH("Payroll",L65)),"Payroll",
        ISNUMBER(SEARCH("Cash Deposit",L65)),"Cash",
        ISNUMBER(SEARCH("Internal Transfer",L65)),"Transfer",
        ISNUMBER(SEARCH("Expatriate Services Payment",L65)),"SADAD",
        ISNUMBER(SEARCH("Rejected",L65)),"Transfer"
    ),
    "-"
)</f>
        <v>SADAD</v>
      </c>
      <c r="W65" s="25" t="str" cm="1">
        <f t="array" ref="W65">_xlfn.IFNA(
    _xlfn.IFS(
        AND(V65="Transfer",ISNUMBER(SEARCH("RIYAD BANK",L65))),"External FI",
        AND(V65="Transfer",ISNUMBER(SEARCH("Al Ahli",L65))),"External FI",
        AND(V65="Transfer",ISNUMBER(SEARCH("CIB via",L65))),"Local Transfer",
        AND(V65="Transfer",ISNUMBER(SEARCH("CIB)",L65))),"Local Transfer",
        AND(V65="Transfer",ISNUMBER(SEARCH("SMRT",L65))),"Local Transfer",
        AND(V65="Transfer",ISNUMBER(SEARCH("Al Murabba",L65))),"Local Transfer",
        AND(V65="Transfer",ISNUMBER(SEARCH("Internal Transfer",L65))),"Same FI",
        AND(V65="Transfer",ISNUMBER(SEARCH("Rejected",L65))),"Failed",
        V65="SADAD",
            _xlfn.IFS(
                ISNUMBER(SEARCH("Expatriate",L65)),"Expat Fees",
                TRUE,"Online Payment"
            ),
        V65="Payroll","Payroll",
        V65="Cash","Deposit",
        TRUE,"-"
    ),
    "-"
)</f>
        <v>Online Payment</v>
      </c>
      <c r="X65" s="25" t="str" cm="1">
        <f t="array" ref="X65">_xlfn.IFNA(
    _xlfn.IFS(
        V65="-","Low",
        W65="-","Low",
        TRUE,"High"
    ),
    "-"
)</f>
        <v>High</v>
      </c>
      <c r="Y65" s="25" t="str">
        <f t="shared" si="0"/>
        <v>-</v>
      </c>
      <c r="Z65" s="25" t="str" cm="1">
        <f t="array" ref="Z65">_xlfn.IFNA(
    _xlfn.IFS(
        ISNUMBER(SEARCH("Abdul Latif Jameel",M65)),"Lender",
        ISNUMBER(SEARCH("Abdullah Abdulkarim Al Sudais",M65)),"Accounting",
        ISNUMBER(SEARCH("Abdullah Fahad for Accounting",M65)),"Accounting",
        ISNUMBER(SEARCH("Abdullah Rashid Shaikh",M65)),"Shareholder",
        ISNUMBER(SEARCH("Advanced Equipments",M65)),"Equipment Rental",
        ISNUMBER(SEARCH("Al Banuk Sana",M65)),"Telecom Company",
        ISNUMBER(SEARCH("Al Khaleefa Factory",M65)),"Manufacturer",
        ISNUMBER(SEARCH("Al Saadeh Trading",M65)),"Trading Company",
        ISNUMBER(SEARCH("Al Zaehaan",M65)),"Trading Company",
        ISNUMBER(SEARCH("Ali Abdullah K Al Darwish",M65)),"Airlines",
        ISNUMBER(SEARCH("Bupa Arabia",M65)),"Health Insurance",
        ISNUMBER(SEARCH("Dar Fahoosaat",M65)),"Consultant",
        ISNUMBER(SEARCH("General Authority of Zakat",M65)),"Tax Collection",
        ISNUMBER(SEARCH("Gulf Voyager",M65)),"Travel Agency",
        ISNUMBER(SEARCH("Hopeway Trading",M65)),"Trading Company",
        ISNUMBER(SEARCH("Interhealth Medical",M65)),"Medical Services",
        ISNUMBER(SEARCH("Ishaar",M65)),"Online Payment Service",
        ISNUMBER(SEARCH("ISO Arabia",M65)),"Certification",
        ISNUMBER(SEARCH("Khalid Saad Al Otaibi",M65)),"Trading Company",
        ISNUMBER(SEARCH("MERAS for Decoration",M65)),"Decor Company",
        ISNUMBER(SEARCH("Middle East Customs Clearance",M65)),"Customs",
        ISNUMBER(SEARCH("Ministry of Human Resources",M65)),"Government",
        ISNUMBER(SEARCH("My Business Services",M65)),"Service Provider",
        ISNUMBER(SEARCH("National Water Company",M65)),"Water Company",
        ISNUMBER(SEARCH("Rania Contracting",M65)),"Contracting",
        ISNUMBER(SEARCH("Rashid Ali Sheikh",M65)),"Shareholder",
        ISNUMBER(SEARCH("Sahab United Motors",M65)),"Car Show Room",
        ISNUMBER(SEARCH("Saud Mohammed Al Tamimi",M65)),"Shareholder",
        ISNUMBER(SEARCH("Saud Mohammed Tamimi",M65)),"Shareholder",
        ISNUMBER(SEARCH("Saudi Electric Company",M65)),"Electricity Company",
        ISNUMBER(SEARCH("Saudi Vetonit",M65)),"Building Materials",
        ISNUMBER(SEARCH("Shomoul Eng",M65)),"Safety",
        ISNUMBER(SEARCH("STC",M65)),"Telecom Company",
        ISNUMBER(SEARCH("The General Organization for Social Insurance",M65)),"Social Insurance Agency",
        ISNUMBER(SEARCH("TUV Rheinland",M65)),"Certification",
        ISNUMBER(SEARCH("Al Arabia Ceramic",M65)),"Building Materials",
        ISNUMBER(SEARCH("National Company for Building and Marketing",M65)),"Parent Company",
        ISNUMBER(SEARCH("Athraa Holding",M65)),"Holding Company",
        ISNUMBER(SEARCH("Al Rasan",M65)),"Contracting",
        ISNUMBER(SEARCH("Raboua Al Haid",M65)),"Trading Company",
        ISNUMBER(SEARCH("Al Jazeera Paint",M65)),"Manufacturer",
        ISNUMBER(SEARCH("Rania Works Contracting",M65)),"Contracting",
        ISNUMBER(SEARCH("Bandar Jarallah",M65)),"Trading Establishment",
        ISNUMBER(SEARCH("RS Infratec Saudi",M65)),"Same Company",
        ISNUMBER(SEARCH("Payroll",M65)),"Bank",
        ISNUMBER(SEARCH("Expatriate",M65)),"Government",
        ISNUMBER(SEARCH("Unknown Sender",M65)),"Unknown",
        TRUE,"Unknown"
    ),
    "-"
)</f>
        <v>Lender</v>
      </c>
      <c r="AA65" s="25" t="str" cm="1">
        <f t="array" ref="AA65">_xlfn.IFNA(
    _xlfn.IFS(
        Z65="Lender","Financing",
        Z65="Accounting","Accounting",
        Z65="Shareholder","Individual",
        Z65="Equipment Rental","Equipment Rental",
        Z65="Telecom Company","Telecom",
        Z65="Manufacturer","Manufacturer",
        Z65="Trading Company","Trading And Transport",
        Z65="Trading Establishment","Trading",
        Z65="Airlines","Airlines",
        Z65="Health Insurance","Insurance",
        Z65="Consultant","Consultant",
        Z65="Tax Collection","Government",
        Z65="Travel Agency","Travel Agency",
        Z65="Medical Services","Medical Center",
        Z65="Online Payment Service","Payment Facilitator",
        Z65="Certification","Safety",
        Z65="Decor Company","Design",
        Z65="Customs","Customs",
        Z65="Government","Government",
        Z65="Service Provider","Service Provider",
        Z65="Water Company","Water Company",
        Z65="Contracting","Contracting",
        Z65="Car Show Room","Car Trader",
        Z65="Electricity Company","Electricity Company",
        Z65="Building Materials","Building Materials",
        Z65="Safety","Safety",
        Z65="Social Insurance Agency","Government Fund",
        Z65="Parent Company","Holding Company",
        Z65="Holding Company","Holding Company",
        Z65="Same Company","Construction",
        Z65="Bank","Bank",
        Z65="Unknown","Unknown",
        TRUE,"-"
    ),
    "-"
)</f>
        <v>Financing</v>
      </c>
      <c r="AB65" s="25" t="str">
        <f t="shared" si="1"/>
        <v>-</v>
      </c>
      <c r="AC65" s="25" t="str" cm="1">
        <f t="array" ref="AC65">_xlfn.IFNA(
    _xlfn.IFS(
        Z65="Shareholder","Shareholder",
        Z65="Same Company","Same Company",
        Z65="Bank","Bank",
        Z65="Government","Government",
        Z65="Social Insurance Agency","Government",
        Z65="Parent Company","Customer",
        Z65="Lender","Lender",
        Z65="Unknown","Unknown",
        ISNUMBER(SEARCH("Abdullah Abdulkarim",M65)),"Service Provider",
        ISNUMBER(SEARCH("Abdullah Fahad",M65)),"Service Provider",
        ISNUMBER(SEARCH("Advanced Equipments",M65)),"Supplier",
        ISNUMBER(SEARCH("Al Banuk Sana",M65)),"Supplier",
        ISNUMBER(SEARCH("Al Khaleefa Factory",M65)),"Supplier",
        ISNUMBER(SEARCH("Al Saadeh Trading",M65)),"Supplier",
        ISNUMBER(SEARCH("Al Zaehaan",M65)),"Supplier",
        ISNUMBER(SEARCH("Ali Abdullah K Al Darwish",M65)),"Service Provider",
        ISNUMBER(SEARCH("Bupa Arabia",M65)),"Insurance Company",
        ISNUMBER(SEARCH("Dar Fahoosaat",M65)),"Service Provider",
        ISNUMBER(SEARCH("General Authority of Zakat",M65)),"Tax Authority",
        ISNUMBER(SEARCH("Gulf Voyager",M65)),"Service Provider",
        ISNUMBER(SEARCH("Hopeway Trading",M65)),"Supplier",
        ISNUMBER(SEARCH("Interhealth Medical",M65)),"Customer",
        ISNUMBER(SEARCH("Ishaar",M65)),"Service Provider",
        ISNUMBER(SEARCH("ISO Arabia",M65)),"Service Provider",
        ISNUMBER(SEARCH("Khalid Saad Al Otaibi",M65)),"Supplier",
        ISNUMBER(SEARCH("MERAS for Decoration",M65)),"Supplier",
        ISNUMBER(SEARCH("Middle East Customs Clearance",M65)),"Service Provider",
        ISNUMBER(SEARCH("Ministry of Human Resources",M65)),"Regulatory Agency",
        ISNUMBER(SEARCH("My Business Services",M65)),"Service Provider",
        ISNUMBER(SEARCH("National Water Company",M65)),"Utility Provider",
        ISNUMBER(SEARCH("Rania Contracting",M65)),"Supplier",
        ISNUMBER(SEARCH("Sahab United Motors",M65)),"Supplier",
        ISNUMBER(SEARCH("Saudi Electric Company",M65)),"Utility Provider",
        ISNUMBER(SEARCH("Saudi Vetonit",M65)),"Supplier",
        ISNUMBER(SEARCH("Shomoul Eng",M65)),"Service Provider",
        ISNUMBER(SEARCH("STC",M65)),"Utility Provider",
        ISNUMBER(SEARCH("The General Organization for Social Insurance",M65)),"Social Insurance Agency",
        ISNUMBER(SEARCH("TUV Rheinland",M65)),"Service Provider",
        ISNUMBER(SEARCH("Al Arabia Ceramic",M65)),"Supplier",
        ISNUMBER(SEARCH("National Company for Building",M65)),"Customer",
        ISNUMBER(SEARCH("Athraa Holding",M65)),"Customer",
        ISNUMBER(SEARCH("Al Rasan",M65)),"Supplier",
        ISNUMBER(SEARCH("Raboua Al Haid",M65)),"Customer",
        ISNUMBER(SEARCH("Al Jazeera Paint",M65)),"Supplier",
        ISNUMBER(SEARCH("Rania Works Contracting",M65)),"Supplier",
        ISNUMBER(SEARCH("Bandar Jarallah",M65)),"Supplier",
        TRUE,"Supplier"
    ),
    "-"
)</f>
        <v>Lender</v>
      </c>
      <c r="AD65" s="25" t="str" cm="1">
        <f t="array" ref="AD65">_xlfn.IFNA(
    _xlfn.IFS(
        AC65="Same Company","High",
        AC65="Shareholder","High",
        AC65="Government","High",
        AC65="Bank","High",
        AC65="Lender","High",
        AC65="Unknown","Low",
        AC65="-","Low",
        TRUE,"Medium"
    ),
    "-"
)</f>
        <v>High</v>
      </c>
      <c r="AE65" s="25" t="str">
        <f t="shared" si="2"/>
        <v>-</v>
      </c>
      <c r="AF65" s="25" t="str" cm="1">
        <f t="array" ref="AF65">_xlfn.IFNA(
    _xlfn.IFS(
        K65="Credit",
            _xlfn.IFS(
                OR(ISNUMBER(SEARCH("Rejected",L65)),ISNUMBER(SEARCH("Returned",L65))),"Other Income",
                TRUE,"Revenue"
            ),
        K65="Debit",
            _xlfn.IFS(
                ISNUMBER(SEARCH("Payroll",L65)),"OPEX",
                ISNUMBER(SEARCH("Expatriate",L65)),"OPEX",
                ISNUMBER(SEARCH("Zakat",M65)),"ZATCA",
                ISNUMBER(SEARCH("General Organization for Social Insurance",M65)),"OPEX",
                ISNUMBER(SEARCH("Saudi Electric",M65)),"OPEX",
                ISNUMBER(SEARCH("STC",M65)),"OPEX",
                ISNUMBER(SEARCH("National Water",M65)),"OPEX",
                ISNUMBER(SEARCH("Bupa",M65)),"OPEX",
                ISNUMBER(SEARCH("Abdullah Abdulkarim",M65)),"OPEX",
                ISNUMBER(SEARCH("Abdullah Fahad",M65)),"OPEX",
                ISNUMBER(SEARCH("ISO Arabia",M65)),"OPEX",
                ISNUMBER(SEARCH("Gulf Voyager",M65)),"OPEX",
                ISNUMBER(SEARCH("Ministry",M65)),"OPEX",
                ISNUMBER(SEARCH("General Authority of Zakat",M65)),"ZATCA",
                ISNUMBER(SEARCH("Rejected",L65)),"Other Income",
                TRUE,"COGS"
            ),
        TRUE,"-"
    ),
    "-"
)</f>
        <v>COGS</v>
      </c>
      <c r="AG65" s="25" t="str" cm="1">
        <f t="array" ref="AG65">_xlfn.IFNA(
    _xlfn.IFS(
        ISNUMBER(SEARCH("Payroll",L65)),"Payroll",
        ISNUMBER(SEARCH("Expatriate",L65)),"Government Fees",
        ISNUMBER(SEARCH("Zakat",M65)),"Zakat",
        ISNUMBER(SEARCH("Social Insurance",M65)),"Social Insurance",
        ISNUMBER(SEARCH("Saudi Electric",M65)),"Electricity",
        ISNUMBER(SEARCH("STC",M65)),"Telecom",
        ISNUMBER(SEARCH("National Water",M65)),"Water",
        ISNUMBER(SEARCH("Bupa",M65)),"Insurance",
        ISNUMBER(SEARCH("Gulf Voyager",M65)),"Travel",
        ISNUMBER(SEARCH("Ministry",M65)),"Government Fees",
        ISNUMBER(SEARCH("Abdullah Abdulkarim",M65)),"Consulting",
        ISNUMBER(SEARCH("Abdullah Fahad",M65)),"Accounting",
        ISNUMBER(SEARCH("ISO Arabia",M65)),"Consulting",
        ISNUMBER(SEARCH("Rejected",L65)),"Refund",
        AF65="COGS","Inventory Purchase",
        AF65="Revenue","Revenue",
        AF65="OPEX","Other",
        AF65="ZATCA","Zakat",
        TRUE,"-"
    ),
    "-"
)</f>
        <v>Inventory Purchase</v>
      </c>
      <c r="AH65" s="25" t="str" cm="1">
        <f t="array" ref="AH65">_xlfn.IFNA(
    _xlfn.IFS(
        AF65="-","Low",
        AF65="Other","Low",
        TRUE,"Medium"
    ),
    "-"
)</f>
        <v>Medium</v>
      </c>
      <c r="AI65" s="25" t="str">
        <f t="shared" si="3"/>
        <v>-</v>
      </c>
    </row>
    <row r="66" spans="1:35" x14ac:dyDescent="0.25">
      <c r="A66" s="10">
        <v>4</v>
      </c>
      <c r="B66" s="10" t="s">
        <v>35</v>
      </c>
      <c r="C66" s="10" t="s">
        <v>36</v>
      </c>
      <c r="D66" s="10" t="s">
        <v>37</v>
      </c>
      <c r="E66" s="10" t="s">
        <v>38</v>
      </c>
      <c r="F66" s="11" t="s">
        <v>39</v>
      </c>
      <c r="G66" s="11" t="s">
        <v>40</v>
      </c>
      <c r="H66" s="12">
        <v>45017</v>
      </c>
      <c r="I66" s="20">
        <v>38146.269999999997</v>
      </c>
      <c r="J66" s="20">
        <v>3605.9</v>
      </c>
      <c r="K66" s="10" t="s">
        <v>41</v>
      </c>
      <c r="L66" s="9" t="s">
        <v>42</v>
      </c>
      <c r="M66" s="9" t="s">
        <v>43</v>
      </c>
      <c r="N66" s="9">
        <v>723967007577002</v>
      </c>
      <c r="O66" s="9" t="s">
        <v>44</v>
      </c>
      <c r="P66" s="15">
        <v>45017</v>
      </c>
      <c r="Q66" s="9" t="s">
        <v>47</v>
      </c>
      <c r="R66" s="16">
        <v>3605.9</v>
      </c>
      <c r="U66" s="9" t="s">
        <v>46</v>
      </c>
      <c r="V66" s="24" t="str" cm="1">
        <f t="array" ref="V66">_xlfn.IFNA(
    _xlfn.IFS(
        ISNUMBER(SEARCH("Fast Outgoing Transfer",L66)),"Transfer",
        ISNUMBER(SEARCH("Incoming Fast Transfer",L66)),"Transfer",
        ISNUMBER(SEARCH("Outgoing International Transfer",L66)),"Transfer",
        ISNUMBER(SEARCH("Bill Payment",L66)),"SADAD",
        ISNUMBER(SEARCH("Payroll",L66)),"Payroll",
        ISNUMBER(SEARCH("Cash Deposit",L66)),"Cash",
        ISNUMBER(SEARCH("Internal Transfer",L66)),"Transfer",
        ISNUMBER(SEARCH("Expatriate Services Payment",L66)),"SADAD",
        ISNUMBER(SEARCH("Rejected",L66)),"Transfer"
    ),
    "-"
)</f>
        <v>SADAD</v>
      </c>
      <c r="W66" s="25" t="str" cm="1">
        <f t="array" ref="W66">_xlfn.IFNA(
    _xlfn.IFS(
        AND(V66="Transfer",ISNUMBER(SEARCH("RIYAD BANK",L66))),"External FI",
        AND(V66="Transfer",ISNUMBER(SEARCH("Al Ahli",L66))),"External FI",
        AND(V66="Transfer",ISNUMBER(SEARCH("CIB via",L66))),"Local Transfer",
        AND(V66="Transfer",ISNUMBER(SEARCH("CIB)",L66))),"Local Transfer",
        AND(V66="Transfer",ISNUMBER(SEARCH("SMRT",L66))),"Local Transfer",
        AND(V66="Transfer",ISNUMBER(SEARCH("Al Murabba",L66))),"Local Transfer",
        AND(V66="Transfer",ISNUMBER(SEARCH("Internal Transfer",L66))),"Same FI",
        AND(V66="Transfer",ISNUMBER(SEARCH("Rejected",L66))),"Failed",
        V66="SADAD",
            _xlfn.IFS(
                ISNUMBER(SEARCH("Expatriate",L66)),"Expat Fees",
                TRUE,"Online Payment"
            ),
        V66="Payroll","Payroll",
        V66="Cash","Deposit",
        TRUE,"-"
    ),
    "-"
)</f>
        <v>Online Payment</v>
      </c>
      <c r="X66" s="25" t="str" cm="1">
        <f t="array" ref="X66">_xlfn.IFNA(
    _xlfn.IFS(
        V66="-","Low",
        W66="-","Low",
        TRUE,"High"
    ),
    "-"
)</f>
        <v>High</v>
      </c>
      <c r="Y66" s="25" t="str">
        <f t="shared" si="0"/>
        <v>-</v>
      </c>
      <c r="Z66" s="25" t="str" cm="1">
        <f t="array" ref="Z66">_xlfn.IFNA(
    _xlfn.IFS(
        ISNUMBER(SEARCH("Abdul Latif Jameel",M66)),"Lender",
        ISNUMBER(SEARCH("Abdullah Abdulkarim Al Sudais",M66)),"Accounting",
        ISNUMBER(SEARCH("Abdullah Fahad for Accounting",M66)),"Accounting",
        ISNUMBER(SEARCH("Abdullah Rashid Shaikh",M66)),"Shareholder",
        ISNUMBER(SEARCH("Advanced Equipments",M66)),"Equipment Rental",
        ISNUMBER(SEARCH("Al Banuk Sana",M66)),"Telecom Company",
        ISNUMBER(SEARCH("Al Khaleefa Factory",M66)),"Manufacturer",
        ISNUMBER(SEARCH("Al Saadeh Trading",M66)),"Trading Company",
        ISNUMBER(SEARCH("Al Zaehaan",M66)),"Trading Company",
        ISNUMBER(SEARCH("Ali Abdullah K Al Darwish",M66)),"Airlines",
        ISNUMBER(SEARCH("Bupa Arabia",M66)),"Health Insurance",
        ISNUMBER(SEARCH("Dar Fahoosaat",M66)),"Consultant",
        ISNUMBER(SEARCH("General Authority of Zakat",M66)),"Tax Collection",
        ISNUMBER(SEARCH("Gulf Voyager",M66)),"Travel Agency",
        ISNUMBER(SEARCH("Hopeway Trading",M66)),"Trading Company",
        ISNUMBER(SEARCH("Interhealth Medical",M66)),"Medical Services",
        ISNUMBER(SEARCH("Ishaar",M66)),"Online Payment Service",
        ISNUMBER(SEARCH("ISO Arabia",M66)),"Certification",
        ISNUMBER(SEARCH("Khalid Saad Al Otaibi",M66)),"Trading Company",
        ISNUMBER(SEARCH("MERAS for Decoration",M66)),"Decor Company",
        ISNUMBER(SEARCH("Middle East Customs Clearance",M66)),"Customs",
        ISNUMBER(SEARCH("Ministry of Human Resources",M66)),"Government",
        ISNUMBER(SEARCH("My Business Services",M66)),"Service Provider",
        ISNUMBER(SEARCH("National Water Company",M66)),"Water Company",
        ISNUMBER(SEARCH("Rania Contracting",M66)),"Contracting",
        ISNUMBER(SEARCH("Rashid Ali Sheikh",M66)),"Shareholder",
        ISNUMBER(SEARCH("Sahab United Motors",M66)),"Car Show Room",
        ISNUMBER(SEARCH("Saud Mohammed Al Tamimi",M66)),"Shareholder",
        ISNUMBER(SEARCH("Saud Mohammed Tamimi",M66)),"Shareholder",
        ISNUMBER(SEARCH("Saudi Electric Company",M66)),"Electricity Company",
        ISNUMBER(SEARCH("Saudi Vetonit",M66)),"Building Materials",
        ISNUMBER(SEARCH("Shomoul Eng",M66)),"Safety",
        ISNUMBER(SEARCH("STC",M66)),"Telecom Company",
        ISNUMBER(SEARCH("The General Organization for Social Insurance",M66)),"Social Insurance Agency",
        ISNUMBER(SEARCH("TUV Rheinland",M66)),"Certification",
        ISNUMBER(SEARCH("Al Arabia Ceramic",M66)),"Building Materials",
        ISNUMBER(SEARCH("National Company for Building and Marketing",M66)),"Parent Company",
        ISNUMBER(SEARCH("Athraa Holding",M66)),"Holding Company",
        ISNUMBER(SEARCH("Al Rasan",M66)),"Contracting",
        ISNUMBER(SEARCH("Raboua Al Haid",M66)),"Trading Company",
        ISNUMBER(SEARCH("Al Jazeera Paint",M66)),"Manufacturer",
        ISNUMBER(SEARCH("Rania Works Contracting",M66)),"Contracting",
        ISNUMBER(SEARCH("Bandar Jarallah",M66)),"Trading Establishment",
        ISNUMBER(SEARCH("RS Infratec Saudi",M66)),"Same Company",
        ISNUMBER(SEARCH("Payroll",M66)),"Bank",
        ISNUMBER(SEARCH("Expatriate",M66)),"Government",
        ISNUMBER(SEARCH("Unknown Sender",M66)),"Unknown",
        TRUE,"Unknown"
    ),
    "-"
)</f>
        <v>Lender</v>
      </c>
      <c r="AA66" s="25" t="str" cm="1">
        <f t="array" ref="AA66">_xlfn.IFNA(
    _xlfn.IFS(
        Z66="Lender","Financing",
        Z66="Accounting","Accounting",
        Z66="Shareholder","Individual",
        Z66="Equipment Rental","Equipment Rental",
        Z66="Telecom Company","Telecom",
        Z66="Manufacturer","Manufacturer",
        Z66="Trading Company","Trading And Transport",
        Z66="Trading Establishment","Trading",
        Z66="Airlines","Airlines",
        Z66="Health Insurance","Insurance",
        Z66="Consultant","Consultant",
        Z66="Tax Collection","Government",
        Z66="Travel Agency","Travel Agency",
        Z66="Medical Services","Medical Center",
        Z66="Online Payment Service","Payment Facilitator",
        Z66="Certification","Safety",
        Z66="Decor Company","Design",
        Z66="Customs","Customs",
        Z66="Government","Government",
        Z66="Service Provider","Service Provider",
        Z66="Water Company","Water Company",
        Z66="Contracting","Contracting",
        Z66="Car Show Room","Car Trader",
        Z66="Electricity Company","Electricity Company",
        Z66="Building Materials","Building Materials",
        Z66="Safety","Safety",
        Z66="Social Insurance Agency","Government Fund",
        Z66="Parent Company","Holding Company",
        Z66="Holding Company","Holding Company",
        Z66="Same Company","Construction",
        Z66="Bank","Bank",
        Z66="Unknown","Unknown",
        TRUE,"-"
    ),
    "-"
)</f>
        <v>Financing</v>
      </c>
      <c r="AB66" s="25" t="str">
        <f t="shared" si="1"/>
        <v>-</v>
      </c>
      <c r="AC66" s="25" t="str" cm="1">
        <f t="array" ref="AC66">_xlfn.IFNA(
    _xlfn.IFS(
        Z66="Shareholder","Shareholder",
        Z66="Same Company","Same Company",
        Z66="Bank","Bank",
        Z66="Government","Government",
        Z66="Social Insurance Agency","Government",
        Z66="Parent Company","Customer",
        Z66="Lender","Lender",
        Z66="Unknown","Unknown",
        ISNUMBER(SEARCH("Abdullah Abdulkarim",M66)),"Service Provider",
        ISNUMBER(SEARCH("Abdullah Fahad",M66)),"Service Provider",
        ISNUMBER(SEARCH("Advanced Equipments",M66)),"Supplier",
        ISNUMBER(SEARCH("Al Banuk Sana",M66)),"Supplier",
        ISNUMBER(SEARCH("Al Khaleefa Factory",M66)),"Supplier",
        ISNUMBER(SEARCH("Al Saadeh Trading",M66)),"Supplier",
        ISNUMBER(SEARCH("Al Zaehaan",M66)),"Supplier",
        ISNUMBER(SEARCH("Ali Abdullah K Al Darwish",M66)),"Service Provider",
        ISNUMBER(SEARCH("Bupa Arabia",M66)),"Insurance Company",
        ISNUMBER(SEARCH("Dar Fahoosaat",M66)),"Service Provider",
        ISNUMBER(SEARCH("General Authority of Zakat",M66)),"Tax Authority",
        ISNUMBER(SEARCH("Gulf Voyager",M66)),"Service Provider",
        ISNUMBER(SEARCH("Hopeway Trading",M66)),"Supplier",
        ISNUMBER(SEARCH("Interhealth Medical",M66)),"Customer",
        ISNUMBER(SEARCH("Ishaar",M66)),"Service Provider",
        ISNUMBER(SEARCH("ISO Arabia",M66)),"Service Provider",
        ISNUMBER(SEARCH("Khalid Saad Al Otaibi",M66)),"Supplier",
        ISNUMBER(SEARCH("MERAS for Decoration",M66)),"Supplier",
        ISNUMBER(SEARCH("Middle East Customs Clearance",M66)),"Service Provider",
        ISNUMBER(SEARCH("Ministry of Human Resources",M66)),"Regulatory Agency",
        ISNUMBER(SEARCH("My Business Services",M66)),"Service Provider",
        ISNUMBER(SEARCH("National Water Company",M66)),"Utility Provider",
        ISNUMBER(SEARCH("Rania Contracting",M66)),"Supplier",
        ISNUMBER(SEARCH("Sahab United Motors",M66)),"Supplier",
        ISNUMBER(SEARCH("Saudi Electric Company",M66)),"Utility Provider",
        ISNUMBER(SEARCH("Saudi Vetonit",M66)),"Supplier",
        ISNUMBER(SEARCH("Shomoul Eng",M66)),"Service Provider",
        ISNUMBER(SEARCH("STC",M66)),"Utility Provider",
        ISNUMBER(SEARCH("The General Organization for Social Insurance",M66)),"Social Insurance Agency",
        ISNUMBER(SEARCH("TUV Rheinland",M66)),"Service Provider",
        ISNUMBER(SEARCH("Al Arabia Ceramic",M66)),"Supplier",
        ISNUMBER(SEARCH("National Company for Building",M66)),"Customer",
        ISNUMBER(SEARCH("Athraa Holding",M66)),"Customer",
        ISNUMBER(SEARCH("Al Rasan",M66)),"Supplier",
        ISNUMBER(SEARCH("Raboua Al Haid",M66)),"Customer",
        ISNUMBER(SEARCH("Al Jazeera Paint",M66)),"Supplier",
        ISNUMBER(SEARCH("Rania Works Contracting",M66)),"Supplier",
        ISNUMBER(SEARCH("Bandar Jarallah",M66)),"Supplier",
        TRUE,"Supplier"
    ),
    "-"
)</f>
        <v>Lender</v>
      </c>
      <c r="AD66" s="25" t="str" cm="1">
        <f t="array" ref="AD66">_xlfn.IFNA(
    _xlfn.IFS(
        AC66="Same Company","High",
        AC66="Shareholder","High",
        AC66="Government","High",
        AC66="Bank","High",
        AC66="Lender","High",
        AC66="Unknown","Low",
        AC66="-","Low",
        TRUE,"Medium"
    ),
    "-"
)</f>
        <v>High</v>
      </c>
      <c r="AE66" s="25" t="str">
        <f t="shared" si="2"/>
        <v>-</v>
      </c>
      <c r="AF66" s="25" t="str" cm="1">
        <f t="array" ref="AF66">_xlfn.IFNA(
    _xlfn.IFS(
        K66="Credit",
            _xlfn.IFS(
                OR(ISNUMBER(SEARCH("Rejected",L66)),ISNUMBER(SEARCH("Returned",L66))),"Other Income",
                TRUE,"Revenue"
            ),
        K66="Debit",
            _xlfn.IFS(
                ISNUMBER(SEARCH("Payroll",L66)),"OPEX",
                ISNUMBER(SEARCH("Expatriate",L66)),"OPEX",
                ISNUMBER(SEARCH("Zakat",M66)),"ZATCA",
                ISNUMBER(SEARCH("General Organization for Social Insurance",M66)),"OPEX",
                ISNUMBER(SEARCH("Saudi Electric",M66)),"OPEX",
                ISNUMBER(SEARCH("STC",M66)),"OPEX",
                ISNUMBER(SEARCH("National Water",M66)),"OPEX",
                ISNUMBER(SEARCH("Bupa",M66)),"OPEX",
                ISNUMBER(SEARCH("Abdullah Abdulkarim",M66)),"OPEX",
                ISNUMBER(SEARCH("Abdullah Fahad",M66)),"OPEX",
                ISNUMBER(SEARCH("ISO Arabia",M66)),"OPEX",
                ISNUMBER(SEARCH("Gulf Voyager",M66)),"OPEX",
                ISNUMBER(SEARCH("Ministry",M66)),"OPEX",
                ISNUMBER(SEARCH("General Authority of Zakat",M66)),"ZATCA",
                ISNUMBER(SEARCH("Rejected",L66)),"Other Income",
                TRUE,"COGS"
            ),
        TRUE,"-"
    ),
    "-"
)</f>
        <v>COGS</v>
      </c>
      <c r="AG66" s="25" t="str" cm="1">
        <f t="array" ref="AG66">_xlfn.IFNA(
    _xlfn.IFS(
        ISNUMBER(SEARCH("Payroll",L66)),"Payroll",
        ISNUMBER(SEARCH("Expatriate",L66)),"Government Fees",
        ISNUMBER(SEARCH("Zakat",M66)),"Zakat",
        ISNUMBER(SEARCH("Social Insurance",M66)),"Social Insurance",
        ISNUMBER(SEARCH("Saudi Electric",M66)),"Electricity",
        ISNUMBER(SEARCH("STC",M66)),"Telecom",
        ISNUMBER(SEARCH("National Water",M66)),"Water",
        ISNUMBER(SEARCH("Bupa",M66)),"Insurance",
        ISNUMBER(SEARCH("Gulf Voyager",M66)),"Travel",
        ISNUMBER(SEARCH("Ministry",M66)),"Government Fees",
        ISNUMBER(SEARCH("Abdullah Abdulkarim",M66)),"Consulting",
        ISNUMBER(SEARCH("Abdullah Fahad",M66)),"Accounting",
        ISNUMBER(SEARCH("ISO Arabia",M66)),"Consulting",
        ISNUMBER(SEARCH("Rejected",L66)),"Refund",
        AF66="COGS","Inventory Purchase",
        AF66="Revenue","Revenue",
        AF66="OPEX","Other",
        AF66="ZATCA","Zakat",
        TRUE,"-"
    ),
    "-"
)</f>
        <v>Inventory Purchase</v>
      </c>
      <c r="AH66" s="25" t="str" cm="1">
        <f t="array" ref="AH66">_xlfn.IFNA(
    _xlfn.IFS(
        AF66="-","Low",
        AF66="Other","Low",
        TRUE,"Medium"
    ),
    "-"
)</f>
        <v>Medium</v>
      </c>
      <c r="AI66" s="25" t="str">
        <f t="shared" si="3"/>
        <v>-</v>
      </c>
    </row>
    <row r="67" spans="1:35" x14ac:dyDescent="0.25">
      <c r="A67" s="10">
        <v>4</v>
      </c>
      <c r="B67" s="10" t="s">
        <v>35</v>
      </c>
      <c r="C67" s="10" t="s">
        <v>36</v>
      </c>
      <c r="D67" s="10" t="s">
        <v>37</v>
      </c>
      <c r="E67" s="10" t="s">
        <v>38</v>
      </c>
      <c r="F67" s="11" t="s">
        <v>39</v>
      </c>
      <c r="G67" s="11" t="s">
        <v>40</v>
      </c>
      <c r="H67" s="12">
        <v>45017</v>
      </c>
      <c r="I67" s="20">
        <v>34540.370000000003</v>
      </c>
      <c r="J67" s="20">
        <v>3605.9</v>
      </c>
      <c r="K67" s="10" t="s">
        <v>41</v>
      </c>
      <c r="L67" s="9" t="s">
        <v>42</v>
      </c>
      <c r="M67" s="9" t="s">
        <v>43</v>
      </c>
      <c r="N67" s="9">
        <v>723967007577003</v>
      </c>
      <c r="O67" s="9" t="s">
        <v>44</v>
      </c>
      <c r="P67" s="15">
        <v>45017</v>
      </c>
      <c r="Q67" s="9" t="s">
        <v>48</v>
      </c>
      <c r="R67" s="16">
        <v>3605.9</v>
      </c>
      <c r="U67" s="9" t="s">
        <v>46</v>
      </c>
      <c r="V67" s="24" t="str" cm="1">
        <f t="array" ref="V67">_xlfn.IFNA(
    _xlfn.IFS(
        ISNUMBER(SEARCH("Fast Outgoing Transfer",L67)),"Transfer",
        ISNUMBER(SEARCH("Incoming Fast Transfer",L67)),"Transfer",
        ISNUMBER(SEARCH("Outgoing International Transfer",L67)),"Transfer",
        ISNUMBER(SEARCH("Bill Payment",L67)),"SADAD",
        ISNUMBER(SEARCH("Payroll",L67)),"Payroll",
        ISNUMBER(SEARCH("Cash Deposit",L67)),"Cash",
        ISNUMBER(SEARCH("Internal Transfer",L67)),"Transfer",
        ISNUMBER(SEARCH("Expatriate Services Payment",L67)),"SADAD",
        ISNUMBER(SEARCH("Rejected",L67)),"Transfer"
    ),
    "-"
)</f>
        <v>SADAD</v>
      </c>
      <c r="W67" s="25" t="str" cm="1">
        <f t="array" ref="W67">_xlfn.IFNA(
    _xlfn.IFS(
        AND(V67="Transfer",ISNUMBER(SEARCH("RIYAD BANK",L67))),"External FI",
        AND(V67="Transfer",ISNUMBER(SEARCH("Al Ahli",L67))),"External FI",
        AND(V67="Transfer",ISNUMBER(SEARCH("CIB via",L67))),"Local Transfer",
        AND(V67="Transfer",ISNUMBER(SEARCH("CIB)",L67))),"Local Transfer",
        AND(V67="Transfer",ISNUMBER(SEARCH("SMRT",L67))),"Local Transfer",
        AND(V67="Transfer",ISNUMBER(SEARCH("Al Murabba",L67))),"Local Transfer",
        AND(V67="Transfer",ISNUMBER(SEARCH("Internal Transfer",L67))),"Same FI",
        AND(V67="Transfer",ISNUMBER(SEARCH("Rejected",L67))),"Failed",
        V67="SADAD",
            _xlfn.IFS(
                ISNUMBER(SEARCH("Expatriate",L67)),"Expat Fees",
                TRUE,"Online Payment"
            ),
        V67="Payroll","Payroll",
        V67="Cash","Deposit",
        TRUE,"-"
    ),
    "-"
)</f>
        <v>Online Payment</v>
      </c>
      <c r="X67" s="25" t="str" cm="1">
        <f t="array" ref="X67">_xlfn.IFNA(
    _xlfn.IFS(
        V67="-","Low",
        W67="-","Low",
        TRUE,"High"
    ),
    "-"
)</f>
        <v>High</v>
      </c>
      <c r="Y67" s="25" t="str">
        <f t="shared" ref="Y67:Y130" si="4">"-"</f>
        <v>-</v>
      </c>
      <c r="Z67" s="25" t="str" cm="1">
        <f t="array" ref="Z67">_xlfn.IFNA(
    _xlfn.IFS(
        ISNUMBER(SEARCH("Abdul Latif Jameel",M67)),"Lender",
        ISNUMBER(SEARCH("Abdullah Abdulkarim Al Sudais",M67)),"Accounting",
        ISNUMBER(SEARCH("Abdullah Fahad for Accounting",M67)),"Accounting",
        ISNUMBER(SEARCH("Abdullah Rashid Shaikh",M67)),"Shareholder",
        ISNUMBER(SEARCH("Advanced Equipments",M67)),"Equipment Rental",
        ISNUMBER(SEARCH("Al Banuk Sana",M67)),"Telecom Company",
        ISNUMBER(SEARCH("Al Khaleefa Factory",M67)),"Manufacturer",
        ISNUMBER(SEARCH("Al Saadeh Trading",M67)),"Trading Company",
        ISNUMBER(SEARCH("Al Zaehaan",M67)),"Trading Company",
        ISNUMBER(SEARCH("Ali Abdullah K Al Darwish",M67)),"Airlines",
        ISNUMBER(SEARCH("Bupa Arabia",M67)),"Health Insurance",
        ISNUMBER(SEARCH("Dar Fahoosaat",M67)),"Consultant",
        ISNUMBER(SEARCH("General Authority of Zakat",M67)),"Tax Collection",
        ISNUMBER(SEARCH("Gulf Voyager",M67)),"Travel Agency",
        ISNUMBER(SEARCH("Hopeway Trading",M67)),"Trading Company",
        ISNUMBER(SEARCH("Interhealth Medical",M67)),"Medical Services",
        ISNUMBER(SEARCH("Ishaar",M67)),"Online Payment Service",
        ISNUMBER(SEARCH("ISO Arabia",M67)),"Certification",
        ISNUMBER(SEARCH("Khalid Saad Al Otaibi",M67)),"Trading Company",
        ISNUMBER(SEARCH("MERAS for Decoration",M67)),"Decor Company",
        ISNUMBER(SEARCH("Middle East Customs Clearance",M67)),"Customs",
        ISNUMBER(SEARCH("Ministry of Human Resources",M67)),"Government",
        ISNUMBER(SEARCH("My Business Services",M67)),"Service Provider",
        ISNUMBER(SEARCH("National Water Company",M67)),"Water Company",
        ISNUMBER(SEARCH("Rania Contracting",M67)),"Contracting",
        ISNUMBER(SEARCH("Rashid Ali Sheikh",M67)),"Shareholder",
        ISNUMBER(SEARCH("Sahab United Motors",M67)),"Car Show Room",
        ISNUMBER(SEARCH("Saud Mohammed Al Tamimi",M67)),"Shareholder",
        ISNUMBER(SEARCH("Saud Mohammed Tamimi",M67)),"Shareholder",
        ISNUMBER(SEARCH("Saudi Electric Company",M67)),"Electricity Company",
        ISNUMBER(SEARCH("Saudi Vetonit",M67)),"Building Materials",
        ISNUMBER(SEARCH("Shomoul Eng",M67)),"Safety",
        ISNUMBER(SEARCH("STC",M67)),"Telecom Company",
        ISNUMBER(SEARCH("The General Organization for Social Insurance",M67)),"Social Insurance Agency",
        ISNUMBER(SEARCH("TUV Rheinland",M67)),"Certification",
        ISNUMBER(SEARCH("Al Arabia Ceramic",M67)),"Building Materials",
        ISNUMBER(SEARCH("National Company for Building and Marketing",M67)),"Parent Company",
        ISNUMBER(SEARCH("Athraa Holding",M67)),"Holding Company",
        ISNUMBER(SEARCH("Al Rasan",M67)),"Contracting",
        ISNUMBER(SEARCH("Raboua Al Haid",M67)),"Trading Company",
        ISNUMBER(SEARCH("Al Jazeera Paint",M67)),"Manufacturer",
        ISNUMBER(SEARCH("Rania Works Contracting",M67)),"Contracting",
        ISNUMBER(SEARCH("Bandar Jarallah",M67)),"Trading Establishment",
        ISNUMBER(SEARCH("RS Infratec Saudi",M67)),"Same Company",
        ISNUMBER(SEARCH("Payroll",M67)),"Bank",
        ISNUMBER(SEARCH("Expatriate",M67)),"Government",
        ISNUMBER(SEARCH("Unknown Sender",M67)),"Unknown",
        TRUE,"Unknown"
    ),
    "-"
)</f>
        <v>Lender</v>
      </c>
      <c r="AA67" s="25" t="str" cm="1">
        <f t="array" ref="AA67">_xlfn.IFNA(
    _xlfn.IFS(
        Z67="Lender","Financing",
        Z67="Accounting","Accounting",
        Z67="Shareholder","Individual",
        Z67="Equipment Rental","Equipment Rental",
        Z67="Telecom Company","Telecom",
        Z67="Manufacturer","Manufacturer",
        Z67="Trading Company","Trading And Transport",
        Z67="Trading Establishment","Trading",
        Z67="Airlines","Airlines",
        Z67="Health Insurance","Insurance",
        Z67="Consultant","Consultant",
        Z67="Tax Collection","Government",
        Z67="Travel Agency","Travel Agency",
        Z67="Medical Services","Medical Center",
        Z67="Online Payment Service","Payment Facilitator",
        Z67="Certification","Safety",
        Z67="Decor Company","Design",
        Z67="Customs","Customs",
        Z67="Government","Government",
        Z67="Service Provider","Service Provider",
        Z67="Water Company","Water Company",
        Z67="Contracting","Contracting",
        Z67="Car Show Room","Car Trader",
        Z67="Electricity Company","Electricity Company",
        Z67="Building Materials","Building Materials",
        Z67="Safety","Safety",
        Z67="Social Insurance Agency","Government Fund",
        Z67="Parent Company","Holding Company",
        Z67="Holding Company","Holding Company",
        Z67="Same Company","Construction",
        Z67="Bank","Bank",
        Z67="Unknown","Unknown",
        TRUE,"-"
    ),
    "-"
)</f>
        <v>Financing</v>
      </c>
      <c r="AB67" s="25" t="str">
        <f t="shared" ref="AB67:AB130" si="5">"-"</f>
        <v>-</v>
      </c>
      <c r="AC67" s="25" t="str" cm="1">
        <f t="array" ref="AC67">_xlfn.IFNA(
    _xlfn.IFS(
        Z67="Shareholder","Shareholder",
        Z67="Same Company","Same Company",
        Z67="Bank","Bank",
        Z67="Government","Government",
        Z67="Social Insurance Agency","Government",
        Z67="Parent Company","Customer",
        Z67="Lender","Lender",
        Z67="Unknown","Unknown",
        ISNUMBER(SEARCH("Abdullah Abdulkarim",M67)),"Service Provider",
        ISNUMBER(SEARCH("Abdullah Fahad",M67)),"Service Provider",
        ISNUMBER(SEARCH("Advanced Equipments",M67)),"Supplier",
        ISNUMBER(SEARCH("Al Banuk Sana",M67)),"Supplier",
        ISNUMBER(SEARCH("Al Khaleefa Factory",M67)),"Supplier",
        ISNUMBER(SEARCH("Al Saadeh Trading",M67)),"Supplier",
        ISNUMBER(SEARCH("Al Zaehaan",M67)),"Supplier",
        ISNUMBER(SEARCH("Ali Abdullah K Al Darwish",M67)),"Service Provider",
        ISNUMBER(SEARCH("Bupa Arabia",M67)),"Insurance Company",
        ISNUMBER(SEARCH("Dar Fahoosaat",M67)),"Service Provider",
        ISNUMBER(SEARCH("General Authority of Zakat",M67)),"Tax Authority",
        ISNUMBER(SEARCH("Gulf Voyager",M67)),"Service Provider",
        ISNUMBER(SEARCH("Hopeway Trading",M67)),"Supplier",
        ISNUMBER(SEARCH("Interhealth Medical",M67)),"Customer",
        ISNUMBER(SEARCH("Ishaar",M67)),"Service Provider",
        ISNUMBER(SEARCH("ISO Arabia",M67)),"Service Provider",
        ISNUMBER(SEARCH("Khalid Saad Al Otaibi",M67)),"Supplier",
        ISNUMBER(SEARCH("MERAS for Decoration",M67)),"Supplier",
        ISNUMBER(SEARCH("Middle East Customs Clearance",M67)),"Service Provider",
        ISNUMBER(SEARCH("Ministry of Human Resources",M67)),"Regulatory Agency",
        ISNUMBER(SEARCH("My Business Services",M67)),"Service Provider",
        ISNUMBER(SEARCH("National Water Company",M67)),"Utility Provider",
        ISNUMBER(SEARCH("Rania Contracting",M67)),"Supplier",
        ISNUMBER(SEARCH("Sahab United Motors",M67)),"Supplier",
        ISNUMBER(SEARCH("Saudi Electric Company",M67)),"Utility Provider",
        ISNUMBER(SEARCH("Saudi Vetonit",M67)),"Supplier",
        ISNUMBER(SEARCH("Shomoul Eng",M67)),"Service Provider",
        ISNUMBER(SEARCH("STC",M67)),"Utility Provider",
        ISNUMBER(SEARCH("The General Organization for Social Insurance",M67)),"Social Insurance Agency",
        ISNUMBER(SEARCH("TUV Rheinland",M67)),"Service Provider",
        ISNUMBER(SEARCH("Al Arabia Ceramic",M67)),"Supplier",
        ISNUMBER(SEARCH("National Company for Building",M67)),"Customer",
        ISNUMBER(SEARCH("Athraa Holding",M67)),"Customer",
        ISNUMBER(SEARCH("Al Rasan",M67)),"Supplier",
        ISNUMBER(SEARCH("Raboua Al Haid",M67)),"Customer",
        ISNUMBER(SEARCH("Al Jazeera Paint",M67)),"Supplier",
        ISNUMBER(SEARCH("Rania Works Contracting",M67)),"Supplier",
        ISNUMBER(SEARCH("Bandar Jarallah",M67)),"Supplier",
        TRUE,"Supplier"
    ),
    "-"
)</f>
        <v>Lender</v>
      </c>
      <c r="AD67" s="25" t="str" cm="1">
        <f t="array" ref="AD67">_xlfn.IFNA(
    _xlfn.IFS(
        AC67="Same Company","High",
        AC67="Shareholder","High",
        AC67="Government","High",
        AC67="Bank","High",
        AC67="Lender","High",
        AC67="Unknown","Low",
        AC67="-","Low",
        TRUE,"Medium"
    ),
    "-"
)</f>
        <v>High</v>
      </c>
      <c r="AE67" s="25" t="str">
        <f t="shared" ref="AE67:AE130" si="6">"-"</f>
        <v>-</v>
      </c>
      <c r="AF67" s="25" t="str" cm="1">
        <f t="array" ref="AF67">_xlfn.IFNA(
    _xlfn.IFS(
        K67="Credit",
            _xlfn.IFS(
                OR(ISNUMBER(SEARCH("Rejected",L67)),ISNUMBER(SEARCH("Returned",L67))),"Other Income",
                TRUE,"Revenue"
            ),
        K67="Debit",
            _xlfn.IFS(
                ISNUMBER(SEARCH("Payroll",L67)),"OPEX",
                ISNUMBER(SEARCH("Expatriate",L67)),"OPEX",
                ISNUMBER(SEARCH("Zakat",M67)),"ZATCA",
                ISNUMBER(SEARCH("General Organization for Social Insurance",M67)),"OPEX",
                ISNUMBER(SEARCH("Saudi Electric",M67)),"OPEX",
                ISNUMBER(SEARCH("STC",M67)),"OPEX",
                ISNUMBER(SEARCH("National Water",M67)),"OPEX",
                ISNUMBER(SEARCH("Bupa",M67)),"OPEX",
                ISNUMBER(SEARCH("Abdullah Abdulkarim",M67)),"OPEX",
                ISNUMBER(SEARCH("Abdullah Fahad",M67)),"OPEX",
                ISNUMBER(SEARCH("ISO Arabia",M67)),"OPEX",
                ISNUMBER(SEARCH("Gulf Voyager",M67)),"OPEX",
                ISNUMBER(SEARCH("Ministry",M67)),"OPEX",
                ISNUMBER(SEARCH("General Authority of Zakat",M67)),"ZATCA",
                ISNUMBER(SEARCH("Rejected",L67)),"Other Income",
                TRUE,"COGS"
            ),
        TRUE,"-"
    ),
    "-"
)</f>
        <v>COGS</v>
      </c>
      <c r="AG67" s="25" t="str" cm="1">
        <f t="array" ref="AG67">_xlfn.IFNA(
    _xlfn.IFS(
        ISNUMBER(SEARCH("Payroll",L67)),"Payroll",
        ISNUMBER(SEARCH("Expatriate",L67)),"Government Fees",
        ISNUMBER(SEARCH("Zakat",M67)),"Zakat",
        ISNUMBER(SEARCH("Social Insurance",M67)),"Social Insurance",
        ISNUMBER(SEARCH("Saudi Electric",M67)),"Electricity",
        ISNUMBER(SEARCH("STC",M67)),"Telecom",
        ISNUMBER(SEARCH("National Water",M67)),"Water",
        ISNUMBER(SEARCH("Bupa",M67)),"Insurance",
        ISNUMBER(SEARCH("Gulf Voyager",M67)),"Travel",
        ISNUMBER(SEARCH("Ministry",M67)),"Government Fees",
        ISNUMBER(SEARCH("Abdullah Abdulkarim",M67)),"Consulting",
        ISNUMBER(SEARCH("Abdullah Fahad",M67)),"Accounting",
        ISNUMBER(SEARCH("ISO Arabia",M67)),"Consulting",
        ISNUMBER(SEARCH("Rejected",L67)),"Refund",
        AF67="COGS","Inventory Purchase",
        AF67="Revenue","Revenue",
        AF67="OPEX","Other",
        AF67="ZATCA","Zakat",
        TRUE,"-"
    ),
    "-"
)</f>
        <v>Inventory Purchase</v>
      </c>
      <c r="AH67" s="25" t="str" cm="1">
        <f t="array" ref="AH67">_xlfn.IFNA(
    _xlfn.IFS(
        AF67="-","Low",
        AF67="Other","Low",
        TRUE,"Medium"
    ),
    "-"
)</f>
        <v>Medium</v>
      </c>
      <c r="AI67" s="25" t="str">
        <f t="shared" ref="AI67:AI130" si="7">"-"</f>
        <v>-</v>
      </c>
    </row>
    <row r="68" spans="1:35" x14ac:dyDescent="0.25">
      <c r="A68" s="10">
        <v>4</v>
      </c>
      <c r="B68" s="10" t="s">
        <v>35</v>
      </c>
      <c r="C68" s="10" t="s">
        <v>36</v>
      </c>
      <c r="D68" s="10" t="s">
        <v>37</v>
      </c>
      <c r="E68" s="10" t="s">
        <v>38</v>
      </c>
      <c r="F68" s="11" t="s">
        <v>39</v>
      </c>
      <c r="G68" s="10" t="s">
        <v>40</v>
      </c>
      <c r="H68" s="12">
        <v>45053</v>
      </c>
      <c r="I68" s="20">
        <v>32007.47</v>
      </c>
      <c r="J68" s="20">
        <v>7203.67</v>
      </c>
      <c r="K68" s="10" t="s">
        <v>41</v>
      </c>
      <c r="L68" s="9" t="s">
        <v>42</v>
      </c>
      <c r="M68" s="9" t="s">
        <v>43</v>
      </c>
      <c r="N68" s="9">
        <v>723967007577001</v>
      </c>
      <c r="O68" s="9" t="s">
        <v>44</v>
      </c>
      <c r="P68" s="15">
        <v>45053</v>
      </c>
      <c r="Q68" s="9" t="s">
        <v>49</v>
      </c>
      <c r="R68" s="16">
        <v>7203.67</v>
      </c>
      <c r="U68" s="9" t="s">
        <v>46</v>
      </c>
      <c r="V68" s="24" t="str" cm="1">
        <f t="array" ref="V68">_xlfn.IFNA(
    _xlfn.IFS(
        ISNUMBER(SEARCH("Fast Outgoing Transfer",L68)),"Transfer",
        ISNUMBER(SEARCH("Incoming Fast Transfer",L68)),"Transfer",
        ISNUMBER(SEARCH("Outgoing International Transfer",L68)),"Transfer",
        ISNUMBER(SEARCH("Bill Payment",L68)),"SADAD",
        ISNUMBER(SEARCH("Payroll",L68)),"Payroll",
        ISNUMBER(SEARCH("Cash Deposit",L68)),"Cash",
        ISNUMBER(SEARCH("Internal Transfer",L68)),"Transfer",
        ISNUMBER(SEARCH("Expatriate Services Payment",L68)),"SADAD",
        ISNUMBER(SEARCH("Rejected",L68)),"Transfer"
    ),
    "-"
)</f>
        <v>SADAD</v>
      </c>
      <c r="W68" s="25" t="str" cm="1">
        <f t="array" ref="W68">_xlfn.IFNA(
    _xlfn.IFS(
        AND(V68="Transfer",ISNUMBER(SEARCH("RIYAD BANK",L68))),"External FI",
        AND(V68="Transfer",ISNUMBER(SEARCH("Al Ahli",L68))),"External FI",
        AND(V68="Transfer",ISNUMBER(SEARCH("CIB via",L68))),"Local Transfer",
        AND(V68="Transfer",ISNUMBER(SEARCH("CIB)",L68))),"Local Transfer",
        AND(V68="Transfer",ISNUMBER(SEARCH("SMRT",L68))),"Local Transfer",
        AND(V68="Transfer",ISNUMBER(SEARCH("Al Murabba",L68))),"Local Transfer",
        AND(V68="Transfer",ISNUMBER(SEARCH("Internal Transfer",L68))),"Same FI",
        AND(V68="Transfer",ISNUMBER(SEARCH("Rejected",L68))),"Failed",
        V68="SADAD",
            _xlfn.IFS(
                ISNUMBER(SEARCH("Expatriate",L68)),"Expat Fees",
                TRUE,"Online Payment"
            ),
        V68="Payroll","Payroll",
        V68="Cash","Deposit",
        TRUE,"-"
    ),
    "-"
)</f>
        <v>Online Payment</v>
      </c>
      <c r="X68" s="25" t="str" cm="1">
        <f t="array" ref="X68">_xlfn.IFNA(
    _xlfn.IFS(
        V68="-","Low",
        W68="-","Low",
        TRUE,"High"
    ),
    "-"
)</f>
        <v>High</v>
      </c>
      <c r="Y68" s="25" t="str">
        <f t="shared" si="4"/>
        <v>-</v>
      </c>
      <c r="Z68" s="25" t="str" cm="1">
        <f t="array" ref="Z68">_xlfn.IFNA(
    _xlfn.IFS(
        ISNUMBER(SEARCH("Abdul Latif Jameel",M68)),"Lender",
        ISNUMBER(SEARCH("Abdullah Abdulkarim Al Sudais",M68)),"Accounting",
        ISNUMBER(SEARCH("Abdullah Fahad for Accounting",M68)),"Accounting",
        ISNUMBER(SEARCH("Abdullah Rashid Shaikh",M68)),"Shareholder",
        ISNUMBER(SEARCH("Advanced Equipments",M68)),"Equipment Rental",
        ISNUMBER(SEARCH("Al Banuk Sana",M68)),"Telecom Company",
        ISNUMBER(SEARCH("Al Khaleefa Factory",M68)),"Manufacturer",
        ISNUMBER(SEARCH("Al Saadeh Trading",M68)),"Trading Company",
        ISNUMBER(SEARCH("Al Zaehaan",M68)),"Trading Company",
        ISNUMBER(SEARCH("Ali Abdullah K Al Darwish",M68)),"Airlines",
        ISNUMBER(SEARCH("Bupa Arabia",M68)),"Health Insurance",
        ISNUMBER(SEARCH("Dar Fahoosaat",M68)),"Consultant",
        ISNUMBER(SEARCH("General Authority of Zakat",M68)),"Tax Collection",
        ISNUMBER(SEARCH("Gulf Voyager",M68)),"Travel Agency",
        ISNUMBER(SEARCH("Hopeway Trading",M68)),"Trading Company",
        ISNUMBER(SEARCH("Interhealth Medical",M68)),"Medical Services",
        ISNUMBER(SEARCH("Ishaar",M68)),"Online Payment Service",
        ISNUMBER(SEARCH("ISO Arabia",M68)),"Certification",
        ISNUMBER(SEARCH("Khalid Saad Al Otaibi",M68)),"Trading Company",
        ISNUMBER(SEARCH("MERAS for Decoration",M68)),"Decor Company",
        ISNUMBER(SEARCH("Middle East Customs Clearance",M68)),"Customs",
        ISNUMBER(SEARCH("Ministry of Human Resources",M68)),"Government",
        ISNUMBER(SEARCH("My Business Services",M68)),"Service Provider",
        ISNUMBER(SEARCH("National Water Company",M68)),"Water Company",
        ISNUMBER(SEARCH("Rania Contracting",M68)),"Contracting",
        ISNUMBER(SEARCH("Rashid Ali Sheikh",M68)),"Shareholder",
        ISNUMBER(SEARCH("Sahab United Motors",M68)),"Car Show Room",
        ISNUMBER(SEARCH("Saud Mohammed Al Tamimi",M68)),"Shareholder",
        ISNUMBER(SEARCH("Saud Mohammed Tamimi",M68)),"Shareholder",
        ISNUMBER(SEARCH("Saudi Electric Company",M68)),"Electricity Company",
        ISNUMBER(SEARCH("Saudi Vetonit",M68)),"Building Materials",
        ISNUMBER(SEARCH("Shomoul Eng",M68)),"Safety",
        ISNUMBER(SEARCH("STC",M68)),"Telecom Company",
        ISNUMBER(SEARCH("The General Organization for Social Insurance",M68)),"Social Insurance Agency",
        ISNUMBER(SEARCH("TUV Rheinland",M68)),"Certification",
        ISNUMBER(SEARCH("Al Arabia Ceramic",M68)),"Building Materials",
        ISNUMBER(SEARCH("National Company for Building and Marketing",M68)),"Parent Company",
        ISNUMBER(SEARCH("Athraa Holding",M68)),"Holding Company",
        ISNUMBER(SEARCH("Al Rasan",M68)),"Contracting",
        ISNUMBER(SEARCH("Raboua Al Haid",M68)),"Trading Company",
        ISNUMBER(SEARCH("Al Jazeera Paint",M68)),"Manufacturer",
        ISNUMBER(SEARCH("Rania Works Contracting",M68)),"Contracting",
        ISNUMBER(SEARCH("Bandar Jarallah",M68)),"Trading Establishment",
        ISNUMBER(SEARCH("RS Infratec Saudi",M68)),"Same Company",
        ISNUMBER(SEARCH("Payroll",M68)),"Bank",
        ISNUMBER(SEARCH("Expatriate",M68)),"Government",
        ISNUMBER(SEARCH("Unknown Sender",M68)),"Unknown",
        TRUE,"Unknown"
    ),
    "-"
)</f>
        <v>Lender</v>
      </c>
      <c r="AA68" s="25" t="str" cm="1">
        <f t="array" ref="AA68">_xlfn.IFNA(
    _xlfn.IFS(
        Z68="Lender","Financing",
        Z68="Accounting","Accounting",
        Z68="Shareholder","Individual",
        Z68="Equipment Rental","Equipment Rental",
        Z68="Telecom Company","Telecom",
        Z68="Manufacturer","Manufacturer",
        Z68="Trading Company","Trading And Transport",
        Z68="Trading Establishment","Trading",
        Z68="Airlines","Airlines",
        Z68="Health Insurance","Insurance",
        Z68="Consultant","Consultant",
        Z68="Tax Collection","Government",
        Z68="Travel Agency","Travel Agency",
        Z68="Medical Services","Medical Center",
        Z68="Online Payment Service","Payment Facilitator",
        Z68="Certification","Safety",
        Z68="Decor Company","Design",
        Z68="Customs","Customs",
        Z68="Government","Government",
        Z68="Service Provider","Service Provider",
        Z68="Water Company","Water Company",
        Z68="Contracting","Contracting",
        Z68="Car Show Room","Car Trader",
        Z68="Electricity Company","Electricity Company",
        Z68="Building Materials","Building Materials",
        Z68="Safety","Safety",
        Z68="Social Insurance Agency","Government Fund",
        Z68="Parent Company","Holding Company",
        Z68="Holding Company","Holding Company",
        Z68="Same Company","Construction",
        Z68="Bank","Bank",
        Z68="Unknown","Unknown",
        TRUE,"-"
    ),
    "-"
)</f>
        <v>Financing</v>
      </c>
      <c r="AB68" s="25" t="str">
        <f t="shared" si="5"/>
        <v>-</v>
      </c>
      <c r="AC68" s="25" t="str" cm="1">
        <f t="array" ref="AC68">_xlfn.IFNA(
    _xlfn.IFS(
        Z68="Shareholder","Shareholder",
        Z68="Same Company","Same Company",
        Z68="Bank","Bank",
        Z68="Government","Government",
        Z68="Social Insurance Agency","Government",
        Z68="Parent Company","Customer",
        Z68="Lender","Lender",
        Z68="Unknown","Unknown",
        ISNUMBER(SEARCH("Abdullah Abdulkarim",M68)),"Service Provider",
        ISNUMBER(SEARCH("Abdullah Fahad",M68)),"Service Provider",
        ISNUMBER(SEARCH("Advanced Equipments",M68)),"Supplier",
        ISNUMBER(SEARCH("Al Banuk Sana",M68)),"Supplier",
        ISNUMBER(SEARCH("Al Khaleefa Factory",M68)),"Supplier",
        ISNUMBER(SEARCH("Al Saadeh Trading",M68)),"Supplier",
        ISNUMBER(SEARCH("Al Zaehaan",M68)),"Supplier",
        ISNUMBER(SEARCH("Ali Abdullah K Al Darwish",M68)),"Service Provider",
        ISNUMBER(SEARCH("Bupa Arabia",M68)),"Insurance Company",
        ISNUMBER(SEARCH("Dar Fahoosaat",M68)),"Service Provider",
        ISNUMBER(SEARCH("General Authority of Zakat",M68)),"Tax Authority",
        ISNUMBER(SEARCH("Gulf Voyager",M68)),"Service Provider",
        ISNUMBER(SEARCH("Hopeway Trading",M68)),"Supplier",
        ISNUMBER(SEARCH("Interhealth Medical",M68)),"Customer",
        ISNUMBER(SEARCH("Ishaar",M68)),"Service Provider",
        ISNUMBER(SEARCH("ISO Arabia",M68)),"Service Provider",
        ISNUMBER(SEARCH("Khalid Saad Al Otaibi",M68)),"Supplier",
        ISNUMBER(SEARCH("MERAS for Decoration",M68)),"Supplier",
        ISNUMBER(SEARCH("Middle East Customs Clearance",M68)),"Service Provider",
        ISNUMBER(SEARCH("Ministry of Human Resources",M68)),"Regulatory Agency",
        ISNUMBER(SEARCH("My Business Services",M68)),"Service Provider",
        ISNUMBER(SEARCH("National Water Company",M68)),"Utility Provider",
        ISNUMBER(SEARCH("Rania Contracting",M68)),"Supplier",
        ISNUMBER(SEARCH("Sahab United Motors",M68)),"Supplier",
        ISNUMBER(SEARCH("Saudi Electric Company",M68)),"Utility Provider",
        ISNUMBER(SEARCH("Saudi Vetonit",M68)),"Supplier",
        ISNUMBER(SEARCH("Shomoul Eng",M68)),"Service Provider",
        ISNUMBER(SEARCH("STC",M68)),"Utility Provider",
        ISNUMBER(SEARCH("The General Organization for Social Insurance",M68)),"Social Insurance Agency",
        ISNUMBER(SEARCH("TUV Rheinland",M68)),"Service Provider",
        ISNUMBER(SEARCH("Al Arabia Ceramic",M68)),"Supplier",
        ISNUMBER(SEARCH("National Company for Building",M68)),"Customer",
        ISNUMBER(SEARCH("Athraa Holding",M68)),"Customer",
        ISNUMBER(SEARCH("Al Rasan",M68)),"Supplier",
        ISNUMBER(SEARCH("Raboua Al Haid",M68)),"Customer",
        ISNUMBER(SEARCH("Al Jazeera Paint",M68)),"Supplier",
        ISNUMBER(SEARCH("Rania Works Contracting",M68)),"Supplier",
        ISNUMBER(SEARCH("Bandar Jarallah",M68)),"Supplier",
        TRUE,"Supplier"
    ),
    "-"
)</f>
        <v>Lender</v>
      </c>
      <c r="AD68" s="25" t="str" cm="1">
        <f t="array" ref="AD68">_xlfn.IFNA(
    _xlfn.IFS(
        AC68="Same Company","High",
        AC68="Shareholder","High",
        AC68="Government","High",
        AC68="Bank","High",
        AC68="Lender","High",
        AC68="Unknown","Low",
        AC68="-","Low",
        TRUE,"Medium"
    ),
    "-"
)</f>
        <v>High</v>
      </c>
      <c r="AE68" s="25" t="str">
        <f t="shared" si="6"/>
        <v>-</v>
      </c>
      <c r="AF68" s="25" t="str" cm="1">
        <f t="array" ref="AF68">_xlfn.IFNA(
    _xlfn.IFS(
        K68="Credit",
            _xlfn.IFS(
                OR(ISNUMBER(SEARCH("Rejected",L68)),ISNUMBER(SEARCH("Returned",L68))),"Other Income",
                TRUE,"Revenue"
            ),
        K68="Debit",
            _xlfn.IFS(
                ISNUMBER(SEARCH("Payroll",L68)),"OPEX",
                ISNUMBER(SEARCH("Expatriate",L68)),"OPEX",
                ISNUMBER(SEARCH("Zakat",M68)),"ZATCA",
                ISNUMBER(SEARCH("General Organization for Social Insurance",M68)),"OPEX",
                ISNUMBER(SEARCH("Saudi Electric",M68)),"OPEX",
                ISNUMBER(SEARCH("STC",M68)),"OPEX",
                ISNUMBER(SEARCH("National Water",M68)),"OPEX",
                ISNUMBER(SEARCH("Bupa",M68)),"OPEX",
                ISNUMBER(SEARCH("Abdullah Abdulkarim",M68)),"OPEX",
                ISNUMBER(SEARCH("Abdullah Fahad",M68)),"OPEX",
                ISNUMBER(SEARCH("ISO Arabia",M68)),"OPEX",
                ISNUMBER(SEARCH("Gulf Voyager",M68)),"OPEX",
                ISNUMBER(SEARCH("Ministry",M68)),"OPEX",
                ISNUMBER(SEARCH("General Authority of Zakat",M68)),"ZATCA",
                ISNUMBER(SEARCH("Rejected",L68)),"Other Income",
                TRUE,"COGS"
            ),
        TRUE,"-"
    ),
    "-"
)</f>
        <v>COGS</v>
      </c>
      <c r="AG68" s="25" t="str" cm="1">
        <f t="array" ref="AG68">_xlfn.IFNA(
    _xlfn.IFS(
        ISNUMBER(SEARCH("Payroll",L68)),"Payroll",
        ISNUMBER(SEARCH("Expatriate",L68)),"Government Fees",
        ISNUMBER(SEARCH("Zakat",M68)),"Zakat",
        ISNUMBER(SEARCH("Social Insurance",M68)),"Social Insurance",
        ISNUMBER(SEARCH("Saudi Electric",M68)),"Electricity",
        ISNUMBER(SEARCH("STC",M68)),"Telecom",
        ISNUMBER(SEARCH("National Water",M68)),"Water",
        ISNUMBER(SEARCH("Bupa",M68)),"Insurance",
        ISNUMBER(SEARCH("Gulf Voyager",M68)),"Travel",
        ISNUMBER(SEARCH("Ministry",M68)),"Government Fees",
        ISNUMBER(SEARCH("Abdullah Abdulkarim",M68)),"Consulting",
        ISNUMBER(SEARCH("Abdullah Fahad",M68)),"Accounting",
        ISNUMBER(SEARCH("ISO Arabia",M68)),"Consulting",
        ISNUMBER(SEARCH("Rejected",L68)),"Refund",
        AF68="COGS","Inventory Purchase",
        AF68="Revenue","Revenue",
        AF68="OPEX","Other",
        AF68="ZATCA","Zakat",
        TRUE,"-"
    ),
    "-"
)</f>
        <v>Inventory Purchase</v>
      </c>
      <c r="AH68" s="25" t="str" cm="1">
        <f t="array" ref="AH68">_xlfn.IFNA(
    _xlfn.IFS(
        AF68="-","Low",
        AF68="Other","Low",
        TRUE,"Medium"
    ),
    "-"
)</f>
        <v>Medium</v>
      </c>
      <c r="AI68" s="25" t="str">
        <f t="shared" si="7"/>
        <v>-</v>
      </c>
    </row>
    <row r="69" spans="1:35" x14ac:dyDescent="0.25">
      <c r="A69" s="10">
        <v>4</v>
      </c>
      <c r="B69" s="10" t="s">
        <v>35</v>
      </c>
      <c r="C69" s="10" t="s">
        <v>36</v>
      </c>
      <c r="D69" s="10" t="s">
        <v>37</v>
      </c>
      <c r="E69" s="10" t="s">
        <v>38</v>
      </c>
      <c r="F69" s="11" t="s">
        <v>39</v>
      </c>
      <c r="G69" s="10" t="s">
        <v>40</v>
      </c>
      <c r="H69" s="12">
        <v>44956</v>
      </c>
      <c r="I69" s="20">
        <v>1135.5999999999999</v>
      </c>
      <c r="J69" s="20">
        <v>145.59</v>
      </c>
      <c r="K69" s="10" t="s">
        <v>41</v>
      </c>
      <c r="L69" s="9" t="s">
        <v>102</v>
      </c>
      <c r="M69" s="9" t="s">
        <v>103</v>
      </c>
      <c r="N69" s="9">
        <v>3104449615223010</v>
      </c>
      <c r="O69" s="9" t="s">
        <v>44</v>
      </c>
      <c r="P69" s="15">
        <v>44956</v>
      </c>
      <c r="Q69" s="9" t="s">
        <v>104</v>
      </c>
      <c r="R69" s="16">
        <v>145.59</v>
      </c>
      <c r="U69" s="9" t="s">
        <v>46</v>
      </c>
      <c r="V69" s="24" t="str" cm="1">
        <f t="array" ref="V69">_xlfn.IFNA(
    _xlfn.IFS(
        ISNUMBER(SEARCH("Fast Outgoing Transfer",L69)),"Transfer",
        ISNUMBER(SEARCH("Incoming Fast Transfer",L69)),"Transfer",
        ISNUMBER(SEARCH("Outgoing International Transfer",L69)),"Transfer",
        ISNUMBER(SEARCH("Bill Payment",L69)),"SADAD",
        ISNUMBER(SEARCH("Payroll",L69)),"Payroll",
        ISNUMBER(SEARCH("Cash Deposit",L69)),"Cash",
        ISNUMBER(SEARCH("Internal Transfer",L69)),"Transfer",
        ISNUMBER(SEARCH("Expatriate Services Payment",L69)),"SADAD",
        ISNUMBER(SEARCH("Rejected",L69)),"Transfer"
    ),
    "-"
)</f>
        <v>SADAD</v>
      </c>
      <c r="W69" s="25" t="str" cm="1">
        <f t="array" ref="W69">_xlfn.IFNA(
    _xlfn.IFS(
        AND(V69="Transfer",ISNUMBER(SEARCH("RIYAD BANK",L69))),"External FI",
        AND(V69="Transfer",ISNUMBER(SEARCH("Al Ahli",L69))),"External FI",
        AND(V69="Transfer",ISNUMBER(SEARCH("CIB via",L69))),"Local Transfer",
        AND(V69="Transfer",ISNUMBER(SEARCH("CIB)",L69))),"Local Transfer",
        AND(V69="Transfer",ISNUMBER(SEARCH("SMRT",L69))),"Local Transfer",
        AND(V69="Transfer",ISNUMBER(SEARCH("Al Murabba",L69))),"Local Transfer",
        AND(V69="Transfer",ISNUMBER(SEARCH("Internal Transfer",L69))),"Same FI",
        AND(V69="Transfer",ISNUMBER(SEARCH("Rejected",L69))),"Failed",
        V69="SADAD",
            _xlfn.IFS(
                ISNUMBER(SEARCH("Expatriate",L69)),"Expat Fees",
                TRUE,"Online Payment"
            ),
        V69="Payroll","Payroll",
        V69="Cash","Deposit",
        TRUE,"-"
    ),
    "-"
)</f>
        <v>Online Payment</v>
      </c>
      <c r="X69" s="25" t="str" cm="1">
        <f t="array" ref="X69">_xlfn.IFNA(
    _xlfn.IFS(
        V69="-","Low",
        W69="-","Low",
        TRUE,"High"
    ),
    "-"
)</f>
        <v>High</v>
      </c>
      <c r="Y69" s="25" t="str">
        <f t="shared" si="4"/>
        <v>-</v>
      </c>
      <c r="Z69" s="25" t="str" cm="1">
        <f t="array" ref="Z69">_xlfn.IFNA(
    _xlfn.IFS(
        ISNUMBER(SEARCH("Abdul Latif Jameel",M69)),"Lender",
        ISNUMBER(SEARCH("Abdullah Abdulkarim Al Sudais",M69)),"Accounting",
        ISNUMBER(SEARCH("Abdullah Fahad for Accounting",M69)),"Accounting",
        ISNUMBER(SEARCH("Abdullah Rashid Shaikh",M69)),"Shareholder",
        ISNUMBER(SEARCH("Advanced Equipments",M69)),"Equipment Rental",
        ISNUMBER(SEARCH("Al Banuk Sana",M69)),"Telecom Company",
        ISNUMBER(SEARCH("Al Khaleefa Factory",M69)),"Manufacturer",
        ISNUMBER(SEARCH("Al Saadeh Trading",M69)),"Trading Company",
        ISNUMBER(SEARCH("Al Zaehaan",M69)),"Trading Company",
        ISNUMBER(SEARCH("Ali Abdullah K Al Darwish",M69)),"Airlines",
        ISNUMBER(SEARCH("Bupa Arabia",M69)),"Health Insurance",
        ISNUMBER(SEARCH("Dar Fahoosaat",M69)),"Consultant",
        ISNUMBER(SEARCH("General Authority of Zakat",M69)),"Tax Collection",
        ISNUMBER(SEARCH("Gulf Voyager",M69)),"Travel Agency",
        ISNUMBER(SEARCH("Hopeway Trading",M69)),"Trading Company",
        ISNUMBER(SEARCH("Interhealth Medical",M69)),"Medical Services",
        ISNUMBER(SEARCH("Ishaar",M69)),"Online Payment Service",
        ISNUMBER(SEARCH("ISO Arabia",M69)),"Certification",
        ISNUMBER(SEARCH("Khalid Saad Al Otaibi",M69)),"Trading Company",
        ISNUMBER(SEARCH("MERAS for Decoration",M69)),"Decor Company",
        ISNUMBER(SEARCH("Middle East Customs Clearance",M69)),"Customs",
        ISNUMBER(SEARCH("Ministry of Human Resources",M69)),"Government",
        ISNUMBER(SEARCH("My Business Services",M69)),"Service Provider",
        ISNUMBER(SEARCH("National Water Company",M69)),"Water Company",
        ISNUMBER(SEARCH("Rania Contracting",M69)),"Contracting",
        ISNUMBER(SEARCH("Rashid Ali Sheikh",M69)),"Shareholder",
        ISNUMBER(SEARCH("Sahab United Motors",M69)),"Car Show Room",
        ISNUMBER(SEARCH("Saud Mohammed Al Tamimi",M69)),"Shareholder",
        ISNUMBER(SEARCH("Saud Mohammed Tamimi",M69)),"Shareholder",
        ISNUMBER(SEARCH("Saudi Electric Company",M69)),"Electricity Company",
        ISNUMBER(SEARCH("Saudi Vetonit",M69)),"Building Materials",
        ISNUMBER(SEARCH("Shomoul Eng",M69)),"Safety",
        ISNUMBER(SEARCH("STC",M69)),"Telecom Company",
        ISNUMBER(SEARCH("The General Organization for Social Insurance",M69)),"Social Insurance Agency",
        ISNUMBER(SEARCH("TUV Rheinland",M69)),"Certification",
        ISNUMBER(SEARCH("Al Arabia Ceramic",M69)),"Building Materials",
        ISNUMBER(SEARCH("National Company for Building and Marketing",M69)),"Parent Company",
        ISNUMBER(SEARCH("Athraa Holding",M69)),"Holding Company",
        ISNUMBER(SEARCH("Al Rasan",M69)),"Contracting",
        ISNUMBER(SEARCH("Raboua Al Haid",M69)),"Trading Company",
        ISNUMBER(SEARCH("Al Jazeera Paint",M69)),"Manufacturer",
        ISNUMBER(SEARCH("Rania Works Contracting",M69)),"Contracting",
        ISNUMBER(SEARCH("Bandar Jarallah",M69)),"Trading Establishment",
        ISNUMBER(SEARCH("RS Infratec Saudi",M69)),"Same Company",
        ISNUMBER(SEARCH("Payroll",M69)),"Bank",
        ISNUMBER(SEARCH("Expatriate",M69)),"Government",
        ISNUMBER(SEARCH("Unknown Sender",M69)),"Unknown",
        TRUE,"Unknown"
    ),
    "-"
)</f>
        <v>Tax Collection</v>
      </c>
      <c r="AA69" s="25" t="str" cm="1">
        <f t="array" ref="AA69">_xlfn.IFNA(
    _xlfn.IFS(
        Z69="Lender","Financing",
        Z69="Accounting","Accounting",
        Z69="Shareholder","Individual",
        Z69="Equipment Rental","Equipment Rental",
        Z69="Telecom Company","Telecom",
        Z69="Manufacturer","Manufacturer",
        Z69="Trading Company","Trading And Transport",
        Z69="Trading Establishment","Trading",
        Z69="Airlines","Airlines",
        Z69="Health Insurance","Insurance",
        Z69="Consultant","Consultant",
        Z69="Tax Collection","Government",
        Z69="Travel Agency","Travel Agency",
        Z69="Medical Services","Medical Center",
        Z69="Online Payment Service","Payment Facilitator",
        Z69="Certification","Safety",
        Z69="Decor Company","Design",
        Z69="Customs","Customs",
        Z69="Government","Government",
        Z69="Service Provider","Service Provider",
        Z69="Water Company","Water Company",
        Z69="Contracting","Contracting",
        Z69="Car Show Room","Car Trader",
        Z69="Electricity Company","Electricity Company",
        Z69="Building Materials","Building Materials",
        Z69="Safety","Safety",
        Z69="Social Insurance Agency","Government Fund",
        Z69="Parent Company","Holding Company",
        Z69="Holding Company","Holding Company",
        Z69="Same Company","Construction",
        Z69="Bank","Bank",
        Z69="Unknown","Unknown",
        TRUE,"-"
    ),
    "-"
)</f>
        <v>Government</v>
      </c>
      <c r="AB69" s="25" t="str">
        <f t="shared" si="5"/>
        <v>-</v>
      </c>
      <c r="AC69" s="25" t="str" cm="1">
        <f t="array" ref="AC69">_xlfn.IFNA(
    _xlfn.IFS(
        Z69="Shareholder","Shareholder",
        Z69="Same Company","Same Company",
        Z69="Bank","Bank",
        Z69="Government","Government",
        Z69="Social Insurance Agency","Government",
        Z69="Parent Company","Customer",
        Z69="Lender","Lender",
        Z69="Unknown","Unknown",
        ISNUMBER(SEARCH("Abdullah Abdulkarim",M69)),"Service Provider",
        ISNUMBER(SEARCH("Abdullah Fahad",M69)),"Service Provider",
        ISNUMBER(SEARCH("Advanced Equipments",M69)),"Supplier",
        ISNUMBER(SEARCH("Al Banuk Sana",M69)),"Supplier",
        ISNUMBER(SEARCH("Al Khaleefa Factory",M69)),"Supplier",
        ISNUMBER(SEARCH("Al Saadeh Trading",M69)),"Supplier",
        ISNUMBER(SEARCH("Al Zaehaan",M69)),"Supplier",
        ISNUMBER(SEARCH("Ali Abdullah K Al Darwish",M69)),"Service Provider",
        ISNUMBER(SEARCH("Bupa Arabia",M69)),"Insurance Company",
        ISNUMBER(SEARCH("Dar Fahoosaat",M69)),"Service Provider",
        ISNUMBER(SEARCH("General Authority of Zakat",M69)),"Tax Authority",
        ISNUMBER(SEARCH("Gulf Voyager",M69)),"Service Provider",
        ISNUMBER(SEARCH("Hopeway Trading",M69)),"Supplier",
        ISNUMBER(SEARCH("Interhealth Medical",M69)),"Customer",
        ISNUMBER(SEARCH("Ishaar",M69)),"Service Provider",
        ISNUMBER(SEARCH("ISO Arabia",M69)),"Service Provider",
        ISNUMBER(SEARCH("Khalid Saad Al Otaibi",M69)),"Supplier",
        ISNUMBER(SEARCH("MERAS for Decoration",M69)),"Supplier",
        ISNUMBER(SEARCH("Middle East Customs Clearance",M69)),"Service Provider",
        ISNUMBER(SEARCH("Ministry of Human Resources",M69)),"Regulatory Agency",
        ISNUMBER(SEARCH("My Business Services",M69)),"Service Provider",
        ISNUMBER(SEARCH("National Water Company",M69)),"Utility Provider",
        ISNUMBER(SEARCH("Rania Contracting",M69)),"Supplier",
        ISNUMBER(SEARCH("Sahab United Motors",M69)),"Supplier",
        ISNUMBER(SEARCH("Saudi Electric Company",M69)),"Utility Provider",
        ISNUMBER(SEARCH("Saudi Vetonit",M69)),"Supplier",
        ISNUMBER(SEARCH("Shomoul Eng",M69)),"Service Provider",
        ISNUMBER(SEARCH("STC",M69)),"Utility Provider",
        ISNUMBER(SEARCH("The General Organization for Social Insurance",M69)),"Social Insurance Agency",
        ISNUMBER(SEARCH("TUV Rheinland",M69)),"Service Provider",
        ISNUMBER(SEARCH("Al Arabia Ceramic",M69)),"Supplier",
        ISNUMBER(SEARCH("National Company for Building",M69)),"Customer",
        ISNUMBER(SEARCH("Athraa Holding",M69)),"Customer",
        ISNUMBER(SEARCH("Al Rasan",M69)),"Supplier",
        ISNUMBER(SEARCH("Raboua Al Haid",M69)),"Customer",
        ISNUMBER(SEARCH("Al Jazeera Paint",M69)),"Supplier",
        ISNUMBER(SEARCH("Rania Works Contracting",M69)),"Supplier",
        ISNUMBER(SEARCH("Bandar Jarallah",M69)),"Supplier",
        TRUE,"Supplier"
    ),
    "-"
)</f>
        <v>Tax Authority</v>
      </c>
      <c r="AD69" s="25" t="str" cm="1">
        <f t="array" ref="AD69">_xlfn.IFNA(
    _xlfn.IFS(
        AC69="Same Company","High",
        AC69="Shareholder","High",
        AC69="Government","High",
        AC69="Bank","High",
        AC69="Lender","High",
        AC69="Unknown","Low",
        AC69="-","Low",
        TRUE,"Medium"
    ),
    "-"
)</f>
        <v>Medium</v>
      </c>
      <c r="AE69" s="25" t="str">
        <f t="shared" si="6"/>
        <v>-</v>
      </c>
      <c r="AF69" s="25" t="str" cm="1">
        <f t="array" ref="AF69">_xlfn.IFNA(
    _xlfn.IFS(
        K69="Credit",
            _xlfn.IFS(
                OR(ISNUMBER(SEARCH("Rejected",L69)),ISNUMBER(SEARCH("Returned",L69))),"Other Income",
                TRUE,"Revenue"
            ),
        K69="Debit",
            _xlfn.IFS(
                ISNUMBER(SEARCH("Payroll",L69)),"OPEX",
                ISNUMBER(SEARCH("Expatriate",L69)),"OPEX",
                ISNUMBER(SEARCH("Zakat",M69)),"ZATCA",
                ISNUMBER(SEARCH("General Organization for Social Insurance",M69)),"OPEX",
                ISNUMBER(SEARCH("Saudi Electric",M69)),"OPEX",
                ISNUMBER(SEARCH("STC",M69)),"OPEX",
                ISNUMBER(SEARCH("National Water",M69)),"OPEX",
                ISNUMBER(SEARCH("Bupa",M69)),"OPEX",
                ISNUMBER(SEARCH("Abdullah Abdulkarim",M69)),"OPEX",
                ISNUMBER(SEARCH("Abdullah Fahad",M69)),"OPEX",
                ISNUMBER(SEARCH("ISO Arabia",M69)),"OPEX",
                ISNUMBER(SEARCH("Gulf Voyager",M69)),"OPEX",
                ISNUMBER(SEARCH("Ministry",M69)),"OPEX",
                ISNUMBER(SEARCH("General Authority of Zakat",M69)),"ZATCA",
                ISNUMBER(SEARCH("Rejected",L69)),"Other Income",
                TRUE,"COGS"
            ),
        TRUE,"-"
    ),
    "-"
)</f>
        <v>ZATCA</v>
      </c>
      <c r="AG69" s="25" t="str" cm="1">
        <f t="array" ref="AG69">_xlfn.IFNA(
    _xlfn.IFS(
        ISNUMBER(SEARCH("Payroll",L69)),"Payroll",
        ISNUMBER(SEARCH("Expatriate",L69)),"Government Fees",
        ISNUMBER(SEARCH("Zakat",M69)),"Zakat",
        ISNUMBER(SEARCH("Social Insurance",M69)),"Social Insurance",
        ISNUMBER(SEARCH("Saudi Electric",M69)),"Electricity",
        ISNUMBER(SEARCH("STC",M69)),"Telecom",
        ISNUMBER(SEARCH("National Water",M69)),"Water",
        ISNUMBER(SEARCH("Bupa",M69)),"Insurance",
        ISNUMBER(SEARCH("Gulf Voyager",M69)),"Travel",
        ISNUMBER(SEARCH("Ministry",M69)),"Government Fees",
        ISNUMBER(SEARCH("Abdullah Abdulkarim",M69)),"Consulting",
        ISNUMBER(SEARCH("Abdullah Fahad",M69)),"Accounting",
        ISNUMBER(SEARCH("ISO Arabia",M69)),"Consulting",
        ISNUMBER(SEARCH("Rejected",L69)),"Refund",
        AF69="COGS","Inventory Purchase",
        AF69="Revenue","Revenue",
        AF69="OPEX","Other",
        AF69="ZATCA","Zakat",
        TRUE,"-"
    ),
    "-"
)</f>
        <v>Zakat</v>
      </c>
      <c r="AH69" s="25" t="str" cm="1">
        <f t="array" ref="AH69">_xlfn.IFNA(
    _xlfn.IFS(
        AF69="-","Low",
        AF69="Other","Low",
        TRUE,"Medium"
    ),
    "-"
)</f>
        <v>Medium</v>
      </c>
      <c r="AI69" s="25" t="str">
        <f t="shared" si="7"/>
        <v>-</v>
      </c>
    </row>
    <row r="70" spans="1:35" x14ac:dyDescent="0.25">
      <c r="A70" s="10">
        <v>4</v>
      </c>
      <c r="B70" s="10" t="s">
        <v>35</v>
      </c>
      <c r="C70" s="10" t="s">
        <v>36</v>
      </c>
      <c r="D70" s="10" t="s">
        <v>37</v>
      </c>
      <c r="E70" s="10" t="s">
        <v>38</v>
      </c>
      <c r="F70" s="11" t="s">
        <v>39</v>
      </c>
      <c r="G70" s="11" t="s">
        <v>40</v>
      </c>
      <c r="H70" s="12">
        <v>44965</v>
      </c>
      <c r="I70" s="20">
        <v>52033.120000000003</v>
      </c>
      <c r="J70" s="20">
        <v>520.66</v>
      </c>
      <c r="K70" s="10" t="s">
        <v>41</v>
      </c>
      <c r="L70" s="9" t="s">
        <v>102</v>
      </c>
      <c r="M70" s="9" t="s">
        <v>103</v>
      </c>
      <c r="N70" s="9">
        <v>3112199126224000</v>
      </c>
      <c r="O70" s="9" t="s">
        <v>44</v>
      </c>
      <c r="P70" s="15">
        <v>44965</v>
      </c>
      <c r="Q70" s="9" t="s">
        <v>105</v>
      </c>
      <c r="R70" s="16">
        <v>520.66</v>
      </c>
      <c r="U70" s="9" t="s">
        <v>46</v>
      </c>
      <c r="V70" s="24" t="str" cm="1">
        <f t="array" ref="V70">_xlfn.IFNA(
    _xlfn.IFS(
        ISNUMBER(SEARCH("Fast Outgoing Transfer",L70)),"Transfer",
        ISNUMBER(SEARCH("Incoming Fast Transfer",L70)),"Transfer",
        ISNUMBER(SEARCH("Outgoing International Transfer",L70)),"Transfer",
        ISNUMBER(SEARCH("Bill Payment",L70)),"SADAD",
        ISNUMBER(SEARCH("Payroll",L70)),"Payroll",
        ISNUMBER(SEARCH("Cash Deposit",L70)),"Cash",
        ISNUMBER(SEARCH("Internal Transfer",L70)),"Transfer",
        ISNUMBER(SEARCH("Expatriate Services Payment",L70)),"SADAD",
        ISNUMBER(SEARCH("Rejected",L70)),"Transfer"
    ),
    "-"
)</f>
        <v>SADAD</v>
      </c>
      <c r="W70" s="25" t="str" cm="1">
        <f t="array" ref="W70">_xlfn.IFNA(
    _xlfn.IFS(
        AND(V70="Transfer",ISNUMBER(SEARCH("RIYAD BANK",L70))),"External FI",
        AND(V70="Transfer",ISNUMBER(SEARCH("Al Ahli",L70))),"External FI",
        AND(V70="Transfer",ISNUMBER(SEARCH("CIB via",L70))),"Local Transfer",
        AND(V70="Transfer",ISNUMBER(SEARCH("CIB)",L70))),"Local Transfer",
        AND(V70="Transfer",ISNUMBER(SEARCH("SMRT",L70))),"Local Transfer",
        AND(V70="Transfer",ISNUMBER(SEARCH("Al Murabba",L70))),"Local Transfer",
        AND(V70="Transfer",ISNUMBER(SEARCH("Internal Transfer",L70))),"Same FI",
        AND(V70="Transfer",ISNUMBER(SEARCH("Rejected",L70))),"Failed",
        V70="SADAD",
            _xlfn.IFS(
                ISNUMBER(SEARCH("Expatriate",L70)),"Expat Fees",
                TRUE,"Online Payment"
            ),
        V70="Payroll","Payroll",
        V70="Cash","Deposit",
        TRUE,"-"
    ),
    "-"
)</f>
        <v>Online Payment</v>
      </c>
      <c r="X70" s="25" t="str" cm="1">
        <f t="array" ref="X70">_xlfn.IFNA(
    _xlfn.IFS(
        V70="-","Low",
        W70="-","Low",
        TRUE,"High"
    ),
    "-"
)</f>
        <v>High</v>
      </c>
      <c r="Y70" s="25" t="str">
        <f t="shared" si="4"/>
        <v>-</v>
      </c>
      <c r="Z70" s="25" t="str" cm="1">
        <f t="array" ref="Z70">_xlfn.IFNA(
    _xlfn.IFS(
        ISNUMBER(SEARCH("Abdul Latif Jameel",M70)),"Lender",
        ISNUMBER(SEARCH("Abdullah Abdulkarim Al Sudais",M70)),"Accounting",
        ISNUMBER(SEARCH("Abdullah Fahad for Accounting",M70)),"Accounting",
        ISNUMBER(SEARCH("Abdullah Rashid Shaikh",M70)),"Shareholder",
        ISNUMBER(SEARCH("Advanced Equipments",M70)),"Equipment Rental",
        ISNUMBER(SEARCH("Al Banuk Sana",M70)),"Telecom Company",
        ISNUMBER(SEARCH("Al Khaleefa Factory",M70)),"Manufacturer",
        ISNUMBER(SEARCH("Al Saadeh Trading",M70)),"Trading Company",
        ISNUMBER(SEARCH("Al Zaehaan",M70)),"Trading Company",
        ISNUMBER(SEARCH("Ali Abdullah K Al Darwish",M70)),"Airlines",
        ISNUMBER(SEARCH("Bupa Arabia",M70)),"Health Insurance",
        ISNUMBER(SEARCH("Dar Fahoosaat",M70)),"Consultant",
        ISNUMBER(SEARCH("General Authority of Zakat",M70)),"Tax Collection",
        ISNUMBER(SEARCH("Gulf Voyager",M70)),"Travel Agency",
        ISNUMBER(SEARCH("Hopeway Trading",M70)),"Trading Company",
        ISNUMBER(SEARCH("Interhealth Medical",M70)),"Medical Services",
        ISNUMBER(SEARCH("Ishaar",M70)),"Online Payment Service",
        ISNUMBER(SEARCH("ISO Arabia",M70)),"Certification",
        ISNUMBER(SEARCH("Khalid Saad Al Otaibi",M70)),"Trading Company",
        ISNUMBER(SEARCH("MERAS for Decoration",M70)),"Decor Company",
        ISNUMBER(SEARCH("Middle East Customs Clearance",M70)),"Customs",
        ISNUMBER(SEARCH("Ministry of Human Resources",M70)),"Government",
        ISNUMBER(SEARCH("My Business Services",M70)),"Service Provider",
        ISNUMBER(SEARCH("National Water Company",M70)),"Water Company",
        ISNUMBER(SEARCH("Rania Contracting",M70)),"Contracting",
        ISNUMBER(SEARCH("Rashid Ali Sheikh",M70)),"Shareholder",
        ISNUMBER(SEARCH("Sahab United Motors",M70)),"Car Show Room",
        ISNUMBER(SEARCH("Saud Mohammed Al Tamimi",M70)),"Shareholder",
        ISNUMBER(SEARCH("Saud Mohammed Tamimi",M70)),"Shareholder",
        ISNUMBER(SEARCH("Saudi Electric Company",M70)),"Electricity Company",
        ISNUMBER(SEARCH("Saudi Vetonit",M70)),"Building Materials",
        ISNUMBER(SEARCH("Shomoul Eng",M70)),"Safety",
        ISNUMBER(SEARCH("STC",M70)),"Telecom Company",
        ISNUMBER(SEARCH("The General Organization for Social Insurance",M70)),"Social Insurance Agency",
        ISNUMBER(SEARCH("TUV Rheinland",M70)),"Certification",
        ISNUMBER(SEARCH("Al Arabia Ceramic",M70)),"Building Materials",
        ISNUMBER(SEARCH("National Company for Building and Marketing",M70)),"Parent Company",
        ISNUMBER(SEARCH("Athraa Holding",M70)),"Holding Company",
        ISNUMBER(SEARCH("Al Rasan",M70)),"Contracting",
        ISNUMBER(SEARCH("Raboua Al Haid",M70)),"Trading Company",
        ISNUMBER(SEARCH("Al Jazeera Paint",M70)),"Manufacturer",
        ISNUMBER(SEARCH("Rania Works Contracting",M70)),"Contracting",
        ISNUMBER(SEARCH("Bandar Jarallah",M70)),"Trading Establishment",
        ISNUMBER(SEARCH("RS Infratec Saudi",M70)),"Same Company",
        ISNUMBER(SEARCH("Payroll",M70)),"Bank",
        ISNUMBER(SEARCH("Expatriate",M70)),"Government",
        ISNUMBER(SEARCH("Unknown Sender",M70)),"Unknown",
        TRUE,"Unknown"
    ),
    "-"
)</f>
        <v>Tax Collection</v>
      </c>
      <c r="AA70" s="25" t="str" cm="1">
        <f t="array" ref="AA70">_xlfn.IFNA(
    _xlfn.IFS(
        Z70="Lender","Financing",
        Z70="Accounting","Accounting",
        Z70="Shareholder","Individual",
        Z70="Equipment Rental","Equipment Rental",
        Z70="Telecom Company","Telecom",
        Z70="Manufacturer","Manufacturer",
        Z70="Trading Company","Trading And Transport",
        Z70="Trading Establishment","Trading",
        Z70="Airlines","Airlines",
        Z70="Health Insurance","Insurance",
        Z70="Consultant","Consultant",
        Z70="Tax Collection","Government",
        Z70="Travel Agency","Travel Agency",
        Z70="Medical Services","Medical Center",
        Z70="Online Payment Service","Payment Facilitator",
        Z70="Certification","Safety",
        Z70="Decor Company","Design",
        Z70="Customs","Customs",
        Z70="Government","Government",
        Z70="Service Provider","Service Provider",
        Z70="Water Company","Water Company",
        Z70="Contracting","Contracting",
        Z70="Car Show Room","Car Trader",
        Z70="Electricity Company","Electricity Company",
        Z70="Building Materials","Building Materials",
        Z70="Safety","Safety",
        Z70="Social Insurance Agency","Government Fund",
        Z70="Parent Company","Holding Company",
        Z70="Holding Company","Holding Company",
        Z70="Same Company","Construction",
        Z70="Bank","Bank",
        Z70="Unknown","Unknown",
        TRUE,"-"
    ),
    "-"
)</f>
        <v>Government</v>
      </c>
      <c r="AB70" s="25" t="str">
        <f t="shared" si="5"/>
        <v>-</v>
      </c>
      <c r="AC70" s="25" t="str" cm="1">
        <f t="array" ref="AC70">_xlfn.IFNA(
    _xlfn.IFS(
        Z70="Shareholder","Shareholder",
        Z70="Same Company","Same Company",
        Z70="Bank","Bank",
        Z70="Government","Government",
        Z70="Social Insurance Agency","Government",
        Z70="Parent Company","Customer",
        Z70="Lender","Lender",
        Z70="Unknown","Unknown",
        ISNUMBER(SEARCH("Abdullah Abdulkarim",M70)),"Service Provider",
        ISNUMBER(SEARCH("Abdullah Fahad",M70)),"Service Provider",
        ISNUMBER(SEARCH("Advanced Equipments",M70)),"Supplier",
        ISNUMBER(SEARCH("Al Banuk Sana",M70)),"Supplier",
        ISNUMBER(SEARCH("Al Khaleefa Factory",M70)),"Supplier",
        ISNUMBER(SEARCH("Al Saadeh Trading",M70)),"Supplier",
        ISNUMBER(SEARCH("Al Zaehaan",M70)),"Supplier",
        ISNUMBER(SEARCH("Ali Abdullah K Al Darwish",M70)),"Service Provider",
        ISNUMBER(SEARCH("Bupa Arabia",M70)),"Insurance Company",
        ISNUMBER(SEARCH("Dar Fahoosaat",M70)),"Service Provider",
        ISNUMBER(SEARCH("General Authority of Zakat",M70)),"Tax Authority",
        ISNUMBER(SEARCH("Gulf Voyager",M70)),"Service Provider",
        ISNUMBER(SEARCH("Hopeway Trading",M70)),"Supplier",
        ISNUMBER(SEARCH("Interhealth Medical",M70)),"Customer",
        ISNUMBER(SEARCH("Ishaar",M70)),"Service Provider",
        ISNUMBER(SEARCH("ISO Arabia",M70)),"Service Provider",
        ISNUMBER(SEARCH("Khalid Saad Al Otaibi",M70)),"Supplier",
        ISNUMBER(SEARCH("MERAS for Decoration",M70)),"Supplier",
        ISNUMBER(SEARCH("Middle East Customs Clearance",M70)),"Service Provider",
        ISNUMBER(SEARCH("Ministry of Human Resources",M70)),"Regulatory Agency",
        ISNUMBER(SEARCH("My Business Services",M70)),"Service Provider",
        ISNUMBER(SEARCH("National Water Company",M70)),"Utility Provider",
        ISNUMBER(SEARCH("Rania Contracting",M70)),"Supplier",
        ISNUMBER(SEARCH("Sahab United Motors",M70)),"Supplier",
        ISNUMBER(SEARCH("Saudi Electric Company",M70)),"Utility Provider",
        ISNUMBER(SEARCH("Saudi Vetonit",M70)),"Supplier",
        ISNUMBER(SEARCH("Shomoul Eng",M70)),"Service Provider",
        ISNUMBER(SEARCH("STC",M70)),"Utility Provider",
        ISNUMBER(SEARCH("The General Organization for Social Insurance",M70)),"Social Insurance Agency",
        ISNUMBER(SEARCH("TUV Rheinland",M70)),"Service Provider",
        ISNUMBER(SEARCH("Al Arabia Ceramic",M70)),"Supplier",
        ISNUMBER(SEARCH("National Company for Building",M70)),"Customer",
        ISNUMBER(SEARCH("Athraa Holding",M70)),"Customer",
        ISNUMBER(SEARCH("Al Rasan",M70)),"Supplier",
        ISNUMBER(SEARCH("Raboua Al Haid",M70)),"Customer",
        ISNUMBER(SEARCH("Al Jazeera Paint",M70)),"Supplier",
        ISNUMBER(SEARCH("Rania Works Contracting",M70)),"Supplier",
        ISNUMBER(SEARCH("Bandar Jarallah",M70)),"Supplier",
        TRUE,"Supplier"
    ),
    "-"
)</f>
        <v>Tax Authority</v>
      </c>
      <c r="AD70" s="25" t="str" cm="1">
        <f t="array" ref="AD70">_xlfn.IFNA(
    _xlfn.IFS(
        AC70="Same Company","High",
        AC70="Shareholder","High",
        AC70="Government","High",
        AC70="Bank","High",
        AC70="Lender","High",
        AC70="Unknown","Low",
        AC70="-","Low",
        TRUE,"Medium"
    ),
    "-"
)</f>
        <v>Medium</v>
      </c>
      <c r="AE70" s="25" t="str">
        <f t="shared" si="6"/>
        <v>-</v>
      </c>
      <c r="AF70" s="25" t="str" cm="1">
        <f t="array" ref="AF70">_xlfn.IFNA(
    _xlfn.IFS(
        K70="Credit",
            _xlfn.IFS(
                OR(ISNUMBER(SEARCH("Rejected",L70)),ISNUMBER(SEARCH("Returned",L70))),"Other Income",
                TRUE,"Revenue"
            ),
        K70="Debit",
            _xlfn.IFS(
                ISNUMBER(SEARCH("Payroll",L70)),"OPEX",
                ISNUMBER(SEARCH("Expatriate",L70)),"OPEX",
                ISNUMBER(SEARCH("Zakat",M70)),"ZATCA",
                ISNUMBER(SEARCH("General Organization for Social Insurance",M70)),"OPEX",
                ISNUMBER(SEARCH("Saudi Electric",M70)),"OPEX",
                ISNUMBER(SEARCH("STC",M70)),"OPEX",
                ISNUMBER(SEARCH("National Water",M70)),"OPEX",
                ISNUMBER(SEARCH("Bupa",M70)),"OPEX",
                ISNUMBER(SEARCH("Abdullah Abdulkarim",M70)),"OPEX",
                ISNUMBER(SEARCH("Abdullah Fahad",M70)),"OPEX",
                ISNUMBER(SEARCH("ISO Arabia",M70)),"OPEX",
                ISNUMBER(SEARCH("Gulf Voyager",M70)),"OPEX",
                ISNUMBER(SEARCH("Ministry",M70)),"OPEX",
                ISNUMBER(SEARCH("General Authority of Zakat",M70)),"ZATCA",
                ISNUMBER(SEARCH("Rejected",L70)),"Other Income",
                TRUE,"COGS"
            ),
        TRUE,"-"
    ),
    "-"
)</f>
        <v>ZATCA</v>
      </c>
      <c r="AG70" s="25" t="str" cm="1">
        <f t="array" ref="AG70">_xlfn.IFNA(
    _xlfn.IFS(
        ISNUMBER(SEARCH("Payroll",L70)),"Payroll",
        ISNUMBER(SEARCH("Expatriate",L70)),"Government Fees",
        ISNUMBER(SEARCH("Zakat",M70)),"Zakat",
        ISNUMBER(SEARCH("Social Insurance",M70)),"Social Insurance",
        ISNUMBER(SEARCH("Saudi Electric",M70)),"Electricity",
        ISNUMBER(SEARCH("STC",M70)),"Telecom",
        ISNUMBER(SEARCH("National Water",M70)),"Water",
        ISNUMBER(SEARCH("Bupa",M70)),"Insurance",
        ISNUMBER(SEARCH("Gulf Voyager",M70)),"Travel",
        ISNUMBER(SEARCH("Ministry",M70)),"Government Fees",
        ISNUMBER(SEARCH("Abdullah Abdulkarim",M70)),"Consulting",
        ISNUMBER(SEARCH("Abdullah Fahad",M70)),"Accounting",
        ISNUMBER(SEARCH("ISO Arabia",M70)),"Consulting",
        ISNUMBER(SEARCH("Rejected",L70)),"Refund",
        AF70="COGS","Inventory Purchase",
        AF70="Revenue","Revenue",
        AF70="OPEX","Other",
        AF70="ZATCA","Zakat",
        TRUE,"-"
    ),
    "-"
)</f>
        <v>Zakat</v>
      </c>
      <c r="AH70" s="25" t="str" cm="1">
        <f t="array" ref="AH70">_xlfn.IFNA(
    _xlfn.IFS(
        AF70="-","Low",
        AF70="Other","Low",
        TRUE,"Medium"
    ),
    "-"
)</f>
        <v>Medium</v>
      </c>
      <c r="AI70" s="25" t="str">
        <f t="shared" si="7"/>
        <v>-</v>
      </c>
    </row>
    <row r="71" spans="1:35" x14ac:dyDescent="0.25">
      <c r="A71" s="10">
        <v>4</v>
      </c>
      <c r="B71" s="10" t="s">
        <v>35</v>
      </c>
      <c r="C71" s="10" t="s">
        <v>36</v>
      </c>
      <c r="D71" s="10" t="s">
        <v>37</v>
      </c>
      <c r="E71" s="10" t="s">
        <v>38</v>
      </c>
      <c r="F71" s="11" t="s">
        <v>39</v>
      </c>
      <c r="G71" s="11" t="s">
        <v>40</v>
      </c>
      <c r="H71" s="12">
        <v>44985</v>
      </c>
      <c r="I71" s="20">
        <v>310627.86</v>
      </c>
      <c r="J71" s="20">
        <v>148.57</v>
      </c>
      <c r="K71" s="10" t="s">
        <v>41</v>
      </c>
      <c r="L71" s="9" t="s">
        <v>102</v>
      </c>
      <c r="M71" s="9" t="s">
        <v>103</v>
      </c>
      <c r="N71" s="9">
        <v>3104449615233000</v>
      </c>
      <c r="O71" s="9" t="s">
        <v>44</v>
      </c>
      <c r="P71" s="15">
        <v>44985</v>
      </c>
      <c r="Q71" s="9" t="s">
        <v>106</v>
      </c>
      <c r="R71" s="16">
        <v>148.57</v>
      </c>
      <c r="U71" s="9" t="s">
        <v>46</v>
      </c>
      <c r="V71" s="24" t="str" cm="1">
        <f t="array" ref="V71">_xlfn.IFNA(
    _xlfn.IFS(
        ISNUMBER(SEARCH("Fast Outgoing Transfer",L71)),"Transfer",
        ISNUMBER(SEARCH("Incoming Fast Transfer",L71)),"Transfer",
        ISNUMBER(SEARCH("Outgoing International Transfer",L71)),"Transfer",
        ISNUMBER(SEARCH("Bill Payment",L71)),"SADAD",
        ISNUMBER(SEARCH("Payroll",L71)),"Payroll",
        ISNUMBER(SEARCH("Cash Deposit",L71)),"Cash",
        ISNUMBER(SEARCH("Internal Transfer",L71)),"Transfer",
        ISNUMBER(SEARCH("Expatriate Services Payment",L71)),"SADAD",
        ISNUMBER(SEARCH("Rejected",L71)),"Transfer"
    ),
    "-"
)</f>
        <v>SADAD</v>
      </c>
      <c r="W71" s="25" t="str" cm="1">
        <f t="array" ref="W71">_xlfn.IFNA(
    _xlfn.IFS(
        AND(V71="Transfer",ISNUMBER(SEARCH("RIYAD BANK",L71))),"External FI",
        AND(V71="Transfer",ISNUMBER(SEARCH("Al Ahli",L71))),"External FI",
        AND(V71="Transfer",ISNUMBER(SEARCH("CIB via",L71))),"Local Transfer",
        AND(V71="Transfer",ISNUMBER(SEARCH("CIB)",L71))),"Local Transfer",
        AND(V71="Transfer",ISNUMBER(SEARCH("SMRT",L71))),"Local Transfer",
        AND(V71="Transfer",ISNUMBER(SEARCH("Al Murabba",L71))),"Local Transfer",
        AND(V71="Transfer",ISNUMBER(SEARCH("Internal Transfer",L71))),"Same FI",
        AND(V71="Transfer",ISNUMBER(SEARCH("Rejected",L71))),"Failed",
        V71="SADAD",
            _xlfn.IFS(
                ISNUMBER(SEARCH("Expatriate",L71)),"Expat Fees",
                TRUE,"Online Payment"
            ),
        V71="Payroll","Payroll",
        V71="Cash","Deposit",
        TRUE,"-"
    ),
    "-"
)</f>
        <v>Online Payment</v>
      </c>
      <c r="X71" s="25" t="str" cm="1">
        <f t="array" ref="X71">_xlfn.IFNA(
    _xlfn.IFS(
        V71="-","Low",
        W71="-","Low",
        TRUE,"High"
    ),
    "-"
)</f>
        <v>High</v>
      </c>
      <c r="Y71" s="25" t="str">
        <f t="shared" si="4"/>
        <v>-</v>
      </c>
      <c r="Z71" s="25" t="str" cm="1">
        <f t="array" ref="Z71">_xlfn.IFNA(
    _xlfn.IFS(
        ISNUMBER(SEARCH("Abdul Latif Jameel",M71)),"Lender",
        ISNUMBER(SEARCH("Abdullah Abdulkarim Al Sudais",M71)),"Accounting",
        ISNUMBER(SEARCH("Abdullah Fahad for Accounting",M71)),"Accounting",
        ISNUMBER(SEARCH("Abdullah Rashid Shaikh",M71)),"Shareholder",
        ISNUMBER(SEARCH("Advanced Equipments",M71)),"Equipment Rental",
        ISNUMBER(SEARCH("Al Banuk Sana",M71)),"Telecom Company",
        ISNUMBER(SEARCH("Al Khaleefa Factory",M71)),"Manufacturer",
        ISNUMBER(SEARCH("Al Saadeh Trading",M71)),"Trading Company",
        ISNUMBER(SEARCH("Al Zaehaan",M71)),"Trading Company",
        ISNUMBER(SEARCH("Ali Abdullah K Al Darwish",M71)),"Airlines",
        ISNUMBER(SEARCH("Bupa Arabia",M71)),"Health Insurance",
        ISNUMBER(SEARCH("Dar Fahoosaat",M71)),"Consultant",
        ISNUMBER(SEARCH("General Authority of Zakat",M71)),"Tax Collection",
        ISNUMBER(SEARCH("Gulf Voyager",M71)),"Travel Agency",
        ISNUMBER(SEARCH("Hopeway Trading",M71)),"Trading Company",
        ISNUMBER(SEARCH("Interhealth Medical",M71)),"Medical Services",
        ISNUMBER(SEARCH("Ishaar",M71)),"Online Payment Service",
        ISNUMBER(SEARCH("ISO Arabia",M71)),"Certification",
        ISNUMBER(SEARCH("Khalid Saad Al Otaibi",M71)),"Trading Company",
        ISNUMBER(SEARCH("MERAS for Decoration",M71)),"Decor Company",
        ISNUMBER(SEARCH("Middle East Customs Clearance",M71)),"Customs",
        ISNUMBER(SEARCH("Ministry of Human Resources",M71)),"Government",
        ISNUMBER(SEARCH("My Business Services",M71)),"Service Provider",
        ISNUMBER(SEARCH("National Water Company",M71)),"Water Company",
        ISNUMBER(SEARCH("Rania Contracting",M71)),"Contracting",
        ISNUMBER(SEARCH("Rashid Ali Sheikh",M71)),"Shareholder",
        ISNUMBER(SEARCH("Sahab United Motors",M71)),"Car Show Room",
        ISNUMBER(SEARCH("Saud Mohammed Al Tamimi",M71)),"Shareholder",
        ISNUMBER(SEARCH("Saud Mohammed Tamimi",M71)),"Shareholder",
        ISNUMBER(SEARCH("Saudi Electric Company",M71)),"Electricity Company",
        ISNUMBER(SEARCH("Saudi Vetonit",M71)),"Building Materials",
        ISNUMBER(SEARCH("Shomoul Eng",M71)),"Safety",
        ISNUMBER(SEARCH("STC",M71)),"Telecom Company",
        ISNUMBER(SEARCH("The General Organization for Social Insurance",M71)),"Social Insurance Agency",
        ISNUMBER(SEARCH("TUV Rheinland",M71)),"Certification",
        ISNUMBER(SEARCH("Al Arabia Ceramic",M71)),"Building Materials",
        ISNUMBER(SEARCH("National Company for Building and Marketing",M71)),"Parent Company",
        ISNUMBER(SEARCH("Athraa Holding",M71)),"Holding Company",
        ISNUMBER(SEARCH("Al Rasan",M71)),"Contracting",
        ISNUMBER(SEARCH("Raboua Al Haid",M71)),"Trading Company",
        ISNUMBER(SEARCH("Al Jazeera Paint",M71)),"Manufacturer",
        ISNUMBER(SEARCH("Rania Works Contracting",M71)),"Contracting",
        ISNUMBER(SEARCH("Bandar Jarallah",M71)),"Trading Establishment",
        ISNUMBER(SEARCH("RS Infratec Saudi",M71)),"Same Company",
        ISNUMBER(SEARCH("Payroll",M71)),"Bank",
        ISNUMBER(SEARCH("Expatriate",M71)),"Government",
        ISNUMBER(SEARCH("Unknown Sender",M71)),"Unknown",
        TRUE,"Unknown"
    ),
    "-"
)</f>
        <v>Tax Collection</v>
      </c>
      <c r="AA71" s="25" t="str" cm="1">
        <f t="array" ref="AA71">_xlfn.IFNA(
    _xlfn.IFS(
        Z71="Lender","Financing",
        Z71="Accounting","Accounting",
        Z71="Shareholder","Individual",
        Z71="Equipment Rental","Equipment Rental",
        Z71="Telecom Company","Telecom",
        Z71="Manufacturer","Manufacturer",
        Z71="Trading Company","Trading And Transport",
        Z71="Trading Establishment","Trading",
        Z71="Airlines","Airlines",
        Z71="Health Insurance","Insurance",
        Z71="Consultant","Consultant",
        Z71="Tax Collection","Government",
        Z71="Travel Agency","Travel Agency",
        Z71="Medical Services","Medical Center",
        Z71="Online Payment Service","Payment Facilitator",
        Z71="Certification","Safety",
        Z71="Decor Company","Design",
        Z71="Customs","Customs",
        Z71="Government","Government",
        Z71="Service Provider","Service Provider",
        Z71="Water Company","Water Company",
        Z71="Contracting","Contracting",
        Z71="Car Show Room","Car Trader",
        Z71="Electricity Company","Electricity Company",
        Z71="Building Materials","Building Materials",
        Z71="Safety","Safety",
        Z71="Social Insurance Agency","Government Fund",
        Z71="Parent Company","Holding Company",
        Z71="Holding Company","Holding Company",
        Z71="Same Company","Construction",
        Z71="Bank","Bank",
        Z71="Unknown","Unknown",
        TRUE,"-"
    ),
    "-"
)</f>
        <v>Government</v>
      </c>
      <c r="AB71" s="25" t="str">
        <f t="shared" si="5"/>
        <v>-</v>
      </c>
      <c r="AC71" s="25" t="str" cm="1">
        <f t="array" ref="AC71">_xlfn.IFNA(
    _xlfn.IFS(
        Z71="Shareholder","Shareholder",
        Z71="Same Company","Same Company",
        Z71="Bank","Bank",
        Z71="Government","Government",
        Z71="Social Insurance Agency","Government",
        Z71="Parent Company","Customer",
        Z71="Lender","Lender",
        Z71="Unknown","Unknown",
        ISNUMBER(SEARCH("Abdullah Abdulkarim",M71)),"Service Provider",
        ISNUMBER(SEARCH("Abdullah Fahad",M71)),"Service Provider",
        ISNUMBER(SEARCH("Advanced Equipments",M71)),"Supplier",
        ISNUMBER(SEARCH("Al Banuk Sana",M71)),"Supplier",
        ISNUMBER(SEARCH("Al Khaleefa Factory",M71)),"Supplier",
        ISNUMBER(SEARCH("Al Saadeh Trading",M71)),"Supplier",
        ISNUMBER(SEARCH("Al Zaehaan",M71)),"Supplier",
        ISNUMBER(SEARCH("Ali Abdullah K Al Darwish",M71)),"Service Provider",
        ISNUMBER(SEARCH("Bupa Arabia",M71)),"Insurance Company",
        ISNUMBER(SEARCH("Dar Fahoosaat",M71)),"Service Provider",
        ISNUMBER(SEARCH("General Authority of Zakat",M71)),"Tax Authority",
        ISNUMBER(SEARCH("Gulf Voyager",M71)),"Service Provider",
        ISNUMBER(SEARCH("Hopeway Trading",M71)),"Supplier",
        ISNUMBER(SEARCH("Interhealth Medical",M71)),"Customer",
        ISNUMBER(SEARCH("Ishaar",M71)),"Service Provider",
        ISNUMBER(SEARCH("ISO Arabia",M71)),"Service Provider",
        ISNUMBER(SEARCH("Khalid Saad Al Otaibi",M71)),"Supplier",
        ISNUMBER(SEARCH("MERAS for Decoration",M71)),"Supplier",
        ISNUMBER(SEARCH("Middle East Customs Clearance",M71)),"Service Provider",
        ISNUMBER(SEARCH("Ministry of Human Resources",M71)),"Regulatory Agency",
        ISNUMBER(SEARCH("My Business Services",M71)),"Service Provider",
        ISNUMBER(SEARCH("National Water Company",M71)),"Utility Provider",
        ISNUMBER(SEARCH("Rania Contracting",M71)),"Supplier",
        ISNUMBER(SEARCH("Sahab United Motors",M71)),"Supplier",
        ISNUMBER(SEARCH("Saudi Electric Company",M71)),"Utility Provider",
        ISNUMBER(SEARCH("Saudi Vetonit",M71)),"Supplier",
        ISNUMBER(SEARCH("Shomoul Eng",M71)),"Service Provider",
        ISNUMBER(SEARCH("STC",M71)),"Utility Provider",
        ISNUMBER(SEARCH("The General Organization for Social Insurance",M71)),"Social Insurance Agency",
        ISNUMBER(SEARCH("TUV Rheinland",M71)),"Service Provider",
        ISNUMBER(SEARCH("Al Arabia Ceramic",M71)),"Supplier",
        ISNUMBER(SEARCH("National Company for Building",M71)),"Customer",
        ISNUMBER(SEARCH("Athraa Holding",M71)),"Customer",
        ISNUMBER(SEARCH("Al Rasan",M71)),"Supplier",
        ISNUMBER(SEARCH("Raboua Al Haid",M71)),"Customer",
        ISNUMBER(SEARCH("Al Jazeera Paint",M71)),"Supplier",
        ISNUMBER(SEARCH("Rania Works Contracting",M71)),"Supplier",
        ISNUMBER(SEARCH("Bandar Jarallah",M71)),"Supplier",
        TRUE,"Supplier"
    ),
    "-"
)</f>
        <v>Tax Authority</v>
      </c>
      <c r="AD71" s="25" t="str" cm="1">
        <f t="array" ref="AD71">_xlfn.IFNA(
    _xlfn.IFS(
        AC71="Same Company","High",
        AC71="Shareholder","High",
        AC71="Government","High",
        AC71="Bank","High",
        AC71="Lender","High",
        AC71="Unknown","Low",
        AC71="-","Low",
        TRUE,"Medium"
    ),
    "-"
)</f>
        <v>Medium</v>
      </c>
      <c r="AE71" s="25" t="str">
        <f t="shared" si="6"/>
        <v>-</v>
      </c>
      <c r="AF71" s="25" t="str" cm="1">
        <f t="array" ref="AF71">_xlfn.IFNA(
    _xlfn.IFS(
        K71="Credit",
            _xlfn.IFS(
                OR(ISNUMBER(SEARCH("Rejected",L71)),ISNUMBER(SEARCH("Returned",L71))),"Other Income",
                TRUE,"Revenue"
            ),
        K71="Debit",
            _xlfn.IFS(
                ISNUMBER(SEARCH("Payroll",L71)),"OPEX",
                ISNUMBER(SEARCH("Expatriate",L71)),"OPEX",
                ISNUMBER(SEARCH("Zakat",M71)),"ZATCA",
                ISNUMBER(SEARCH("General Organization for Social Insurance",M71)),"OPEX",
                ISNUMBER(SEARCH("Saudi Electric",M71)),"OPEX",
                ISNUMBER(SEARCH("STC",M71)),"OPEX",
                ISNUMBER(SEARCH("National Water",M71)),"OPEX",
                ISNUMBER(SEARCH("Bupa",M71)),"OPEX",
                ISNUMBER(SEARCH("Abdullah Abdulkarim",M71)),"OPEX",
                ISNUMBER(SEARCH("Abdullah Fahad",M71)),"OPEX",
                ISNUMBER(SEARCH("ISO Arabia",M71)),"OPEX",
                ISNUMBER(SEARCH("Gulf Voyager",M71)),"OPEX",
                ISNUMBER(SEARCH("Ministry",M71)),"OPEX",
                ISNUMBER(SEARCH("General Authority of Zakat",M71)),"ZATCA",
                ISNUMBER(SEARCH("Rejected",L71)),"Other Income",
                TRUE,"COGS"
            ),
        TRUE,"-"
    ),
    "-"
)</f>
        <v>ZATCA</v>
      </c>
      <c r="AG71" s="25" t="str" cm="1">
        <f t="array" ref="AG71">_xlfn.IFNA(
    _xlfn.IFS(
        ISNUMBER(SEARCH("Payroll",L71)),"Payroll",
        ISNUMBER(SEARCH("Expatriate",L71)),"Government Fees",
        ISNUMBER(SEARCH("Zakat",M71)),"Zakat",
        ISNUMBER(SEARCH("Social Insurance",M71)),"Social Insurance",
        ISNUMBER(SEARCH("Saudi Electric",M71)),"Electricity",
        ISNUMBER(SEARCH("STC",M71)),"Telecom",
        ISNUMBER(SEARCH("National Water",M71)),"Water",
        ISNUMBER(SEARCH("Bupa",M71)),"Insurance",
        ISNUMBER(SEARCH("Gulf Voyager",M71)),"Travel",
        ISNUMBER(SEARCH("Ministry",M71)),"Government Fees",
        ISNUMBER(SEARCH("Abdullah Abdulkarim",M71)),"Consulting",
        ISNUMBER(SEARCH("Abdullah Fahad",M71)),"Accounting",
        ISNUMBER(SEARCH("ISO Arabia",M71)),"Consulting",
        ISNUMBER(SEARCH("Rejected",L71)),"Refund",
        AF71="COGS","Inventory Purchase",
        AF71="Revenue","Revenue",
        AF71="OPEX","Other",
        AF71="ZATCA","Zakat",
        TRUE,"-"
    ),
    "-"
)</f>
        <v>Zakat</v>
      </c>
      <c r="AH71" s="25" t="str" cm="1">
        <f t="array" ref="AH71">_xlfn.IFNA(
    _xlfn.IFS(
        AF71="-","Low",
        AF71="Other","Low",
        TRUE,"Medium"
    ),
    "-"
)</f>
        <v>Medium</v>
      </c>
      <c r="AI71" s="25" t="str">
        <f t="shared" si="7"/>
        <v>-</v>
      </c>
    </row>
    <row r="72" spans="1:35" x14ac:dyDescent="0.25">
      <c r="A72" s="10">
        <v>4</v>
      </c>
      <c r="B72" s="10" t="s">
        <v>35</v>
      </c>
      <c r="C72" s="10" t="s">
        <v>36</v>
      </c>
      <c r="D72" s="10" t="s">
        <v>37</v>
      </c>
      <c r="E72" s="10" t="s">
        <v>38</v>
      </c>
      <c r="F72" s="11" t="s">
        <v>39</v>
      </c>
      <c r="G72" s="11" t="s">
        <v>40</v>
      </c>
      <c r="H72" s="12">
        <v>45017</v>
      </c>
      <c r="I72" s="20">
        <v>45358.07</v>
      </c>
      <c r="J72" s="20">
        <v>180.46</v>
      </c>
      <c r="K72" s="10" t="s">
        <v>41</v>
      </c>
      <c r="L72" s="9" t="s">
        <v>102</v>
      </c>
      <c r="M72" s="9" t="s">
        <v>103</v>
      </c>
      <c r="N72" s="9">
        <v>3104449615233000</v>
      </c>
      <c r="O72" s="9" t="s">
        <v>44</v>
      </c>
      <c r="P72" s="15">
        <v>45017</v>
      </c>
      <c r="Q72" s="9" t="s">
        <v>107</v>
      </c>
      <c r="R72" s="16">
        <v>180.46</v>
      </c>
      <c r="U72" s="9" t="s">
        <v>46</v>
      </c>
      <c r="V72" s="24" t="str" cm="1">
        <f t="array" ref="V72">_xlfn.IFNA(
    _xlfn.IFS(
        ISNUMBER(SEARCH("Fast Outgoing Transfer",L72)),"Transfer",
        ISNUMBER(SEARCH("Incoming Fast Transfer",L72)),"Transfer",
        ISNUMBER(SEARCH("Outgoing International Transfer",L72)),"Transfer",
        ISNUMBER(SEARCH("Bill Payment",L72)),"SADAD",
        ISNUMBER(SEARCH("Payroll",L72)),"Payroll",
        ISNUMBER(SEARCH("Cash Deposit",L72)),"Cash",
        ISNUMBER(SEARCH("Internal Transfer",L72)),"Transfer",
        ISNUMBER(SEARCH("Expatriate Services Payment",L72)),"SADAD",
        ISNUMBER(SEARCH("Rejected",L72)),"Transfer"
    ),
    "-"
)</f>
        <v>SADAD</v>
      </c>
      <c r="W72" s="25" t="str" cm="1">
        <f t="array" ref="W72">_xlfn.IFNA(
    _xlfn.IFS(
        AND(V72="Transfer",ISNUMBER(SEARCH("RIYAD BANK",L72))),"External FI",
        AND(V72="Transfer",ISNUMBER(SEARCH("Al Ahli",L72))),"External FI",
        AND(V72="Transfer",ISNUMBER(SEARCH("CIB via",L72))),"Local Transfer",
        AND(V72="Transfer",ISNUMBER(SEARCH("CIB)",L72))),"Local Transfer",
        AND(V72="Transfer",ISNUMBER(SEARCH("SMRT",L72))),"Local Transfer",
        AND(V72="Transfer",ISNUMBER(SEARCH("Al Murabba",L72))),"Local Transfer",
        AND(V72="Transfer",ISNUMBER(SEARCH("Internal Transfer",L72))),"Same FI",
        AND(V72="Transfer",ISNUMBER(SEARCH("Rejected",L72))),"Failed",
        V72="SADAD",
            _xlfn.IFS(
                ISNUMBER(SEARCH("Expatriate",L72)),"Expat Fees",
                TRUE,"Online Payment"
            ),
        V72="Payroll","Payroll",
        V72="Cash","Deposit",
        TRUE,"-"
    ),
    "-"
)</f>
        <v>Online Payment</v>
      </c>
      <c r="X72" s="25" t="str" cm="1">
        <f t="array" ref="X72">_xlfn.IFNA(
    _xlfn.IFS(
        V72="-","Low",
        W72="-","Low",
        TRUE,"High"
    ),
    "-"
)</f>
        <v>High</v>
      </c>
      <c r="Y72" s="25" t="str">
        <f t="shared" si="4"/>
        <v>-</v>
      </c>
      <c r="Z72" s="25" t="str" cm="1">
        <f t="array" ref="Z72">_xlfn.IFNA(
    _xlfn.IFS(
        ISNUMBER(SEARCH("Abdul Latif Jameel",M72)),"Lender",
        ISNUMBER(SEARCH("Abdullah Abdulkarim Al Sudais",M72)),"Accounting",
        ISNUMBER(SEARCH("Abdullah Fahad for Accounting",M72)),"Accounting",
        ISNUMBER(SEARCH("Abdullah Rashid Shaikh",M72)),"Shareholder",
        ISNUMBER(SEARCH("Advanced Equipments",M72)),"Equipment Rental",
        ISNUMBER(SEARCH("Al Banuk Sana",M72)),"Telecom Company",
        ISNUMBER(SEARCH("Al Khaleefa Factory",M72)),"Manufacturer",
        ISNUMBER(SEARCH("Al Saadeh Trading",M72)),"Trading Company",
        ISNUMBER(SEARCH("Al Zaehaan",M72)),"Trading Company",
        ISNUMBER(SEARCH("Ali Abdullah K Al Darwish",M72)),"Airlines",
        ISNUMBER(SEARCH("Bupa Arabia",M72)),"Health Insurance",
        ISNUMBER(SEARCH("Dar Fahoosaat",M72)),"Consultant",
        ISNUMBER(SEARCH("General Authority of Zakat",M72)),"Tax Collection",
        ISNUMBER(SEARCH("Gulf Voyager",M72)),"Travel Agency",
        ISNUMBER(SEARCH("Hopeway Trading",M72)),"Trading Company",
        ISNUMBER(SEARCH("Interhealth Medical",M72)),"Medical Services",
        ISNUMBER(SEARCH("Ishaar",M72)),"Online Payment Service",
        ISNUMBER(SEARCH("ISO Arabia",M72)),"Certification",
        ISNUMBER(SEARCH("Khalid Saad Al Otaibi",M72)),"Trading Company",
        ISNUMBER(SEARCH("MERAS for Decoration",M72)),"Decor Company",
        ISNUMBER(SEARCH("Middle East Customs Clearance",M72)),"Customs",
        ISNUMBER(SEARCH("Ministry of Human Resources",M72)),"Government",
        ISNUMBER(SEARCH("My Business Services",M72)),"Service Provider",
        ISNUMBER(SEARCH("National Water Company",M72)),"Water Company",
        ISNUMBER(SEARCH("Rania Contracting",M72)),"Contracting",
        ISNUMBER(SEARCH("Rashid Ali Sheikh",M72)),"Shareholder",
        ISNUMBER(SEARCH("Sahab United Motors",M72)),"Car Show Room",
        ISNUMBER(SEARCH("Saud Mohammed Al Tamimi",M72)),"Shareholder",
        ISNUMBER(SEARCH("Saud Mohammed Tamimi",M72)),"Shareholder",
        ISNUMBER(SEARCH("Saudi Electric Company",M72)),"Electricity Company",
        ISNUMBER(SEARCH("Saudi Vetonit",M72)),"Building Materials",
        ISNUMBER(SEARCH("Shomoul Eng",M72)),"Safety",
        ISNUMBER(SEARCH("STC",M72)),"Telecom Company",
        ISNUMBER(SEARCH("The General Organization for Social Insurance",M72)),"Social Insurance Agency",
        ISNUMBER(SEARCH("TUV Rheinland",M72)),"Certification",
        ISNUMBER(SEARCH("Al Arabia Ceramic",M72)),"Building Materials",
        ISNUMBER(SEARCH("National Company for Building and Marketing",M72)),"Parent Company",
        ISNUMBER(SEARCH("Athraa Holding",M72)),"Holding Company",
        ISNUMBER(SEARCH("Al Rasan",M72)),"Contracting",
        ISNUMBER(SEARCH("Raboua Al Haid",M72)),"Trading Company",
        ISNUMBER(SEARCH("Al Jazeera Paint",M72)),"Manufacturer",
        ISNUMBER(SEARCH("Rania Works Contracting",M72)),"Contracting",
        ISNUMBER(SEARCH("Bandar Jarallah",M72)),"Trading Establishment",
        ISNUMBER(SEARCH("RS Infratec Saudi",M72)),"Same Company",
        ISNUMBER(SEARCH("Payroll",M72)),"Bank",
        ISNUMBER(SEARCH("Expatriate",M72)),"Government",
        ISNUMBER(SEARCH("Unknown Sender",M72)),"Unknown",
        TRUE,"Unknown"
    ),
    "-"
)</f>
        <v>Tax Collection</v>
      </c>
      <c r="AA72" s="25" t="str" cm="1">
        <f t="array" ref="AA72">_xlfn.IFNA(
    _xlfn.IFS(
        Z72="Lender","Financing",
        Z72="Accounting","Accounting",
        Z72="Shareholder","Individual",
        Z72="Equipment Rental","Equipment Rental",
        Z72="Telecom Company","Telecom",
        Z72="Manufacturer","Manufacturer",
        Z72="Trading Company","Trading And Transport",
        Z72="Trading Establishment","Trading",
        Z72="Airlines","Airlines",
        Z72="Health Insurance","Insurance",
        Z72="Consultant","Consultant",
        Z72="Tax Collection","Government",
        Z72="Travel Agency","Travel Agency",
        Z72="Medical Services","Medical Center",
        Z72="Online Payment Service","Payment Facilitator",
        Z72="Certification","Safety",
        Z72="Decor Company","Design",
        Z72="Customs","Customs",
        Z72="Government","Government",
        Z72="Service Provider","Service Provider",
        Z72="Water Company","Water Company",
        Z72="Contracting","Contracting",
        Z72="Car Show Room","Car Trader",
        Z72="Electricity Company","Electricity Company",
        Z72="Building Materials","Building Materials",
        Z72="Safety","Safety",
        Z72="Social Insurance Agency","Government Fund",
        Z72="Parent Company","Holding Company",
        Z72="Holding Company","Holding Company",
        Z72="Same Company","Construction",
        Z72="Bank","Bank",
        Z72="Unknown","Unknown",
        TRUE,"-"
    ),
    "-"
)</f>
        <v>Government</v>
      </c>
      <c r="AB72" s="25" t="str">
        <f t="shared" si="5"/>
        <v>-</v>
      </c>
      <c r="AC72" s="25" t="str" cm="1">
        <f t="array" ref="AC72">_xlfn.IFNA(
    _xlfn.IFS(
        Z72="Shareholder","Shareholder",
        Z72="Same Company","Same Company",
        Z72="Bank","Bank",
        Z72="Government","Government",
        Z72="Social Insurance Agency","Government",
        Z72="Parent Company","Customer",
        Z72="Lender","Lender",
        Z72="Unknown","Unknown",
        ISNUMBER(SEARCH("Abdullah Abdulkarim",M72)),"Service Provider",
        ISNUMBER(SEARCH("Abdullah Fahad",M72)),"Service Provider",
        ISNUMBER(SEARCH("Advanced Equipments",M72)),"Supplier",
        ISNUMBER(SEARCH("Al Banuk Sana",M72)),"Supplier",
        ISNUMBER(SEARCH("Al Khaleefa Factory",M72)),"Supplier",
        ISNUMBER(SEARCH("Al Saadeh Trading",M72)),"Supplier",
        ISNUMBER(SEARCH("Al Zaehaan",M72)),"Supplier",
        ISNUMBER(SEARCH("Ali Abdullah K Al Darwish",M72)),"Service Provider",
        ISNUMBER(SEARCH("Bupa Arabia",M72)),"Insurance Company",
        ISNUMBER(SEARCH("Dar Fahoosaat",M72)),"Service Provider",
        ISNUMBER(SEARCH("General Authority of Zakat",M72)),"Tax Authority",
        ISNUMBER(SEARCH("Gulf Voyager",M72)),"Service Provider",
        ISNUMBER(SEARCH("Hopeway Trading",M72)),"Supplier",
        ISNUMBER(SEARCH("Interhealth Medical",M72)),"Customer",
        ISNUMBER(SEARCH("Ishaar",M72)),"Service Provider",
        ISNUMBER(SEARCH("ISO Arabia",M72)),"Service Provider",
        ISNUMBER(SEARCH("Khalid Saad Al Otaibi",M72)),"Supplier",
        ISNUMBER(SEARCH("MERAS for Decoration",M72)),"Supplier",
        ISNUMBER(SEARCH("Middle East Customs Clearance",M72)),"Service Provider",
        ISNUMBER(SEARCH("Ministry of Human Resources",M72)),"Regulatory Agency",
        ISNUMBER(SEARCH("My Business Services",M72)),"Service Provider",
        ISNUMBER(SEARCH("National Water Company",M72)),"Utility Provider",
        ISNUMBER(SEARCH("Rania Contracting",M72)),"Supplier",
        ISNUMBER(SEARCH("Sahab United Motors",M72)),"Supplier",
        ISNUMBER(SEARCH("Saudi Electric Company",M72)),"Utility Provider",
        ISNUMBER(SEARCH("Saudi Vetonit",M72)),"Supplier",
        ISNUMBER(SEARCH("Shomoul Eng",M72)),"Service Provider",
        ISNUMBER(SEARCH("STC",M72)),"Utility Provider",
        ISNUMBER(SEARCH("The General Organization for Social Insurance",M72)),"Social Insurance Agency",
        ISNUMBER(SEARCH("TUV Rheinland",M72)),"Service Provider",
        ISNUMBER(SEARCH("Al Arabia Ceramic",M72)),"Supplier",
        ISNUMBER(SEARCH("National Company for Building",M72)),"Customer",
        ISNUMBER(SEARCH("Athraa Holding",M72)),"Customer",
        ISNUMBER(SEARCH("Al Rasan",M72)),"Supplier",
        ISNUMBER(SEARCH("Raboua Al Haid",M72)),"Customer",
        ISNUMBER(SEARCH("Al Jazeera Paint",M72)),"Supplier",
        ISNUMBER(SEARCH("Rania Works Contracting",M72)),"Supplier",
        ISNUMBER(SEARCH("Bandar Jarallah",M72)),"Supplier",
        TRUE,"Supplier"
    ),
    "-"
)</f>
        <v>Tax Authority</v>
      </c>
      <c r="AD72" s="25" t="str" cm="1">
        <f t="array" ref="AD72">_xlfn.IFNA(
    _xlfn.IFS(
        AC72="Same Company","High",
        AC72="Shareholder","High",
        AC72="Government","High",
        AC72="Bank","High",
        AC72="Lender","High",
        AC72="Unknown","Low",
        AC72="-","Low",
        TRUE,"Medium"
    ),
    "-"
)</f>
        <v>Medium</v>
      </c>
      <c r="AE72" s="25" t="str">
        <f t="shared" si="6"/>
        <v>-</v>
      </c>
      <c r="AF72" s="25" t="str" cm="1">
        <f t="array" ref="AF72">_xlfn.IFNA(
    _xlfn.IFS(
        K72="Credit",
            _xlfn.IFS(
                OR(ISNUMBER(SEARCH("Rejected",L72)),ISNUMBER(SEARCH("Returned",L72))),"Other Income",
                TRUE,"Revenue"
            ),
        K72="Debit",
            _xlfn.IFS(
                ISNUMBER(SEARCH("Payroll",L72)),"OPEX",
                ISNUMBER(SEARCH("Expatriate",L72)),"OPEX",
                ISNUMBER(SEARCH("Zakat",M72)),"ZATCA",
                ISNUMBER(SEARCH("General Organization for Social Insurance",M72)),"OPEX",
                ISNUMBER(SEARCH("Saudi Electric",M72)),"OPEX",
                ISNUMBER(SEARCH("STC",M72)),"OPEX",
                ISNUMBER(SEARCH("National Water",M72)),"OPEX",
                ISNUMBER(SEARCH("Bupa",M72)),"OPEX",
                ISNUMBER(SEARCH("Abdullah Abdulkarim",M72)),"OPEX",
                ISNUMBER(SEARCH("Abdullah Fahad",M72)),"OPEX",
                ISNUMBER(SEARCH("ISO Arabia",M72)),"OPEX",
                ISNUMBER(SEARCH("Gulf Voyager",M72)),"OPEX",
                ISNUMBER(SEARCH("Ministry",M72)),"OPEX",
                ISNUMBER(SEARCH("General Authority of Zakat",M72)),"ZATCA",
                ISNUMBER(SEARCH("Rejected",L72)),"Other Income",
                TRUE,"COGS"
            ),
        TRUE,"-"
    ),
    "-"
)</f>
        <v>ZATCA</v>
      </c>
      <c r="AG72" s="25" t="str" cm="1">
        <f t="array" ref="AG72">_xlfn.IFNA(
    _xlfn.IFS(
        ISNUMBER(SEARCH("Payroll",L72)),"Payroll",
        ISNUMBER(SEARCH("Expatriate",L72)),"Government Fees",
        ISNUMBER(SEARCH("Zakat",M72)),"Zakat",
        ISNUMBER(SEARCH("Social Insurance",M72)),"Social Insurance",
        ISNUMBER(SEARCH("Saudi Electric",M72)),"Electricity",
        ISNUMBER(SEARCH("STC",M72)),"Telecom",
        ISNUMBER(SEARCH("National Water",M72)),"Water",
        ISNUMBER(SEARCH("Bupa",M72)),"Insurance",
        ISNUMBER(SEARCH("Gulf Voyager",M72)),"Travel",
        ISNUMBER(SEARCH("Ministry",M72)),"Government Fees",
        ISNUMBER(SEARCH("Abdullah Abdulkarim",M72)),"Consulting",
        ISNUMBER(SEARCH("Abdullah Fahad",M72)),"Accounting",
        ISNUMBER(SEARCH("ISO Arabia",M72)),"Consulting",
        ISNUMBER(SEARCH("Rejected",L72)),"Refund",
        AF72="COGS","Inventory Purchase",
        AF72="Revenue","Revenue",
        AF72="OPEX","Other",
        AF72="ZATCA","Zakat",
        TRUE,"-"
    ),
    "-"
)</f>
        <v>Zakat</v>
      </c>
      <c r="AH72" s="25" t="str" cm="1">
        <f t="array" ref="AH72">_xlfn.IFNA(
    _xlfn.IFS(
        AF72="-","Low",
        AF72="Other","Low",
        TRUE,"Medium"
    ),
    "-"
)</f>
        <v>Medium</v>
      </c>
      <c r="AI72" s="25" t="str">
        <f t="shared" si="7"/>
        <v>-</v>
      </c>
    </row>
    <row r="73" spans="1:35" x14ac:dyDescent="0.25">
      <c r="A73" s="10">
        <v>4</v>
      </c>
      <c r="B73" s="10" t="s">
        <v>35</v>
      </c>
      <c r="C73" s="10" t="s">
        <v>36</v>
      </c>
      <c r="D73" s="10" t="s">
        <v>37</v>
      </c>
      <c r="E73" s="10" t="s">
        <v>38</v>
      </c>
      <c r="F73" s="11" t="s">
        <v>39</v>
      </c>
      <c r="G73" s="11" t="s">
        <v>40</v>
      </c>
      <c r="H73" s="12">
        <v>44998</v>
      </c>
      <c r="I73" s="20">
        <v>7381.57</v>
      </c>
      <c r="J73" s="20">
        <v>402.5</v>
      </c>
      <c r="K73" s="10" t="s">
        <v>41</v>
      </c>
      <c r="L73" s="9" t="s">
        <v>155</v>
      </c>
      <c r="M73" s="9" t="s">
        <v>156</v>
      </c>
      <c r="N73" s="9">
        <v>132570961</v>
      </c>
      <c r="O73" s="9" t="s">
        <v>44</v>
      </c>
      <c r="P73" s="15">
        <v>44998</v>
      </c>
      <c r="Q73" s="9" t="s">
        <v>157</v>
      </c>
      <c r="R73" s="16">
        <v>402.5</v>
      </c>
      <c r="U73" s="9" t="s">
        <v>46</v>
      </c>
      <c r="V73" s="24" t="str" cm="1">
        <f t="array" ref="V73">_xlfn.IFNA(
    _xlfn.IFS(
        ISNUMBER(SEARCH("Fast Outgoing Transfer",L73)),"Transfer",
        ISNUMBER(SEARCH("Incoming Fast Transfer",L73)),"Transfer",
        ISNUMBER(SEARCH("Outgoing International Transfer",L73)),"Transfer",
        ISNUMBER(SEARCH("Bill Payment",L73)),"SADAD",
        ISNUMBER(SEARCH("Payroll",L73)),"Payroll",
        ISNUMBER(SEARCH("Cash Deposit",L73)),"Cash",
        ISNUMBER(SEARCH("Internal Transfer",L73)),"Transfer",
        ISNUMBER(SEARCH("Expatriate Services Payment",L73)),"SADAD",
        ISNUMBER(SEARCH("Rejected",L73)),"Transfer"
    ),
    "-"
)</f>
        <v>SADAD</v>
      </c>
      <c r="W73" s="25" t="str" cm="1">
        <f t="array" ref="W73">_xlfn.IFNA(
    _xlfn.IFS(
        AND(V73="Transfer",ISNUMBER(SEARCH("RIYAD BANK",L73))),"External FI",
        AND(V73="Transfer",ISNUMBER(SEARCH("Al Ahli",L73))),"External FI",
        AND(V73="Transfer",ISNUMBER(SEARCH("CIB via",L73))),"Local Transfer",
        AND(V73="Transfer",ISNUMBER(SEARCH("CIB)",L73))),"Local Transfer",
        AND(V73="Transfer",ISNUMBER(SEARCH("SMRT",L73))),"Local Transfer",
        AND(V73="Transfer",ISNUMBER(SEARCH("Al Murabba",L73))),"Local Transfer",
        AND(V73="Transfer",ISNUMBER(SEARCH("Internal Transfer",L73))),"Same FI",
        AND(V73="Transfer",ISNUMBER(SEARCH("Rejected",L73))),"Failed",
        V73="SADAD",
            _xlfn.IFS(
                ISNUMBER(SEARCH("Expatriate",L73)),"Expat Fees",
                TRUE,"Online Payment"
            ),
        V73="Payroll","Payroll",
        V73="Cash","Deposit",
        TRUE,"-"
    ),
    "-"
)</f>
        <v>Online Payment</v>
      </c>
      <c r="X73" s="25" t="str" cm="1">
        <f t="array" ref="X73">_xlfn.IFNA(
    _xlfn.IFS(
        V73="-","Low",
        W73="-","Low",
        TRUE,"High"
    ),
    "-"
)</f>
        <v>High</v>
      </c>
      <c r="Y73" s="25" t="str">
        <f t="shared" si="4"/>
        <v>-</v>
      </c>
      <c r="Z73" s="25" t="str" cm="1">
        <f t="array" ref="Z73">_xlfn.IFNA(
    _xlfn.IFS(
        ISNUMBER(SEARCH("Abdul Latif Jameel",M73)),"Lender",
        ISNUMBER(SEARCH("Abdullah Abdulkarim Al Sudais",M73)),"Accounting",
        ISNUMBER(SEARCH("Abdullah Fahad for Accounting",M73)),"Accounting",
        ISNUMBER(SEARCH("Abdullah Rashid Shaikh",M73)),"Shareholder",
        ISNUMBER(SEARCH("Advanced Equipments",M73)),"Equipment Rental",
        ISNUMBER(SEARCH("Al Banuk Sana",M73)),"Telecom Company",
        ISNUMBER(SEARCH("Al Khaleefa Factory",M73)),"Manufacturer",
        ISNUMBER(SEARCH("Al Saadeh Trading",M73)),"Trading Company",
        ISNUMBER(SEARCH("Al Zaehaan",M73)),"Trading Company",
        ISNUMBER(SEARCH("Ali Abdullah K Al Darwish",M73)),"Airlines",
        ISNUMBER(SEARCH("Bupa Arabia",M73)),"Health Insurance",
        ISNUMBER(SEARCH("Dar Fahoosaat",M73)),"Consultant",
        ISNUMBER(SEARCH("General Authority of Zakat",M73)),"Tax Collection",
        ISNUMBER(SEARCH("Gulf Voyager",M73)),"Travel Agency",
        ISNUMBER(SEARCH("Hopeway Trading",M73)),"Trading Company",
        ISNUMBER(SEARCH("Interhealth Medical",M73)),"Medical Services",
        ISNUMBER(SEARCH("Ishaar",M73)),"Online Payment Service",
        ISNUMBER(SEARCH("ISO Arabia",M73)),"Certification",
        ISNUMBER(SEARCH("Khalid Saad Al Otaibi",M73)),"Trading Company",
        ISNUMBER(SEARCH("MERAS for Decoration",M73)),"Decor Company",
        ISNUMBER(SEARCH("Middle East Customs Clearance",M73)),"Customs",
        ISNUMBER(SEARCH("Ministry of Human Resources",M73)),"Government",
        ISNUMBER(SEARCH("My Business Services",M73)),"Service Provider",
        ISNUMBER(SEARCH("National Water Company",M73)),"Water Company",
        ISNUMBER(SEARCH("Rania Contracting",M73)),"Contracting",
        ISNUMBER(SEARCH("Rashid Ali Sheikh",M73)),"Shareholder",
        ISNUMBER(SEARCH("Sahab United Motors",M73)),"Car Show Room",
        ISNUMBER(SEARCH("Saud Mohammed Al Tamimi",M73)),"Shareholder",
        ISNUMBER(SEARCH("Saud Mohammed Tamimi",M73)),"Shareholder",
        ISNUMBER(SEARCH("Saudi Electric Company",M73)),"Electricity Company",
        ISNUMBER(SEARCH("Saudi Vetonit",M73)),"Building Materials",
        ISNUMBER(SEARCH("Shomoul Eng",M73)),"Safety",
        ISNUMBER(SEARCH("STC",M73)),"Telecom Company",
        ISNUMBER(SEARCH("The General Organization for Social Insurance",M73)),"Social Insurance Agency",
        ISNUMBER(SEARCH("TUV Rheinland",M73)),"Certification",
        ISNUMBER(SEARCH("Al Arabia Ceramic",M73)),"Building Materials",
        ISNUMBER(SEARCH("National Company for Building and Marketing",M73)),"Parent Company",
        ISNUMBER(SEARCH("Athraa Holding",M73)),"Holding Company",
        ISNUMBER(SEARCH("Al Rasan",M73)),"Contracting",
        ISNUMBER(SEARCH("Raboua Al Haid",M73)),"Trading Company",
        ISNUMBER(SEARCH("Al Jazeera Paint",M73)),"Manufacturer",
        ISNUMBER(SEARCH("Rania Works Contracting",M73)),"Contracting",
        ISNUMBER(SEARCH("Bandar Jarallah",M73)),"Trading Establishment",
        ISNUMBER(SEARCH("RS Infratec Saudi",M73)),"Same Company",
        ISNUMBER(SEARCH("Payroll",M73)),"Bank",
        ISNUMBER(SEARCH("Expatriate",M73)),"Government",
        ISNUMBER(SEARCH("Unknown Sender",M73)),"Unknown",
        TRUE,"Unknown"
    ),
    "-"
)</f>
        <v>Service Provider</v>
      </c>
      <c r="AA73" s="25" t="str" cm="1">
        <f t="array" ref="AA73">_xlfn.IFNA(
    _xlfn.IFS(
        Z73="Lender","Financing",
        Z73="Accounting","Accounting",
        Z73="Shareholder","Individual",
        Z73="Equipment Rental","Equipment Rental",
        Z73="Telecom Company","Telecom",
        Z73="Manufacturer","Manufacturer",
        Z73="Trading Company","Trading And Transport",
        Z73="Trading Establishment","Trading",
        Z73="Airlines","Airlines",
        Z73="Health Insurance","Insurance",
        Z73="Consultant","Consultant",
        Z73="Tax Collection","Government",
        Z73="Travel Agency","Travel Agency",
        Z73="Medical Services","Medical Center",
        Z73="Online Payment Service","Payment Facilitator",
        Z73="Certification","Safety",
        Z73="Decor Company","Design",
        Z73="Customs","Customs",
        Z73="Government","Government",
        Z73="Service Provider","Service Provider",
        Z73="Water Company","Water Company",
        Z73="Contracting","Contracting",
        Z73="Car Show Room","Car Trader",
        Z73="Electricity Company","Electricity Company",
        Z73="Building Materials","Building Materials",
        Z73="Safety","Safety",
        Z73="Social Insurance Agency","Government Fund",
        Z73="Parent Company","Holding Company",
        Z73="Holding Company","Holding Company",
        Z73="Same Company","Construction",
        Z73="Bank","Bank",
        Z73="Unknown","Unknown",
        TRUE,"-"
    ),
    "-"
)</f>
        <v>Service Provider</v>
      </c>
      <c r="AB73" s="25" t="str">
        <f t="shared" si="5"/>
        <v>-</v>
      </c>
      <c r="AC73" s="25" t="str" cm="1">
        <f t="array" ref="AC73">_xlfn.IFNA(
    _xlfn.IFS(
        Z73="Shareholder","Shareholder",
        Z73="Same Company","Same Company",
        Z73="Bank","Bank",
        Z73="Government","Government",
        Z73="Social Insurance Agency","Government",
        Z73="Parent Company","Customer",
        Z73="Lender","Lender",
        Z73="Unknown","Unknown",
        ISNUMBER(SEARCH("Abdullah Abdulkarim",M73)),"Service Provider",
        ISNUMBER(SEARCH("Abdullah Fahad",M73)),"Service Provider",
        ISNUMBER(SEARCH("Advanced Equipments",M73)),"Supplier",
        ISNUMBER(SEARCH("Al Banuk Sana",M73)),"Supplier",
        ISNUMBER(SEARCH("Al Khaleefa Factory",M73)),"Supplier",
        ISNUMBER(SEARCH("Al Saadeh Trading",M73)),"Supplier",
        ISNUMBER(SEARCH("Al Zaehaan",M73)),"Supplier",
        ISNUMBER(SEARCH("Ali Abdullah K Al Darwish",M73)),"Service Provider",
        ISNUMBER(SEARCH("Bupa Arabia",M73)),"Insurance Company",
        ISNUMBER(SEARCH("Dar Fahoosaat",M73)),"Service Provider",
        ISNUMBER(SEARCH("General Authority of Zakat",M73)),"Tax Authority",
        ISNUMBER(SEARCH("Gulf Voyager",M73)),"Service Provider",
        ISNUMBER(SEARCH("Hopeway Trading",M73)),"Supplier",
        ISNUMBER(SEARCH("Interhealth Medical",M73)),"Customer",
        ISNUMBER(SEARCH("Ishaar",M73)),"Service Provider",
        ISNUMBER(SEARCH("ISO Arabia",M73)),"Service Provider",
        ISNUMBER(SEARCH("Khalid Saad Al Otaibi",M73)),"Supplier",
        ISNUMBER(SEARCH("MERAS for Decoration",M73)),"Supplier",
        ISNUMBER(SEARCH("Middle East Customs Clearance",M73)),"Service Provider",
        ISNUMBER(SEARCH("Ministry of Human Resources",M73)),"Regulatory Agency",
        ISNUMBER(SEARCH("My Business Services",M73)),"Service Provider",
        ISNUMBER(SEARCH("National Water Company",M73)),"Utility Provider",
        ISNUMBER(SEARCH("Rania Contracting",M73)),"Supplier",
        ISNUMBER(SEARCH("Sahab United Motors",M73)),"Supplier",
        ISNUMBER(SEARCH("Saudi Electric Company",M73)),"Utility Provider",
        ISNUMBER(SEARCH("Saudi Vetonit",M73)),"Supplier",
        ISNUMBER(SEARCH("Shomoul Eng",M73)),"Service Provider",
        ISNUMBER(SEARCH("STC",M73)),"Utility Provider",
        ISNUMBER(SEARCH("The General Organization for Social Insurance",M73)),"Social Insurance Agency",
        ISNUMBER(SEARCH("TUV Rheinland",M73)),"Service Provider",
        ISNUMBER(SEARCH("Al Arabia Ceramic",M73)),"Supplier",
        ISNUMBER(SEARCH("National Company for Building",M73)),"Customer",
        ISNUMBER(SEARCH("Athraa Holding",M73)),"Customer",
        ISNUMBER(SEARCH("Al Rasan",M73)),"Supplier",
        ISNUMBER(SEARCH("Raboua Al Haid",M73)),"Customer",
        ISNUMBER(SEARCH("Al Jazeera Paint",M73)),"Supplier",
        ISNUMBER(SEARCH("Rania Works Contracting",M73)),"Supplier",
        ISNUMBER(SEARCH("Bandar Jarallah",M73)),"Supplier",
        TRUE,"Supplier"
    ),
    "-"
)</f>
        <v>Service Provider</v>
      </c>
      <c r="AD73" s="25" t="str" cm="1">
        <f t="array" ref="AD73">_xlfn.IFNA(
    _xlfn.IFS(
        AC73="Same Company","High",
        AC73="Shareholder","High",
        AC73="Government","High",
        AC73="Bank","High",
        AC73="Lender","High",
        AC73="Unknown","Low",
        AC73="-","Low",
        TRUE,"Medium"
    ),
    "-"
)</f>
        <v>Medium</v>
      </c>
      <c r="AE73" s="25" t="str">
        <f t="shared" si="6"/>
        <v>-</v>
      </c>
      <c r="AF73" s="25" t="str" cm="1">
        <f t="array" ref="AF73">_xlfn.IFNA(
    _xlfn.IFS(
        K73="Credit",
            _xlfn.IFS(
                OR(ISNUMBER(SEARCH("Rejected",L73)),ISNUMBER(SEARCH("Returned",L73))),"Other Income",
                TRUE,"Revenue"
            ),
        K73="Debit",
            _xlfn.IFS(
                ISNUMBER(SEARCH("Payroll",L73)),"OPEX",
                ISNUMBER(SEARCH("Expatriate",L73)),"OPEX",
                ISNUMBER(SEARCH("Zakat",M73)),"ZATCA",
                ISNUMBER(SEARCH("General Organization for Social Insurance",M73)),"OPEX",
                ISNUMBER(SEARCH("Saudi Electric",M73)),"OPEX",
                ISNUMBER(SEARCH("STC",M73)),"OPEX",
                ISNUMBER(SEARCH("National Water",M73)),"OPEX",
                ISNUMBER(SEARCH("Bupa",M73)),"OPEX",
                ISNUMBER(SEARCH("Abdullah Abdulkarim",M73)),"OPEX",
                ISNUMBER(SEARCH("Abdullah Fahad",M73)),"OPEX",
                ISNUMBER(SEARCH("ISO Arabia",M73)),"OPEX",
                ISNUMBER(SEARCH("Gulf Voyager",M73)),"OPEX",
                ISNUMBER(SEARCH("Ministry",M73)),"OPEX",
                ISNUMBER(SEARCH("General Authority of Zakat",M73)),"ZATCA",
                ISNUMBER(SEARCH("Rejected",L73)),"Other Income",
                TRUE,"COGS"
            ),
        TRUE,"-"
    ),
    "-"
)</f>
        <v>COGS</v>
      </c>
      <c r="AG73" s="25" t="str" cm="1">
        <f t="array" ref="AG73">_xlfn.IFNA(
    _xlfn.IFS(
        ISNUMBER(SEARCH("Payroll",L73)),"Payroll",
        ISNUMBER(SEARCH("Expatriate",L73)),"Government Fees",
        ISNUMBER(SEARCH("Zakat",M73)),"Zakat",
        ISNUMBER(SEARCH("Social Insurance",M73)),"Social Insurance",
        ISNUMBER(SEARCH("Saudi Electric",M73)),"Electricity",
        ISNUMBER(SEARCH("STC",M73)),"Telecom",
        ISNUMBER(SEARCH("National Water",M73)),"Water",
        ISNUMBER(SEARCH("Bupa",M73)),"Insurance",
        ISNUMBER(SEARCH("Gulf Voyager",M73)),"Travel",
        ISNUMBER(SEARCH("Ministry",M73)),"Government Fees",
        ISNUMBER(SEARCH("Abdullah Abdulkarim",M73)),"Consulting",
        ISNUMBER(SEARCH("Abdullah Fahad",M73)),"Accounting",
        ISNUMBER(SEARCH("ISO Arabia",M73)),"Consulting",
        ISNUMBER(SEARCH("Rejected",L73)),"Refund",
        AF73="COGS","Inventory Purchase",
        AF73="Revenue","Revenue",
        AF73="OPEX","Other",
        AF73="ZATCA","Zakat",
        TRUE,"-"
    ),
    "-"
)</f>
        <v>Inventory Purchase</v>
      </c>
      <c r="AH73" s="25" t="str" cm="1">
        <f t="array" ref="AH73">_xlfn.IFNA(
    _xlfn.IFS(
        AF73="-","Low",
        AF73="Other","Low",
        TRUE,"Medium"
    ),
    "-"
)</f>
        <v>Medium</v>
      </c>
      <c r="AI73" s="25" t="str">
        <f t="shared" si="7"/>
        <v>-</v>
      </c>
    </row>
    <row r="74" spans="1:35" x14ac:dyDescent="0.25">
      <c r="A74" s="10">
        <v>4</v>
      </c>
      <c r="B74" s="10" t="s">
        <v>35</v>
      </c>
      <c r="C74" s="10" t="s">
        <v>36</v>
      </c>
      <c r="D74" s="10" t="s">
        <v>37</v>
      </c>
      <c r="E74" s="10" t="s">
        <v>38</v>
      </c>
      <c r="F74" s="11" t="s">
        <v>39</v>
      </c>
      <c r="G74" s="11" t="s">
        <v>40</v>
      </c>
      <c r="H74" s="12">
        <v>44999</v>
      </c>
      <c r="I74" s="20">
        <v>34681.29</v>
      </c>
      <c r="J74" s="20">
        <v>2123.38</v>
      </c>
      <c r="K74" s="10" t="s">
        <v>41</v>
      </c>
      <c r="L74" s="9" t="s">
        <v>155</v>
      </c>
      <c r="M74" s="9" t="s">
        <v>156</v>
      </c>
      <c r="N74" s="9">
        <v>132705666</v>
      </c>
      <c r="O74" s="9" t="s">
        <v>44</v>
      </c>
      <c r="P74" s="15">
        <v>44999</v>
      </c>
      <c r="Q74" s="9" t="s">
        <v>158</v>
      </c>
      <c r="R74" s="16">
        <v>2123.38</v>
      </c>
      <c r="U74" s="9" t="s">
        <v>46</v>
      </c>
      <c r="V74" s="24" t="str" cm="1">
        <f t="array" ref="V74">_xlfn.IFNA(
    _xlfn.IFS(
        ISNUMBER(SEARCH("Fast Outgoing Transfer",L74)),"Transfer",
        ISNUMBER(SEARCH("Incoming Fast Transfer",L74)),"Transfer",
        ISNUMBER(SEARCH("Outgoing International Transfer",L74)),"Transfer",
        ISNUMBER(SEARCH("Bill Payment",L74)),"SADAD",
        ISNUMBER(SEARCH("Payroll",L74)),"Payroll",
        ISNUMBER(SEARCH("Cash Deposit",L74)),"Cash",
        ISNUMBER(SEARCH("Internal Transfer",L74)),"Transfer",
        ISNUMBER(SEARCH("Expatriate Services Payment",L74)),"SADAD",
        ISNUMBER(SEARCH("Rejected",L74)),"Transfer"
    ),
    "-"
)</f>
        <v>SADAD</v>
      </c>
      <c r="W74" s="25" t="str" cm="1">
        <f t="array" ref="W74">_xlfn.IFNA(
    _xlfn.IFS(
        AND(V74="Transfer",ISNUMBER(SEARCH("RIYAD BANK",L74))),"External FI",
        AND(V74="Transfer",ISNUMBER(SEARCH("Al Ahli",L74))),"External FI",
        AND(V74="Transfer",ISNUMBER(SEARCH("CIB via",L74))),"Local Transfer",
        AND(V74="Transfer",ISNUMBER(SEARCH("CIB)",L74))),"Local Transfer",
        AND(V74="Transfer",ISNUMBER(SEARCH("SMRT",L74))),"Local Transfer",
        AND(V74="Transfer",ISNUMBER(SEARCH("Al Murabba",L74))),"Local Transfer",
        AND(V74="Transfer",ISNUMBER(SEARCH("Internal Transfer",L74))),"Same FI",
        AND(V74="Transfer",ISNUMBER(SEARCH("Rejected",L74))),"Failed",
        V74="SADAD",
            _xlfn.IFS(
                ISNUMBER(SEARCH("Expatriate",L74)),"Expat Fees",
                TRUE,"Online Payment"
            ),
        V74="Payroll","Payroll",
        V74="Cash","Deposit",
        TRUE,"-"
    ),
    "-"
)</f>
        <v>Online Payment</v>
      </c>
      <c r="X74" s="25" t="str" cm="1">
        <f t="array" ref="X74">_xlfn.IFNA(
    _xlfn.IFS(
        V74="-","Low",
        W74="-","Low",
        TRUE,"High"
    ),
    "-"
)</f>
        <v>High</v>
      </c>
      <c r="Y74" s="25" t="str">
        <f t="shared" si="4"/>
        <v>-</v>
      </c>
      <c r="Z74" s="25" t="str" cm="1">
        <f t="array" ref="Z74">_xlfn.IFNA(
    _xlfn.IFS(
        ISNUMBER(SEARCH("Abdul Latif Jameel",M74)),"Lender",
        ISNUMBER(SEARCH("Abdullah Abdulkarim Al Sudais",M74)),"Accounting",
        ISNUMBER(SEARCH("Abdullah Fahad for Accounting",M74)),"Accounting",
        ISNUMBER(SEARCH("Abdullah Rashid Shaikh",M74)),"Shareholder",
        ISNUMBER(SEARCH("Advanced Equipments",M74)),"Equipment Rental",
        ISNUMBER(SEARCH("Al Banuk Sana",M74)),"Telecom Company",
        ISNUMBER(SEARCH("Al Khaleefa Factory",M74)),"Manufacturer",
        ISNUMBER(SEARCH("Al Saadeh Trading",M74)),"Trading Company",
        ISNUMBER(SEARCH("Al Zaehaan",M74)),"Trading Company",
        ISNUMBER(SEARCH("Ali Abdullah K Al Darwish",M74)),"Airlines",
        ISNUMBER(SEARCH("Bupa Arabia",M74)),"Health Insurance",
        ISNUMBER(SEARCH("Dar Fahoosaat",M74)),"Consultant",
        ISNUMBER(SEARCH("General Authority of Zakat",M74)),"Tax Collection",
        ISNUMBER(SEARCH("Gulf Voyager",M74)),"Travel Agency",
        ISNUMBER(SEARCH("Hopeway Trading",M74)),"Trading Company",
        ISNUMBER(SEARCH("Interhealth Medical",M74)),"Medical Services",
        ISNUMBER(SEARCH("Ishaar",M74)),"Online Payment Service",
        ISNUMBER(SEARCH("ISO Arabia",M74)),"Certification",
        ISNUMBER(SEARCH("Khalid Saad Al Otaibi",M74)),"Trading Company",
        ISNUMBER(SEARCH("MERAS for Decoration",M74)),"Decor Company",
        ISNUMBER(SEARCH("Middle East Customs Clearance",M74)),"Customs",
        ISNUMBER(SEARCH("Ministry of Human Resources",M74)),"Government",
        ISNUMBER(SEARCH("My Business Services",M74)),"Service Provider",
        ISNUMBER(SEARCH("National Water Company",M74)),"Water Company",
        ISNUMBER(SEARCH("Rania Contracting",M74)),"Contracting",
        ISNUMBER(SEARCH("Rashid Ali Sheikh",M74)),"Shareholder",
        ISNUMBER(SEARCH("Sahab United Motors",M74)),"Car Show Room",
        ISNUMBER(SEARCH("Saud Mohammed Al Tamimi",M74)),"Shareholder",
        ISNUMBER(SEARCH("Saud Mohammed Tamimi",M74)),"Shareholder",
        ISNUMBER(SEARCH("Saudi Electric Company",M74)),"Electricity Company",
        ISNUMBER(SEARCH("Saudi Vetonit",M74)),"Building Materials",
        ISNUMBER(SEARCH("Shomoul Eng",M74)),"Safety",
        ISNUMBER(SEARCH("STC",M74)),"Telecom Company",
        ISNUMBER(SEARCH("The General Organization for Social Insurance",M74)),"Social Insurance Agency",
        ISNUMBER(SEARCH("TUV Rheinland",M74)),"Certification",
        ISNUMBER(SEARCH("Al Arabia Ceramic",M74)),"Building Materials",
        ISNUMBER(SEARCH("National Company for Building and Marketing",M74)),"Parent Company",
        ISNUMBER(SEARCH("Athraa Holding",M74)),"Holding Company",
        ISNUMBER(SEARCH("Al Rasan",M74)),"Contracting",
        ISNUMBER(SEARCH("Raboua Al Haid",M74)),"Trading Company",
        ISNUMBER(SEARCH("Al Jazeera Paint",M74)),"Manufacturer",
        ISNUMBER(SEARCH("Rania Works Contracting",M74)),"Contracting",
        ISNUMBER(SEARCH("Bandar Jarallah",M74)),"Trading Establishment",
        ISNUMBER(SEARCH("RS Infratec Saudi",M74)),"Same Company",
        ISNUMBER(SEARCH("Payroll",M74)),"Bank",
        ISNUMBER(SEARCH("Expatriate",M74)),"Government",
        ISNUMBER(SEARCH("Unknown Sender",M74)),"Unknown",
        TRUE,"Unknown"
    ),
    "-"
)</f>
        <v>Service Provider</v>
      </c>
      <c r="AA74" s="25" t="str" cm="1">
        <f t="array" ref="AA74">_xlfn.IFNA(
    _xlfn.IFS(
        Z74="Lender","Financing",
        Z74="Accounting","Accounting",
        Z74="Shareholder","Individual",
        Z74="Equipment Rental","Equipment Rental",
        Z74="Telecom Company","Telecom",
        Z74="Manufacturer","Manufacturer",
        Z74="Trading Company","Trading And Transport",
        Z74="Trading Establishment","Trading",
        Z74="Airlines","Airlines",
        Z74="Health Insurance","Insurance",
        Z74="Consultant","Consultant",
        Z74="Tax Collection","Government",
        Z74="Travel Agency","Travel Agency",
        Z74="Medical Services","Medical Center",
        Z74="Online Payment Service","Payment Facilitator",
        Z74="Certification","Safety",
        Z74="Decor Company","Design",
        Z74="Customs","Customs",
        Z74="Government","Government",
        Z74="Service Provider","Service Provider",
        Z74="Water Company","Water Company",
        Z74="Contracting","Contracting",
        Z74="Car Show Room","Car Trader",
        Z74="Electricity Company","Electricity Company",
        Z74="Building Materials","Building Materials",
        Z74="Safety","Safety",
        Z74="Social Insurance Agency","Government Fund",
        Z74="Parent Company","Holding Company",
        Z74="Holding Company","Holding Company",
        Z74="Same Company","Construction",
        Z74="Bank","Bank",
        Z74="Unknown","Unknown",
        TRUE,"-"
    ),
    "-"
)</f>
        <v>Service Provider</v>
      </c>
      <c r="AB74" s="25" t="str">
        <f t="shared" si="5"/>
        <v>-</v>
      </c>
      <c r="AC74" s="25" t="str" cm="1">
        <f t="array" ref="AC74">_xlfn.IFNA(
    _xlfn.IFS(
        Z74="Shareholder","Shareholder",
        Z74="Same Company","Same Company",
        Z74="Bank","Bank",
        Z74="Government","Government",
        Z74="Social Insurance Agency","Government",
        Z74="Parent Company","Customer",
        Z74="Lender","Lender",
        Z74="Unknown","Unknown",
        ISNUMBER(SEARCH("Abdullah Abdulkarim",M74)),"Service Provider",
        ISNUMBER(SEARCH("Abdullah Fahad",M74)),"Service Provider",
        ISNUMBER(SEARCH("Advanced Equipments",M74)),"Supplier",
        ISNUMBER(SEARCH("Al Banuk Sana",M74)),"Supplier",
        ISNUMBER(SEARCH("Al Khaleefa Factory",M74)),"Supplier",
        ISNUMBER(SEARCH("Al Saadeh Trading",M74)),"Supplier",
        ISNUMBER(SEARCH("Al Zaehaan",M74)),"Supplier",
        ISNUMBER(SEARCH("Ali Abdullah K Al Darwish",M74)),"Service Provider",
        ISNUMBER(SEARCH("Bupa Arabia",M74)),"Insurance Company",
        ISNUMBER(SEARCH("Dar Fahoosaat",M74)),"Service Provider",
        ISNUMBER(SEARCH("General Authority of Zakat",M74)),"Tax Authority",
        ISNUMBER(SEARCH("Gulf Voyager",M74)),"Service Provider",
        ISNUMBER(SEARCH("Hopeway Trading",M74)),"Supplier",
        ISNUMBER(SEARCH("Interhealth Medical",M74)),"Customer",
        ISNUMBER(SEARCH("Ishaar",M74)),"Service Provider",
        ISNUMBER(SEARCH("ISO Arabia",M74)),"Service Provider",
        ISNUMBER(SEARCH("Khalid Saad Al Otaibi",M74)),"Supplier",
        ISNUMBER(SEARCH("MERAS for Decoration",M74)),"Supplier",
        ISNUMBER(SEARCH("Middle East Customs Clearance",M74)),"Service Provider",
        ISNUMBER(SEARCH("Ministry of Human Resources",M74)),"Regulatory Agency",
        ISNUMBER(SEARCH("My Business Services",M74)),"Service Provider",
        ISNUMBER(SEARCH("National Water Company",M74)),"Utility Provider",
        ISNUMBER(SEARCH("Rania Contracting",M74)),"Supplier",
        ISNUMBER(SEARCH("Sahab United Motors",M74)),"Supplier",
        ISNUMBER(SEARCH("Saudi Electric Company",M74)),"Utility Provider",
        ISNUMBER(SEARCH("Saudi Vetonit",M74)),"Supplier",
        ISNUMBER(SEARCH("Shomoul Eng",M74)),"Service Provider",
        ISNUMBER(SEARCH("STC",M74)),"Utility Provider",
        ISNUMBER(SEARCH("The General Organization for Social Insurance",M74)),"Social Insurance Agency",
        ISNUMBER(SEARCH("TUV Rheinland",M74)),"Service Provider",
        ISNUMBER(SEARCH("Al Arabia Ceramic",M74)),"Supplier",
        ISNUMBER(SEARCH("National Company for Building",M74)),"Customer",
        ISNUMBER(SEARCH("Athraa Holding",M74)),"Customer",
        ISNUMBER(SEARCH("Al Rasan",M74)),"Supplier",
        ISNUMBER(SEARCH("Raboua Al Haid",M74)),"Customer",
        ISNUMBER(SEARCH("Al Jazeera Paint",M74)),"Supplier",
        ISNUMBER(SEARCH("Rania Works Contracting",M74)),"Supplier",
        ISNUMBER(SEARCH("Bandar Jarallah",M74)),"Supplier",
        TRUE,"Supplier"
    ),
    "-"
)</f>
        <v>Service Provider</v>
      </c>
      <c r="AD74" s="25" t="str" cm="1">
        <f t="array" ref="AD74">_xlfn.IFNA(
    _xlfn.IFS(
        AC74="Same Company","High",
        AC74="Shareholder","High",
        AC74="Government","High",
        AC74="Bank","High",
        AC74="Lender","High",
        AC74="Unknown","Low",
        AC74="-","Low",
        TRUE,"Medium"
    ),
    "-"
)</f>
        <v>Medium</v>
      </c>
      <c r="AE74" s="25" t="str">
        <f t="shared" si="6"/>
        <v>-</v>
      </c>
      <c r="AF74" s="25" t="str" cm="1">
        <f t="array" ref="AF74">_xlfn.IFNA(
    _xlfn.IFS(
        K74="Credit",
            _xlfn.IFS(
                OR(ISNUMBER(SEARCH("Rejected",L74)),ISNUMBER(SEARCH("Returned",L74))),"Other Income",
                TRUE,"Revenue"
            ),
        K74="Debit",
            _xlfn.IFS(
                ISNUMBER(SEARCH("Payroll",L74)),"OPEX",
                ISNUMBER(SEARCH("Expatriate",L74)),"OPEX",
                ISNUMBER(SEARCH("Zakat",M74)),"ZATCA",
                ISNUMBER(SEARCH("General Organization for Social Insurance",M74)),"OPEX",
                ISNUMBER(SEARCH("Saudi Electric",M74)),"OPEX",
                ISNUMBER(SEARCH("STC",M74)),"OPEX",
                ISNUMBER(SEARCH("National Water",M74)),"OPEX",
                ISNUMBER(SEARCH("Bupa",M74)),"OPEX",
                ISNUMBER(SEARCH("Abdullah Abdulkarim",M74)),"OPEX",
                ISNUMBER(SEARCH("Abdullah Fahad",M74)),"OPEX",
                ISNUMBER(SEARCH("ISO Arabia",M74)),"OPEX",
                ISNUMBER(SEARCH("Gulf Voyager",M74)),"OPEX",
                ISNUMBER(SEARCH("Ministry",M74)),"OPEX",
                ISNUMBER(SEARCH("General Authority of Zakat",M74)),"ZATCA",
                ISNUMBER(SEARCH("Rejected",L74)),"Other Income",
                TRUE,"COGS"
            ),
        TRUE,"-"
    ),
    "-"
)</f>
        <v>COGS</v>
      </c>
      <c r="AG74" s="25" t="str" cm="1">
        <f t="array" ref="AG74">_xlfn.IFNA(
    _xlfn.IFS(
        ISNUMBER(SEARCH("Payroll",L74)),"Payroll",
        ISNUMBER(SEARCH("Expatriate",L74)),"Government Fees",
        ISNUMBER(SEARCH("Zakat",M74)),"Zakat",
        ISNUMBER(SEARCH("Social Insurance",M74)),"Social Insurance",
        ISNUMBER(SEARCH("Saudi Electric",M74)),"Electricity",
        ISNUMBER(SEARCH("STC",M74)),"Telecom",
        ISNUMBER(SEARCH("National Water",M74)),"Water",
        ISNUMBER(SEARCH("Bupa",M74)),"Insurance",
        ISNUMBER(SEARCH("Gulf Voyager",M74)),"Travel",
        ISNUMBER(SEARCH("Ministry",M74)),"Government Fees",
        ISNUMBER(SEARCH("Abdullah Abdulkarim",M74)),"Consulting",
        ISNUMBER(SEARCH("Abdullah Fahad",M74)),"Accounting",
        ISNUMBER(SEARCH("ISO Arabia",M74)),"Consulting",
        ISNUMBER(SEARCH("Rejected",L74)),"Refund",
        AF74="COGS","Inventory Purchase",
        AF74="Revenue","Revenue",
        AF74="OPEX","Other",
        AF74="ZATCA","Zakat",
        TRUE,"-"
    ),
    "-"
)</f>
        <v>Inventory Purchase</v>
      </c>
      <c r="AH74" s="25" t="str" cm="1">
        <f t="array" ref="AH74">_xlfn.IFNA(
    _xlfn.IFS(
        AF74="-","Low",
        AF74="Other","Low",
        TRUE,"Medium"
    ),
    "-"
)</f>
        <v>Medium</v>
      </c>
      <c r="AI74" s="25" t="str">
        <f t="shared" si="7"/>
        <v>-</v>
      </c>
    </row>
    <row r="75" spans="1:35" x14ac:dyDescent="0.25">
      <c r="A75" s="10">
        <v>4</v>
      </c>
      <c r="B75" s="10" t="s">
        <v>35</v>
      </c>
      <c r="C75" s="10" t="s">
        <v>36</v>
      </c>
      <c r="D75" s="10" t="s">
        <v>37</v>
      </c>
      <c r="E75" s="10" t="s">
        <v>38</v>
      </c>
      <c r="F75" s="11" t="s">
        <v>39</v>
      </c>
      <c r="G75" s="10" t="s">
        <v>40</v>
      </c>
      <c r="H75" s="12">
        <v>45011</v>
      </c>
      <c r="I75" s="20">
        <v>81220.41</v>
      </c>
      <c r="J75" s="20">
        <v>402.5</v>
      </c>
      <c r="K75" s="10" t="s">
        <v>41</v>
      </c>
      <c r="L75" s="9" t="s">
        <v>155</v>
      </c>
      <c r="M75" s="9" t="s">
        <v>156</v>
      </c>
      <c r="N75" s="9">
        <v>133221424</v>
      </c>
      <c r="O75" s="9" t="s">
        <v>44</v>
      </c>
      <c r="P75" s="15">
        <v>45011</v>
      </c>
      <c r="Q75" s="9" t="s">
        <v>159</v>
      </c>
      <c r="R75" s="16">
        <v>402.5</v>
      </c>
      <c r="U75" s="9" t="s">
        <v>46</v>
      </c>
      <c r="V75" s="24" t="str" cm="1">
        <f t="array" ref="V75">_xlfn.IFNA(
    _xlfn.IFS(
        ISNUMBER(SEARCH("Fast Outgoing Transfer",L75)),"Transfer",
        ISNUMBER(SEARCH("Incoming Fast Transfer",L75)),"Transfer",
        ISNUMBER(SEARCH("Outgoing International Transfer",L75)),"Transfer",
        ISNUMBER(SEARCH("Bill Payment",L75)),"SADAD",
        ISNUMBER(SEARCH("Payroll",L75)),"Payroll",
        ISNUMBER(SEARCH("Cash Deposit",L75)),"Cash",
        ISNUMBER(SEARCH("Internal Transfer",L75)),"Transfer",
        ISNUMBER(SEARCH("Expatriate Services Payment",L75)),"SADAD",
        ISNUMBER(SEARCH("Rejected",L75)),"Transfer"
    ),
    "-"
)</f>
        <v>SADAD</v>
      </c>
      <c r="W75" s="25" t="str" cm="1">
        <f t="array" ref="W75">_xlfn.IFNA(
    _xlfn.IFS(
        AND(V75="Transfer",ISNUMBER(SEARCH("RIYAD BANK",L75))),"External FI",
        AND(V75="Transfer",ISNUMBER(SEARCH("Al Ahli",L75))),"External FI",
        AND(V75="Transfer",ISNUMBER(SEARCH("CIB via",L75))),"Local Transfer",
        AND(V75="Transfer",ISNUMBER(SEARCH("CIB)",L75))),"Local Transfer",
        AND(V75="Transfer",ISNUMBER(SEARCH("SMRT",L75))),"Local Transfer",
        AND(V75="Transfer",ISNUMBER(SEARCH("Al Murabba",L75))),"Local Transfer",
        AND(V75="Transfer",ISNUMBER(SEARCH("Internal Transfer",L75))),"Same FI",
        AND(V75="Transfer",ISNUMBER(SEARCH("Rejected",L75))),"Failed",
        V75="SADAD",
            _xlfn.IFS(
                ISNUMBER(SEARCH("Expatriate",L75)),"Expat Fees",
                TRUE,"Online Payment"
            ),
        V75="Payroll","Payroll",
        V75="Cash","Deposit",
        TRUE,"-"
    ),
    "-"
)</f>
        <v>Online Payment</v>
      </c>
      <c r="X75" s="25" t="str" cm="1">
        <f t="array" ref="X75">_xlfn.IFNA(
    _xlfn.IFS(
        V75="-","Low",
        W75="-","Low",
        TRUE,"High"
    ),
    "-"
)</f>
        <v>High</v>
      </c>
      <c r="Y75" s="25" t="str">
        <f t="shared" si="4"/>
        <v>-</v>
      </c>
      <c r="Z75" s="25" t="str" cm="1">
        <f t="array" ref="Z75">_xlfn.IFNA(
    _xlfn.IFS(
        ISNUMBER(SEARCH("Abdul Latif Jameel",M75)),"Lender",
        ISNUMBER(SEARCH("Abdullah Abdulkarim Al Sudais",M75)),"Accounting",
        ISNUMBER(SEARCH("Abdullah Fahad for Accounting",M75)),"Accounting",
        ISNUMBER(SEARCH("Abdullah Rashid Shaikh",M75)),"Shareholder",
        ISNUMBER(SEARCH("Advanced Equipments",M75)),"Equipment Rental",
        ISNUMBER(SEARCH("Al Banuk Sana",M75)),"Telecom Company",
        ISNUMBER(SEARCH("Al Khaleefa Factory",M75)),"Manufacturer",
        ISNUMBER(SEARCH("Al Saadeh Trading",M75)),"Trading Company",
        ISNUMBER(SEARCH("Al Zaehaan",M75)),"Trading Company",
        ISNUMBER(SEARCH("Ali Abdullah K Al Darwish",M75)),"Airlines",
        ISNUMBER(SEARCH("Bupa Arabia",M75)),"Health Insurance",
        ISNUMBER(SEARCH("Dar Fahoosaat",M75)),"Consultant",
        ISNUMBER(SEARCH("General Authority of Zakat",M75)),"Tax Collection",
        ISNUMBER(SEARCH("Gulf Voyager",M75)),"Travel Agency",
        ISNUMBER(SEARCH("Hopeway Trading",M75)),"Trading Company",
        ISNUMBER(SEARCH("Interhealth Medical",M75)),"Medical Services",
        ISNUMBER(SEARCH("Ishaar",M75)),"Online Payment Service",
        ISNUMBER(SEARCH("ISO Arabia",M75)),"Certification",
        ISNUMBER(SEARCH("Khalid Saad Al Otaibi",M75)),"Trading Company",
        ISNUMBER(SEARCH("MERAS for Decoration",M75)),"Decor Company",
        ISNUMBER(SEARCH("Middle East Customs Clearance",M75)),"Customs",
        ISNUMBER(SEARCH("Ministry of Human Resources",M75)),"Government",
        ISNUMBER(SEARCH("My Business Services",M75)),"Service Provider",
        ISNUMBER(SEARCH("National Water Company",M75)),"Water Company",
        ISNUMBER(SEARCH("Rania Contracting",M75)),"Contracting",
        ISNUMBER(SEARCH("Rashid Ali Sheikh",M75)),"Shareholder",
        ISNUMBER(SEARCH("Sahab United Motors",M75)),"Car Show Room",
        ISNUMBER(SEARCH("Saud Mohammed Al Tamimi",M75)),"Shareholder",
        ISNUMBER(SEARCH("Saud Mohammed Tamimi",M75)),"Shareholder",
        ISNUMBER(SEARCH("Saudi Electric Company",M75)),"Electricity Company",
        ISNUMBER(SEARCH("Saudi Vetonit",M75)),"Building Materials",
        ISNUMBER(SEARCH("Shomoul Eng",M75)),"Safety",
        ISNUMBER(SEARCH("STC",M75)),"Telecom Company",
        ISNUMBER(SEARCH("The General Organization for Social Insurance",M75)),"Social Insurance Agency",
        ISNUMBER(SEARCH("TUV Rheinland",M75)),"Certification",
        ISNUMBER(SEARCH("Al Arabia Ceramic",M75)),"Building Materials",
        ISNUMBER(SEARCH("National Company for Building and Marketing",M75)),"Parent Company",
        ISNUMBER(SEARCH("Athraa Holding",M75)),"Holding Company",
        ISNUMBER(SEARCH("Al Rasan",M75)),"Contracting",
        ISNUMBER(SEARCH("Raboua Al Haid",M75)),"Trading Company",
        ISNUMBER(SEARCH("Al Jazeera Paint",M75)),"Manufacturer",
        ISNUMBER(SEARCH("Rania Works Contracting",M75)),"Contracting",
        ISNUMBER(SEARCH("Bandar Jarallah",M75)),"Trading Establishment",
        ISNUMBER(SEARCH("RS Infratec Saudi",M75)),"Same Company",
        ISNUMBER(SEARCH("Payroll",M75)),"Bank",
        ISNUMBER(SEARCH("Expatriate",M75)),"Government",
        ISNUMBER(SEARCH("Unknown Sender",M75)),"Unknown",
        TRUE,"Unknown"
    ),
    "-"
)</f>
        <v>Service Provider</v>
      </c>
      <c r="AA75" s="25" t="str" cm="1">
        <f t="array" ref="AA75">_xlfn.IFNA(
    _xlfn.IFS(
        Z75="Lender","Financing",
        Z75="Accounting","Accounting",
        Z75="Shareholder","Individual",
        Z75="Equipment Rental","Equipment Rental",
        Z75="Telecom Company","Telecom",
        Z75="Manufacturer","Manufacturer",
        Z75="Trading Company","Trading And Transport",
        Z75="Trading Establishment","Trading",
        Z75="Airlines","Airlines",
        Z75="Health Insurance","Insurance",
        Z75="Consultant","Consultant",
        Z75="Tax Collection","Government",
        Z75="Travel Agency","Travel Agency",
        Z75="Medical Services","Medical Center",
        Z75="Online Payment Service","Payment Facilitator",
        Z75="Certification","Safety",
        Z75="Decor Company","Design",
        Z75="Customs","Customs",
        Z75="Government","Government",
        Z75="Service Provider","Service Provider",
        Z75="Water Company","Water Company",
        Z75="Contracting","Contracting",
        Z75="Car Show Room","Car Trader",
        Z75="Electricity Company","Electricity Company",
        Z75="Building Materials","Building Materials",
        Z75="Safety","Safety",
        Z75="Social Insurance Agency","Government Fund",
        Z75="Parent Company","Holding Company",
        Z75="Holding Company","Holding Company",
        Z75="Same Company","Construction",
        Z75="Bank","Bank",
        Z75="Unknown","Unknown",
        TRUE,"-"
    ),
    "-"
)</f>
        <v>Service Provider</v>
      </c>
      <c r="AB75" s="25" t="str">
        <f t="shared" si="5"/>
        <v>-</v>
      </c>
      <c r="AC75" s="25" t="str" cm="1">
        <f t="array" ref="AC75">_xlfn.IFNA(
    _xlfn.IFS(
        Z75="Shareholder","Shareholder",
        Z75="Same Company","Same Company",
        Z75="Bank","Bank",
        Z75="Government","Government",
        Z75="Social Insurance Agency","Government",
        Z75="Parent Company","Customer",
        Z75="Lender","Lender",
        Z75="Unknown","Unknown",
        ISNUMBER(SEARCH("Abdullah Abdulkarim",M75)),"Service Provider",
        ISNUMBER(SEARCH("Abdullah Fahad",M75)),"Service Provider",
        ISNUMBER(SEARCH("Advanced Equipments",M75)),"Supplier",
        ISNUMBER(SEARCH("Al Banuk Sana",M75)),"Supplier",
        ISNUMBER(SEARCH("Al Khaleefa Factory",M75)),"Supplier",
        ISNUMBER(SEARCH("Al Saadeh Trading",M75)),"Supplier",
        ISNUMBER(SEARCH("Al Zaehaan",M75)),"Supplier",
        ISNUMBER(SEARCH("Ali Abdullah K Al Darwish",M75)),"Service Provider",
        ISNUMBER(SEARCH("Bupa Arabia",M75)),"Insurance Company",
        ISNUMBER(SEARCH("Dar Fahoosaat",M75)),"Service Provider",
        ISNUMBER(SEARCH("General Authority of Zakat",M75)),"Tax Authority",
        ISNUMBER(SEARCH("Gulf Voyager",M75)),"Service Provider",
        ISNUMBER(SEARCH("Hopeway Trading",M75)),"Supplier",
        ISNUMBER(SEARCH("Interhealth Medical",M75)),"Customer",
        ISNUMBER(SEARCH("Ishaar",M75)),"Service Provider",
        ISNUMBER(SEARCH("ISO Arabia",M75)),"Service Provider",
        ISNUMBER(SEARCH("Khalid Saad Al Otaibi",M75)),"Supplier",
        ISNUMBER(SEARCH("MERAS for Decoration",M75)),"Supplier",
        ISNUMBER(SEARCH("Middle East Customs Clearance",M75)),"Service Provider",
        ISNUMBER(SEARCH("Ministry of Human Resources",M75)),"Regulatory Agency",
        ISNUMBER(SEARCH("My Business Services",M75)),"Service Provider",
        ISNUMBER(SEARCH("National Water Company",M75)),"Utility Provider",
        ISNUMBER(SEARCH("Rania Contracting",M75)),"Supplier",
        ISNUMBER(SEARCH("Sahab United Motors",M75)),"Supplier",
        ISNUMBER(SEARCH("Saudi Electric Company",M75)),"Utility Provider",
        ISNUMBER(SEARCH("Saudi Vetonit",M75)),"Supplier",
        ISNUMBER(SEARCH("Shomoul Eng",M75)),"Service Provider",
        ISNUMBER(SEARCH("STC",M75)),"Utility Provider",
        ISNUMBER(SEARCH("The General Organization for Social Insurance",M75)),"Social Insurance Agency",
        ISNUMBER(SEARCH("TUV Rheinland",M75)),"Service Provider",
        ISNUMBER(SEARCH("Al Arabia Ceramic",M75)),"Supplier",
        ISNUMBER(SEARCH("National Company for Building",M75)),"Customer",
        ISNUMBER(SEARCH("Athraa Holding",M75)),"Customer",
        ISNUMBER(SEARCH("Al Rasan",M75)),"Supplier",
        ISNUMBER(SEARCH("Raboua Al Haid",M75)),"Customer",
        ISNUMBER(SEARCH("Al Jazeera Paint",M75)),"Supplier",
        ISNUMBER(SEARCH("Rania Works Contracting",M75)),"Supplier",
        ISNUMBER(SEARCH("Bandar Jarallah",M75)),"Supplier",
        TRUE,"Supplier"
    ),
    "-"
)</f>
        <v>Service Provider</v>
      </c>
      <c r="AD75" s="25" t="str" cm="1">
        <f t="array" ref="AD75">_xlfn.IFNA(
    _xlfn.IFS(
        AC75="Same Company","High",
        AC75="Shareholder","High",
        AC75="Government","High",
        AC75="Bank","High",
        AC75="Lender","High",
        AC75="Unknown","Low",
        AC75="-","Low",
        TRUE,"Medium"
    ),
    "-"
)</f>
        <v>Medium</v>
      </c>
      <c r="AE75" s="25" t="str">
        <f t="shared" si="6"/>
        <v>-</v>
      </c>
      <c r="AF75" s="25" t="str" cm="1">
        <f t="array" ref="AF75">_xlfn.IFNA(
    _xlfn.IFS(
        K75="Credit",
            _xlfn.IFS(
                OR(ISNUMBER(SEARCH("Rejected",L75)),ISNUMBER(SEARCH("Returned",L75))),"Other Income",
                TRUE,"Revenue"
            ),
        K75="Debit",
            _xlfn.IFS(
                ISNUMBER(SEARCH("Payroll",L75)),"OPEX",
                ISNUMBER(SEARCH("Expatriate",L75)),"OPEX",
                ISNUMBER(SEARCH("Zakat",M75)),"ZATCA",
                ISNUMBER(SEARCH("General Organization for Social Insurance",M75)),"OPEX",
                ISNUMBER(SEARCH("Saudi Electric",M75)),"OPEX",
                ISNUMBER(SEARCH("STC",M75)),"OPEX",
                ISNUMBER(SEARCH("National Water",M75)),"OPEX",
                ISNUMBER(SEARCH("Bupa",M75)),"OPEX",
                ISNUMBER(SEARCH("Abdullah Abdulkarim",M75)),"OPEX",
                ISNUMBER(SEARCH("Abdullah Fahad",M75)),"OPEX",
                ISNUMBER(SEARCH("ISO Arabia",M75)),"OPEX",
                ISNUMBER(SEARCH("Gulf Voyager",M75)),"OPEX",
                ISNUMBER(SEARCH("Ministry",M75)),"OPEX",
                ISNUMBER(SEARCH("General Authority of Zakat",M75)),"ZATCA",
                ISNUMBER(SEARCH("Rejected",L75)),"Other Income",
                TRUE,"COGS"
            ),
        TRUE,"-"
    ),
    "-"
)</f>
        <v>COGS</v>
      </c>
      <c r="AG75" s="25" t="str" cm="1">
        <f t="array" ref="AG75">_xlfn.IFNA(
    _xlfn.IFS(
        ISNUMBER(SEARCH("Payroll",L75)),"Payroll",
        ISNUMBER(SEARCH("Expatriate",L75)),"Government Fees",
        ISNUMBER(SEARCH("Zakat",M75)),"Zakat",
        ISNUMBER(SEARCH("Social Insurance",M75)),"Social Insurance",
        ISNUMBER(SEARCH("Saudi Electric",M75)),"Electricity",
        ISNUMBER(SEARCH("STC",M75)),"Telecom",
        ISNUMBER(SEARCH("National Water",M75)),"Water",
        ISNUMBER(SEARCH("Bupa",M75)),"Insurance",
        ISNUMBER(SEARCH("Gulf Voyager",M75)),"Travel",
        ISNUMBER(SEARCH("Ministry",M75)),"Government Fees",
        ISNUMBER(SEARCH("Abdullah Abdulkarim",M75)),"Consulting",
        ISNUMBER(SEARCH("Abdullah Fahad",M75)),"Accounting",
        ISNUMBER(SEARCH("ISO Arabia",M75)),"Consulting",
        ISNUMBER(SEARCH("Rejected",L75)),"Refund",
        AF75="COGS","Inventory Purchase",
        AF75="Revenue","Revenue",
        AF75="OPEX","Other",
        AF75="ZATCA","Zakat",
        TRUE,"-"
    ),
    "-"
)</f>
        <v>Inventory Purchase</v>
      </c>
      <c r="AH75" s="25" t="str" cm="1">
        <f t="array" ref="AH75">_xlfn.IFNA(
    _xlfn.IFS(
        AF75="-","Low",
        AF75="Other","Low",
        TRUE,"Medium"
    ),
    "-"
)</f>
        <v>Medium</v>
      </c>
      <c r="AI75" s="25" t="str">
        <f t="shared" si="7"/>
        <v>-</v>
      </c>
    </row>
    <row r="76" spans="1:35" x14ac:dyDescent="0.25">
      <c r="A76" s="10">
        <v>4</v>
      </c>
      <c r="B76" s="10" t="s">
        <v>35</v>
      </c>
      <c r="C76" s="10" t="s">
        <v>36</v>
      </c>
      <c r="D76" s="10" t="s">
        <v>37</v>
      </c>
      <c r="E76" s="10" t="s">
        <v>38</v>
      </c>
      <c r="F76" s="11" t="s">
        <v>39</v>
      </c>
      <c r="G76" s="10" t="s">
        <v>40</v>
      </c>
      <c r="H76" s="12">
        <v>45034</v>
      </c>
      <c r="I76" s="20">
        <v>113977.07</v>
      </c>
      <c r="J76" s="20">
        <v>402.5</v>
      </c>
      <c r="K76" s="10" t="s">
        <v>41</v>
      </c>
      <c r="L76" s="9" t="s">
        <v>155</v>
      </c>
      <c r="M76" s="9" t="s">
        <v>156</v>
      </c>
      <c r="N76" s="9">
        <v>134203512</v>
      </c>
      <c r="O76" s="9" t="s">
        <v>44</v>
      </c>
      <c r="P76" s="15">
        <v>45034</v>
      </c>
      <c r="Q76" s="9" t="s">
        <v>160</v>
      </c>
      <c r="R76" s="16">
        <v>402.5</v>
      </c>
      <c r="U76" s="9" t="s">
        <v>46</v>
      </c>
      <c r="V76" s="24" t="str" cm="1">
        <f t="array" ref="V76">_xlfn.IFNA(
    _xlfn.IFS(
        ISNUMBER(SEARCH("Fast Outgoing Transfer",L76)),"Transfer",
        ISNUMBER(SEARCH("Incoming Fast Transfer",L76)),"Transfer",
        ISNUMBER(SEARCH("Outgoing International Transfer",L76)),"Transfer",
        ISNUMBER(SEARCH("Bill Payment",L76)),"SADAD",
        ISNUMBER(SEARCH("Payroll",L76)),"Payroll",
        ISNUMBER(SEARCH("Cash Deposit",L76)),"Cash",
        ISNUMBER(SEARCH("Internal Transfer",L76)),"Transfer",
        ISNUMBER(SEARCH("Expatriate Services Payment",L76)),"SADAD",
        ISNUMBER(SEARCH("Rejected",L76)),"Transfer"
    ),
    "-"
)</f>
        <v>SADAD</v>
      </c>
      <c r="W76" s="25" t="str" cm="1">
        <f t="array" ref="W76">_xlfn.IFNA(
    _xlfn.IFS(
        AND(V76="Transfer",ISNUMBER(SEARCH("RIYAD BANK",L76))),"External FI",
        AND(V76="Transfer",ISNUMBER(SEARCH("Al Ahli",L76))),"External FI",
        AND(V76="Transfer",ISNUMBER(SEARCH("CIB via",L76))),"Local Transfer",
        AND(V76="Transfer",ISNUMBER(SEARCH("CIB)",L76))),"Local Transfer",
        AND(V76="Transfer",ISNUMBER(SEARCH("SMRT",L76))),"Local Transfer",
        AND(V76="Transfer",ISNUMBER(SEARCH("Al Murabba",L76))),"Local Transfer",
        AND(V76="Transfer",ISNUMBER(SEARCH("Internal Transfer",L76))),"Same FI",
        AND(V76="Transfer",ISNUMBER(SEARCH("Rejected",L76))),"Failed",
        V76="SADAD",
            _xlfn.IFS(
                ISNUMBER(SEARCH("Expatriate",L76)),"Expat Fees",
                TRUE,"Online Payment"
            ),
        V76="Payroll","Payroll",
        V76="Cash","Deposit",
        TRUE,"-"
    ),
    "-"
)</f>
        <v>Online Payment</v>
      </c>
      <c r="X76" s="25" t="str" cm="1">
        <f t="array" ref="X76">_xlfn.IFNA(
    _xlfn.IFS(
        V76="-","Low",
        W76="-","Low",
        TRUE,"High"
    ),
    "-"
)</f>
        <v>High</v>
      </c>
      <c r="Y76" s="25" t="str">
        <f t="shared" si="4"/>
        <v>-</v>
      </c>
      <c r="Z76" s="25" t="str" cm="1">
        <f t="array" ref="Z76">_xlfn.IFNA(
    _xlfn.IFS(
        ISNUMBER(SEARCH("Abdul Latif Jameel",M76)),"Lender",
        ISNUMBER(SEARCH("Abdullah Abdulkarim Al Sudais",M76)),"Accounting",
        ISNUMBER(SEARCH("Abdullah Fahad for Accounting",M76)),"Accounting",
        ISNUMBER(SEARCH("Abdullah Rashid Shaikh",M76)),"Shareholder",
        ISNUMBER(SEARCH("Advanced Equipments",M76)),"Equipment Rental",
        ISNUMBER(SEARCH("Al Banuk Sana",M76)),"Telecom Company",
        ISNUMBER(SEARCH("Al Khaleefa Factory",M76)),"Manufacturer",
        ISNUMBER(SEARCH("Al Saadeh Trading",M76)),"Trading Company",
        ISNUMBER(SEARCH("Al Zaehaan",M76)),"Trading Company",
        ISNUMBER(SEARCH("Ali Abdullah K Al Darwish",M76)),"Airlines",
        ISNUMBER(SEARCH("Bupa Arabia",M76)),"Health Insurance",
        ISNUMBER(SEARCH("Dar Fahoosaat",M76)),"Consultant",
        ISNUMBER(SEARCH("General Authority of Zakat",M76)),"Tax Collection",
        ISNUMBER(SEARCH("Gulf Voyager",M76)),"Travel Agency",
        ISNUMBER(SEARCH("Hopeway Trading",M76)),"Trading Company",
        ISNUMBER(SEARCH("Interhealth Medical",M76)),"Medical Services",
        ISNUMBER(SEARCH("Ishaar",M76)),"Online Payment Service",
        ISNUMBER(SEARCH("ISO Arabia",M76)),"Certification",
        ISNUMBER(SEARCH("Khalid Saad Al Otaibi",M76)),"Trading Company",
        ISNUMBER(SEARCH("MERAS for Decoration",M76)),"Decor Company",
        ISNUMBER(SEARCH("Middle East Customs Clearance",M76)),"Customs",
        ISNUMBER(SEARCH("Ministry of Human Resources",M76)),"Government",
        ISNUMBER(SEARCH("My Business Services",M76)),"Service Provider",
        ISNUMBER(SEARCH("National Water Company",M76)),"Water Company",
        ISNUMBER(SEARCH("Rania Contracting",M76)),"Contracting",
        ISNUMBER(SEARCH("Rashid Ali Sheikh",M76)),"Shareholder",
        ISNUMBER(SEARCH("Sahab United Motors",M76)),"Car Show Room",
        ISNUMBER(SEARCH("Saud Mohammed Al Tamimi",M76)),"Shareholder",
        ISNUMBER(SEARCH("Saud Mohammed Tamimi",M76)),"Shareholder",
        ISNUMBER(SEARCH("Saudi Electric Company",M76)),"Electricity Company",
        ISNUMBER(SEARCH("Saudi Vetonit",M76)),"Building Materials",
        ISNUMBER(SEARCH("Shomoul Eng",M76)),"Safety",
        ISNUMBER(SEARCH("STC",M76)),"Telecom Company",
        ISNUMBER(SEARCH("The General Organization for Social Insurance",M76)),"Social Insurance Agency",
        ISNUMBER(SEARCH("TUV Rheinland",M76)),"Certification",
        ISNUMBER(SEARCH("Al Arabia Ceramic",M76)),"Building Materials",
        ISNUMBER(SEARCH("National Company for Building and Marketing",M76)),"Parent Company",
        ISNUMBER(SEARCH("Athraa Holding",M76)),"Holding Company",
        ISNUMBER(SEARCH("Al Rasan",M76)),"Contracting",
        ISNUMBER(SEARCH("Raboua Al Haid",M76)),"Trading Company",
        ISNUMBER(SEARCH("Al Jazeera Paint",M76)),"Manufacturer",
        ISNUMBER(SEARCH("Rania Works Contracting",M76)),"Contracting",
        ISNUMBER(SEARCH("Bandar Jarallah",M76)),"Trading Establishment",
        ISNUMBER(SEARCH("RS Infratec Saudi",M76)),"Same Company",
        ISNUMBER(SEARCH("Payroll",M76)),"Bank",
        ISNUMBER(SEARCH("Expatriate",M76)),"Government",
        ISNUMBER(SEARCH("Unknown Sender",M76)),"Unknown",
        TRUE,"Unknown"
    ),
    "-"
)</f>
        <v>Service Provider</v>
      </c>
      <c r="AA76" s="25" t="str" cm="1">
        <f t="array" ref="AA76">_xlfn.IFNA(
    _xlfn.IFS(
        Z76="Lender","Financing",
        Z76="Accounting","Accounting",
        Z76="Shareholder","Individual",
        Z76="Equipment Rental","Equipment Rental",
        Z76="Telecom Company","Telecom",
        Z76="Manufacturer","Manufacturer",
        Z76="Trading Company","Trading And Transport",
        Z76="Trading Establishment","Trading",
        Z76="Airlines","Airlines",
        Z76="Health Insurance","Insurance",
        Z76="Consultant","Consultant",
        Z76="Tax Collection","Government",
        Z76="Travel Agency","Travel Agency",
        Z76="Medical Services","Medical Center",
        Z76="Online Payment Service","Payment Facilitator",
        Z76="Certification","Safety",
        Z76="Decor Company","Design",
        Z76="Customs","Customs",
        Z76="Government","Government",
        Z76="Service Provider","Service Provider",
        Z76="Water Company","Water Company",
        Z76="Contracting","Contracting",
        Z76="Car Show Room","Car Trader",
        Z76="Electricity Company","Electricity Company",
        Z76="Building Materials","Building Materials",
        Z76="Safety","Safety",
        Z76="Social Insurance Agency","Government Fund",
        Z76="Parent Company","Holding Company",
        Z76="Holding Company","Holding Company",
        Z76="Same Company","Construction",
        Z76="Bank","Bank",
        Z76="Unknown","Unknown",
        TRUE,"-"
    ),
    "-"
)</f>
        <v>Service Provider</v>
      </c>
      <c r="AB76" s="25" t="str">
        <f t="shared" si="5"/>
        <v>-</v>
      </c>
      <c r="AC76" s="25" t="str" cm="1">
        <f t="array" ref="AC76">_xlfn.IFNA(
    _xlfn.IFS(
        Z76="Shareholder","Shareholder",
        Z76="Same Company","Same Company",
        Z76="Bank","Bank",
        Z76="Government","Government",
        Z76="Social Insurance Agency","Government",
        Z76="Parent Company","Customer",
        Z76="Lender","Lender",
        Z76="Unknown","Unknown",
        ISNUMBER(SEARCH("Abdullah Abdulkarim",M76)),"Service Provider",
        ISNUMBER(SEARCH("Abdullah Fahad",M76)),"Service Provider",
        ISNUMBER(SEARCH("Advanced Equipments",M76)),"Supplier",
        ISNUMBER(SEARCH("Al Banuk Sana",M76)),"Supplier",
        ISNUMBER(SEARCH("Al Khaleefa Factory",M76)),"Supplier",
        ISNUMBER(SEARCH("Al Saadeh Trading",M76)),"Supplier",
        ISNUMBER(SEARCH("Al Zaehaan",M76)),"Supplier",
        ISNUMBER(SEARCH("Ali Abdullah K Al Darwish",M76)),"Service Provider",
        ISNUMBER(SEARCH("Bupa Arabia",M76)),"Insurance Company",
        ISNUMBER(SEARCH("Dar Fahoosaat",M76)),"Service Provider",
        ISNUMBER(SEARCH("General Authority of Zakat",M76)),"Tax Authority",
        ISNUMBER(SEARCH("Gulf Voyager",M76)),"Service Provider",
        ISNUMBER(SEARCH("Hopeway Trading",M76)),"Supplier",
        ISNUMBER(SEARCH("Interhealth Medical",M76)),"Customer",
        ISNUMBER(SEARCH("Ishaar",M76)),"Service Provider",
        ISNUMBER(SEARCH("ISO Arabia",M76)),"Service Provider",
        ISNUMBER(SEARCH("Khalid Saad Al Otaibi",M76)),"Supplier",
        ISNUMBER(SEARCH("MERAS for Decoration",M76)),"Supplier",
        ISNUMBER(SEARCH("Middle East Customs Clearance",M76)),"Service Provider",
        ISNUMBER(SEARCH("Ministry of Human Resources",M76)),"Regulatory Agency",
        ISNUMBER(SEARCH("My Business Services",M76)),"Service Provider",
        ISNUMBER(SEARCH("National Water Company",M76)),"Utility Provider",
        ISNUMBER(SEARCH("Rania Contracting",M76)),"Supplier",
        ISNUMBER(SEARCH("Sahab United Motors",M76)),"Supplier",
        ISNUMBER(SEARCH("Saudi Electric Company",M76)),"Utility Provider",
        ISNUMBER(SEARCH("Saudi Vetonit",M76)),"Supplier",
        ISNUMBER(SEARCH("Shomoul Eng",M76)),"Service Provider",
        ISNUMBER(SEARCH("STC",M76)),"Utility Provider",
        ISNUMBER(SEARCH("The General Organization for Social Insurance",M76)),"Social Insurance Agency",
        ISNUMBER(SEARCH("TUV Rheinland",M76)),"Service Provider",
        ISNUMBER(SEARCH("Al Arabia Ceramic",M76)),"Supplier",
        ISNUMBER(SEARCH("National Company for Building",M76)),"Customer",
        ISNUMBER(SEARCH("Athraa Holding",M76)),"Customer",
        ISNUMBER(SEARCH("Al Rasan",M76)),"Supplier",
        ISNUMBER(SEARCH("Raboua Al Haid",M76)),"Customer",
        ISNUMBER(SEARCH("Al Jazeera Paint",M76)),"Supplier",
        ISNUMBER(SEARCH("Rania Works Contracting",M76)),"Supplier",
        ISNUMBER(SEARCH("Bandar Jarallah",M76)),"Supplier",
        TRUE,"Supplier"
    ),
    "-"
)</f>
        <v>Service Provider</v>
      </c>
      <c r="AD76" s="25" t="str" cm="1">
        <f t="array" ref="AD76">_xlfn.IFNA(
    _xlfn.IFS(
        AC76="Same Company","High",
        AC76="Shareholder","High",
        AC76="Government","High",
        AC76="Bank","High",
        AC76="Lender","High",
        AC76="Unknown","Low",
        AC76="-","Low",
        TRUE,"Medium"
    ),
    "-"
)</f>
        <v>Medium</v>
      </c>
      <c r="AE76" s="25" t="str">
        <f t="shared" si="6"/>
        <v>-</v>
      </c>
      <c r="AF76" s="25" t="str" cm="1">
        <f t="array" ref="AF76">_xlfn.IFNA(
    _xlfn.IFS(
        K76="Credit",
            _xlfn.IFS(
                OR(ISNUMBER(SEARCH("Rejected",L76)),ISNUMBER(SEARCH("Returned",L76))),"Other Income",
                TRUE,"Revenue"
            ),
        K76="Debit",
            _xlfn.IFS(
                ISNUMBER(SEARCH("Payroll",L76)),"OPEX",
                ISNUMBER(SEARCH("Expatriate",L76)),"OPEX",
                ISNUMBER(SEARCH("Zakat",M76)),"ZATCA",
                ISNUMBER(SEARCH("General Organization for Social Insurance",M76)),"OPEX",
                ISNUMBER(SEARCH("Saudi Electric",M76)),"OPEX",
                ISNUMBER(SEARCH("STC",M76)),"OPEX",
                ISNUMBER(SEARCH("National Water",M76)),"OPEX",
                ISNUMBER(SEARCH("Bupa",M76)),"OPEX",
                ISNUMBER(SEARCH("Abdullah Abdulkarim",M76)),"OPEX",
                ISNUMBER(SEARCH("Abdullah Fahad",M76)),"OPEX",
                ISNUMBER(SEARCH("ISO Arabia",M76)),"OPEX",
                ISNUMBER(SEARCH("Gulf Voyager",M76)),"OPEX",
                ISNUMBER(SEARCH("Ministry",M76)),"OPEX",
                ISNUMBER(SEARCH("General Authority of Zakat",M76)),"ZATCA",
                ISNUMBER(SEARCH("Rejected",L76)),"Other Income",
                TRUE,"COGS"
            ),
        TRUE,"-"
    ),
    "-"
)</f>
        <v>COGS</v>
      </c>
      <c r="AG76" s="25" t="str" cm="1">
        <f t="array" ref="AG76">_xlfn.IFNA(
    _xlfn.IFS(
        ISNUMBER(SEARCH("Payroll",L76)),"Payroll",
        ISNUMBER(SEARCH("Expatriate",L76)),"Government Fees",
        ISNUMBER(SEARCH("Zakat",M76)),"Zakat",
        ISNUMBER(SEARCH("Social Insurance",M76)),"Social Insurance",
        ISNUMBER(SEARCH("Saudi Electric",M76)),"Electricity",
        ISNUMBER(SEARCH("STC",M76)),"Telecom",
        ISNUMBER(SEARCH("National Water",M76)),"Water",
        ISNUMBER(SEARCH("Bupa",M76)),"Insurance",
        ISNUMBER(SEARCH("Gulf Voyager",M76)),"Travel",
        ISNUMBER(SEARCH("Ministry",M76)),"Government Fees",
        ISNUMBER(SEARCH("Abdullah Abdulkarim",M76)),"Consulting",
        ISNUMBER(SEARCH("Abdullah Fahad",M76)),"Accounting",
        ISNUMBER(SEARCH("ISO Arabia",M76)),"Consulting",
        ISNUMBER(SEARCH("Rejected",L76)),"Refund",
        AF76="COGS","Inventory Purchase",
        AF76="Revenue","Revenue",
        AF76="OPEX","Other",
        AF76="ZATCA","Zakat",
        TRUE,"-"
    ),
    "-"
)</f>
        <v>Inventory Purchase</v>
      </c>
      <c r="AH76" s="25" t="str" cm="1">
        <f t="array" ref="AH76">_xlfn.IFNA(
    _xlfn.IFS(
        AF76="-","Low",
        AF76="Other","Low",
        TRUE,"Medium"
    ),
    "-"
)</f>
        <v>Medium</v>
      </c>
      <c r="AI76" s="25" t="str">
        <f t="shared" si="7"/>
        <v>-</v>
      </c>
    </row>
    <row r="77" spans="1:35" x14ac:dyDescent="0.25">
      <c r="A77" s="10">
        <v>4</v>
      </c>
      <c r="B77" s="10" t="s">
        <v>35</v>
      </c>
      <c r="C77" s="10" t="s">
        <v>36</v>
      </c>
      <c r="D77" s="10" t="s">
        <v>37</v>
      </c>
      <c r="E77" s="10" t="s">
        <v>38</v>
      </c>
      <c r="F77" s="11" t="s">
        <v>39</v>
      </c>
      <c r="G77" s="11" t="s">
        <v>40</v>
      </c>
      <c r="H77" s="12">
        <v>44936</v>
      </c>
      <c r="I77" s="20">
        <v>43657.86</v>
      </c>
      <c r="J77" s="20">
        <v>40087.06</v>
      </c>
      <c r="K77" s="10" t="s">
        <v>41</v>
      </c>
      <c r="L77" s="9" t="s">
        <v>214</v>
      </c>
      <c r="M77" s="9" t="s">
        <v>215</v>
      </c>
      <c r="N77" s="9">
        <v>555745257</v>
      </c>
      <c r="O77" s="9" t="s">
        <v>44</v>
      </c>
      <c r="P77" s="15">
        <v>44936</v>
      </c>
      <c r="Q77" s="9" t="s">
        <v>216</v>
      </c>
      <c r="R77" s="16">
        <v>40087.06</v>
      </c>
      <c r="U77" s="9" t="s">
        <v>46</v>
      </c>
      <c r="V77" s="24" t="str" cm="1">
        <f t="array" ref="V77">_xlfn.IFNA(
    _xlfn.IFS(
        ISNUMBER(SEARCH("Fast Outgoing Transfer",L77)),"Transfer",
        ISNUMBER(SEARCH("Incoming Fast Transfer",L77)),"Transfer",
        ISNUMBER(SEARCH("Outgoing International Transfer",L77)),"Transfer",
        ISNUMBER(SEARCH("Bill Payment",L77)),"SADAD",
        ISNUMBER(SEARCH("Payroll",L77)),"Payroll",
        ISNUMBER(SEARCH("Cash Deposit",L77)),"Cash",
        ISNUMBER(SEARCH("Internal Transfer",L77)),"Transfer",
        ISNUMBER(SEARCH("Expatriate Services Payment",L77)),"SADAD",
        ISNUMBER(SEARCH("Rejected",L77)),"Transfer"
    ),
    "-"
)</f>
        <v>SADAD</v>
      </c>
      <c r="W77" s="25" t="str" cm="1">
        <f t="array" ref="W77">_xlfn.IFNA(
    _xlfn.IFS(
        AND(V77="Transfer",ISNUMBER(SEARCH("RIYAD BANK",L77))),"External FI",
        AND(V77="Transfer",ISNUMBER(SEARCH("Al Ahli",L77))),"External FI",
        AND(V77="Transfer",ISNUMBER(SEARCH("CIB via",L77))),"Local Transfer",
        AND(V77="Transfer",ISNUMBER(SEARCH("CIB)",L77))),"Local Transfer",
        AND(V77="Transfer",ISNUMBER(SEARCH("SMRT",L77))),"Local Transfer",
        AND(V77="Transfer",ISNUMBER(SEARCH("Al Murabba",L77))),"Local Transfer",
        AND(V77="Transfer",ISNUMBER(SEARCH("Internal Transfer",L77))),"Same FI",
        AND(V77="Transfer",ISNUMBER(SEARCH("Rejected",L77))),"Failed",
        V77="SADAD",
            _xlfn.IFS(
                ISNUMBER(SEARCH("Expatriate",L77)),"Expat Fees",
                TRUE,"Online Payment"
            ),
        V77="Payroll","Payroll",
        V77="Cash","Deposit",
        TRUE,"-"
    ),
    "-"
)</f>
        <v>Online Payment</v>
      </c>
      <c r="X77" s="25" t="str" cm="1">
        <f t="array" ref="X77">_xlfn.IFNA(
    _xlfn.IFS(
        V77="-","Low",
        W77="-","Low",
        TRUE,"High"
    ),
    "-"
)</f>
        <v>High</v>
      </c>
      <c r="Y77" s="25" t="str">
        <f t="shared" si="4"/>
        <v>-</v>
      </c>
      <c r="Z77" s="25" t="str" cm="1">
        <f t="array" ref="Z77">_xlfn.IFNA(
    _xlfn.IFS(
        ISNUMBER(SEARCH("Abdul Latif Jameel",M77)),"Lender",
        ISNUMBER(SEARCH("Abdullah Abdulkarim Al Sudais",M77)),"Accounting",
        ISNUMBER(SEARCH("Abdullah Fahad for Accounting",M77)),"Accounting",
        ISNUMBER(SEARCH("Abdullah Rashid Shaikh",M77)),"Shareholder",
        ISNUMBER(SEARCH("Advanced Equipments",M77)),"Equipment Rental",
        ISNUMBER(SEARCH("Al Banuk Sana",M77)),"Telecom Company",
        ISNUMBER(SEARCH("Al Khaleefa Factory",M77)),"Manufacturer",
        ISNUMBER(SEARCH("Al Saadeh Trading",M77)),"Trading Company",
        ISNUMBER(SEARCH("Al Zaehaan",M77)),"Trading Company",
        ISNUMBER(SEARCH("Ali Abdullah K Al Darwish",M77)),"Airlines",
        ISNUMBER(SEARCH("Bupa Arabia",M77)),"Health Insurance",
        ISNUMBER(SEARCH("Dar Fahoosaat",M77)),"Consultant",
        ISNUMBER(SEARCH("General Authority of Zakat",M77)),"Tax Collection",
        ISNUMBER(SEARCH("Gulf Voyager",M77)),"Travel Agency",
        ISNUMBER(SEARCH("Hopeway Trading",M77)),"Trading Company",
        ISNUMBER(SEARCH("Interhealth Medical",M77)),"Medical Services",
        ISNUMBER(SEARCH("Ishaar",M77)),"Online Payment Service",
        ISNUMBER(SEARCH("ISO Arabia",M77)),"Certification",
        ISNUMBER(SEARCH("Khalid Saad Al Otaibi",M77)),"Trading Company",
        ISNUMBER(SEARCH("MERAS for Decoration",M77)),"Decor Company",
        ISNUMBER(SEARCH("Middle East Customs Clearance",M77)),"Customs",
        ISNUMBER(SEARCH("Ministry of Human Resources",M77)),"Government",
        ISNUMBER(SEARCH("My Business Services",M77)),"Service Provider",
        ISNUMBER(SEARCH("National Water Company",M77)),"Water Company",
        ISNUMBER(SEARCH("Rania Contracting",M77)),"Contracting",
        ISNUMBER(SEARCH("Rashid Ali Sheikh",M77)),"Shareholder",
        ISNUMBER(SEARCH("Sahab United Motors",M77)),"Car Show Room",
        ISNUMBER(SEARCH("Saud Mohammed Al Tamimi",M77)),"Shareholder",
        ISNUMBER(SEARCH("Saud Mohammed Tamimi",M77)),"Shareholder",
        ISNUMBER(SEARCH("Saudi Electric Company",M77)),"Electricity Company",
        ISNUMBER(SEARCH("Saudi Vetonit",M77)),"Building Materials",
        ISNUMBER(SEARCH("Shomoul Eng",M77)),"Safety",
        ISNUMBER(SEARCH("STC",M77)),"Telecom Company",
        ISNUMBER(SEARCH("The General Organization for Social Insurance",M77)),"Social Insurance Agency",
        ISNUMBER(SEARCH("TUV Rheinland",M77)),"Certification",
        ISNUMBER(SEARCH("Al Arabia Ceramic",M77)),"Building Materials",
        ISNUMBER(SEARCH("National Company for Building and Marketing",M77)),"Parent Company",
        ISNUMBER(SEARCH("Athraa Holding",M77)),"Holding Company",
        ISNUMBER(SEARCH("Al Rasan",M77)),"Contracting",
        ISNUMBER(SEARCH("Raboua Al Haid",M77)),"Trading Company",
        ISNUMBER(SEARCH("Al Jazeera Paint",M77)),"Manufacturer",
        ISNUMBER(SEARCH("Rania Works Contracting",M77)),"Contracting",
        ISNUMBER(SEARCH("Bandar Jarallah",M77)),"Trading Establishment",
        ISNUMBER(SEARCH("RS Infratec Saudi",M77)),"Same Company",
        ISNUMBER(SEARCH("Payroll",M77)),"Bank",
        ISNUMBER(SEARCH("Expatriate",M77)),"Government",
        ISNUMBER(SEARCH("Unknown Sender",M77)),"Unknown",
        TRUE,"Unknown"
    ),
    "-"
)</f>
        <v>Social Insurance Agency</v>
      </c>
      <c r="AA77" s="25" t="str" cm="1">
        <f t="array" ref="AA77">_xlfn.IFNA(
    _xlfn.IFS(
        Z77="Lender","Financing",
        Z77="Accounting","Accounting",
        Z77="Shareholder","Individual",
        Z77="Equipment Rental","Equipment Rental",
        Z77="Telecom Company","Telecom",
        Z77="Manufacturer","Manufacturer",
        Z77="Trading Company","Trading And Transport",
        Z77="Trading Establishment","Trading",
        Z77="Airlines","Airlines",
        Z77="Health Insurance","Insurance",
        Z77="Consultant","Consultant",
        Z77="Tax Collection","Government",
        Z77="Travel Agency","Travel Agency",
        Z77="Medical Services","Medical Center",
        Z77="Online Payment Service","Payment Facilitator",
        Z77="Certification","Safety",
        Z77="Decor Company","Design",
        Z77="Customs","Customs",
        Z77="Government","Government",
        Z77="Service Provider","Service Provider",
        Z77="Water Company","Water Company",
        Z77="Contracting","Contracting",
        Z77="Car Show Room","Car Trader",
        Z77="Electricity Company","Electricity Company",
        Z77="Building Materials","Building Materials",
        Z77="Safety","Safety",
        Z77="Social Insurance Agency","Government Fund",
        Z77="Parent Company","Holding Company",
        Z77="Holding Company","Holding Company",
        Z77="Same Company","Construction",
        Z77="Bank","Bank",
        Z77="Unknown","Unknown",
        TRUE,"-"
    ),
    "-"
)</f>
        <v>Government Fund</v>
      </c>
      <c r="AB77" s="25" t="str">
        <f t="shared" si="5"/>
        <v>-</v>
      </c>
      <c r="AC77" s="25" t="str" cm="1">
        <f t="array" ref="AC77">_xlfn.IFNA(
    _xlfn.IFS(
        Z77="Shareholder","Shareholder",
        Z77="Same Company","Same Company",
        Z77="Bank","Bank",
        Z77="Government","Government",
        Z77="Social Insurance Agency","Government",
        Z77="Parent Company","Customer",
        Z77="Lender","Lender",
        Z77="Unknown","Unknown",
        ISNUMBER(SEARCH("Abdullah Abdulkarim",M77)),"Service Provider",
        ISNUMBER(SEARCH("Abdullah Fahad",M77)),"Service Provider",
        ISNUMBER(SEARCH("Advanced Equipments",M77)),"Supplier",
        ISNUMBER(SEARCH("Al Banuk Sana",M77)),"Supplier",
        ISNUMBER(SEARCH("Al Khaleefa Factory",M77)),"Supplier",
        ISNUMBER(SEARCH("Al Saadeh Trading",M77)),"Supplier",
        ISNUMBER(SEARCH("Al Zaehaan",M77)),"Supplier",
        ISNUMBER(SEARCH("Ali Abdullah K Al Darwish",M77)),"Service Provider",
        ISNUMBER(SEARCH("Bupa Arabia",M77)),"Insurance Company",
        ISNUMBER(SEARCH("Dar Fahoosaat",M77)),"Service Provider",
        ISNUMBER(SEARCH("General Authority of Zakat",M77)),"Tax Authority",
        ISNUMBER(SEARCH("Gulf Voyager",M77)),"Service Provider",
        ISNUMBER(SEARCH("Hopeway Trading",M77)),"Supplier",
        ISNUMBER(SEARCH("Interhealth Medical",M77)),"Customer",
        ISNUMBER(SEARCH("Ishaar",M77)),"Service Provider",
        ISNUMBER(SEARCH("ISO Arabia",M77)),"Service Provider",
        ISNUMBER(SEARCH("Khalid Saad Al Otaibi",M77)),"Supplier",
        ISNUMBER(SEARCH("MERAS for Decoration",M77)),"Supplier",
        ISNUMBER(SEARCH("Middle East Customs Clearance",M77)),"Service Provider",
        ISNUMBER(SEARCH("Ministry of Human Resources",M77)),"Regulatory Agency",
        ISNUMBER(SEARCH("My Business Services",M77)),"Service Provider",
        ISNUMBER(SEARCH("National Water Company",M77)),"Utility Provider",
        ISNUMBER(SEARCH("Rania Contracting",M77)),"Supplier",
        ISNUMBER(SEARCH("Sahab United Motors",M77)),"Supplier",
        ISNUMBER(SEARCH("Saudi Electric Company",M77)),"Utility Provider",
        ISNUMBER(SEARCH("Saudi Vetonit",M77)),"Supplier",
        ISNUMBER(SEARCH("Shomoul Eng",M77)),"Service Provider",
        ISNUMBER(SEARCH("STC",M77)),"Utility Provider",
        ISNUMBER(SEARCH("The General Organization for Social Insurance",M77)),"Social Insurance Agency",
        ISNUMBER(SEARCH("TUV Rheinland",M77)),"Service Provider",
        ISNUMBER(SEARCH("Al Arabia Ceramic",M77)),"Supplier",
        ISNUMBER(SEARCH("National Company for Building",M77)),"Customer",
        ISNUMBER(SEARCH("Athraa Holding",M77)),"Customer",
        ISNUMBER(SEARCH("Al Rasan",M77)),"Supplier",
        ISNUMBER(SEARCH("Raboua Al Haid",M77)),"Customer",
        ISNUMBER(SEARCH("Al Jazeera Paint",M77)),"Supplier",
        ISNUMBER(SEARCH("Rania Works Contracting",M77)),"Supplier",
        ISNUMBER(SEARCH("Bandar Jarallah",M77)),"Supplier",
        TRUE,"Supplier"
    ),
    "-"
)</f>
        <v>Government</v>
      </c>
      <c r="AD77" s="25" t="str" cm="1">
        <f t="array" ref="AD77">_xlfn.IFNA(
    _xlfn.IFS(
        AC77="Same Company","High",
        AC77="Shareholder","High",
        AC77="Government","High",
        AC77="Bank","High",
        AC77="Lender","High",
        AC77="Unknown","Low",
        AC77="-","Low",
        TRUE,"Medium"
    ),
    "-"
)</f>
        <v>High</v>
      </c>
      <c r="AE77" s="25" t="str">
        <f t="shared" si="6"/>
        <v>-</v>
      </c>
      <c r="AF77" s="25" t="str" cm="1">
        <f t="array" ref="AF77">_xlfn.IFNA(
    _xlfn.IFS(
        K77="Credit",
            _xlfn.IFS(
                OR(ISNUMBER(SEARCH("Rejected",L77)),ISNUMBER(SEARCH("Returned",L77))),"Other Income",
                TRUE,"Revenue"
            ),
        K77="Debit",
            _xlfn.IFS(
                ISNUMBER(SEARCH("Payroll",L77)),"OPEX",
                ISNUMBER(SEARCH("Expatriate",L77)),"OPEX",
                ISNUMBER(SEARCH("Zakat",M77)),"ZATCA",
                ISNUMBER(SEARCH("General Organization for Social Insurance",M77)),"OPEX",
                ISNUMBER(SEARCH("Saudi Electric",M77)),"OPEX",
                ISNUMBER(SEARCH("STC",M77)),"OPEX",
                ISNUMBER(SEARCH("National Water",M77)),"OPEX",
                ISNUMBER(SEARCH("Bupa",M77)),"OPEX",
                ISNUMBER(SEARCH("Abdullah Abdulkarim",M77)),"OPEX",
                ISNUMBER(SEARCH("Abdullah Fahad",M77)),"OPEX",
                ISNUMBER(SEARCH("ISO Arabia",M77)),"OPEX",
                ISNUMBER(SEARCH("Gulf Voyager",M77)),"OPEX",
                ISNUMBER(SEARCH("Ministry",M77)),"OPEX",
                ISNUMBER(SEARCH("General Authority of Zakat",M77)),"ZATCA",
                ISNUMBER(SEARCH("Rejected",L77)),"Other Income",
                TRUE,"COGS"
            ),
        TRUE,"-"
    ),
    "-"
)</f>
        <v>OPEX</v>
      </c>
      <c r="AG77" s="25" t="str" cm="1">
        <f t="array" ref="AG77">_xlfn.IFNA(
    _xlfn.IFS(
        ISNUMBER(SEARCH("Payroll",L77)),"Payroll",
        ISNUMBER(SEARCH("Expatriate",L77)),"Government Fees",
        ISNUMBER(SEARCH("Zakat",M77)),"Zakat",
        ISNUMBER(SEARCH("Social Insurance",M77)),"Social Insurance",
        ISNUMBER(SEARCH("Saudi Electric",M77)),"Electricity",
        ISNUMBER(SEARCH("STC",M77)),"Telecom",
        ISNUMBER(SEARCH("National Water",M77)),"Water",
        ISNUMBER(SEARCH("Bupa",M77)),"Insurance",
        ISNUMBER(SEARCH("Gulf Voyager",M77)),"Travel",
        ISNUMBER(SEARCH("Ministry",M77)),"Government Fees",
        ISNUMBER(SEARCH("Abdullah Abdulkarim",M77)),"Consulting",
        ISNUMBER(SEARCH("Abdullah Fahad",M77)),"Accounting",
        ISNUMBER(SEARCH("ISO Arabia",M77)),"Consulting",
        ISNUMBER(SEARCH("Rejected",L77)),"Refund",
        AF77="COGS","Inventory Purchase",
        AF77="Revenue","Revenue",
        AF77="OPEX","Other",
        AF77="ZATCA","Zakat",
        TRUE,"-"
    ),
    "-"
)</f>
        <v>Social Insurance</v>
      </c>
      <c r="AH77" s="25" t="str" cm="1">
        <f t="array" ref="AH77">_xlfn.IFNA(
    _xlfn.IFS(
        AF77="-","Low",
        AF77="Other","Low",
        TRUE,"Medium"
    ),
    "-"
)</f>
        <v>Medium</v>
      </c>
      <c r="AI77" s="25" t="str">
        <f t="shared" si="7"/>
        <v>-</v>
      </c>
    </row>
    <row r="78" spans="1:35" x14ac:dyDescent="0.25">
      <c r="A78" s="10">
        <v>4</v>
      </c>
      <c r="B78" s="10" t="s">
        <v>35</v>
      </c>
      <c r="C78" s="10" t="s">
        <v>36</v>
      </c>
      <c r="D78" s="10" t="s">
        <v>37</v>
      </c>
      <c r="E78" s="10" t="s">
        <v>38</v>
      </c>
      <c r="F78" s="11" t="s">
        <v>39</v>
      </c>
      <c r="G78" s="11" t="s">
        <v>40</v>
      </c>
      <c r="H78" s="12">
        <v>44972</v>
      </c>
      <c r="I78" s="20">
        <v>346.81</v>
      </c>
      <c r="J78" s="20">
        <v>37417.230000000003</v>
      </c>
      <c r="K78" s="10" t="s">
        <v>41</v>
      </c>
      <c r="L78" s="9" t="s">
        <v>214</v>
      </c>
      <c r="M78" s="9" t="s">
        <v>215</v>
      </c>
      <c r="N78" s="9">
        <v>555745257</v>
      </c>
      <c r="O78" s="9" t="s">
        <v>44</v>
      </c>
      <c r="P78" s="15">
        <v>44972</v>
      </c>
      <c r="Q78" s="9" t="s">
        <v>217</v>
      </c>
      <c r="R78" s="16">
        <v>37417.230000000003</v>
      </c>
      <c r="U78" s="9" t="s">
        <v>46</v>
      </c>
      <c r="V78" s="24" t="str" cm="1">
        <f t="array" ref="V78">_xlfn.IFNA(
    _xlfn.IFS(
        ISNUMBER(SEARCH("Fast Outgoing Transfer",L78)),"Transfer",
        ISNUMBER(SEARCH("Incoming Fast Transfer",L78)),"Transfer",
        ISNUMBER(SEARCH("Outgoing International Transfer",L78)),"Transfer",
        ISNUMBER(SEARCH("Bill Payment",L78)),"SADAD",
        ISNUMBER(SEARCH("Payroll",L78)),"Payroll",
        ISNUMBER(SEARCH("Cash Deposit",L78)),"Cash",
        ISNUMBER(SEARCH("Internal Transfer",L78)),"Transfer",
        ISNUMBER(SEARCH("Expatriate Services Payment",L78)),"SADAD",
        ISNUMBER(SEARCH("Rejected",L78)),"Transfer"
    ),
    "-"
)</f>
        <v>SADAD</v>
      </c>
      <c r="W78" s="25" t="str" cm="1">
        <f t="array" ref="W78">_xlfn.IFNA(
    _xlfn.IFS(
        AND(V78="Transfer",ISNUMBER(SEARCH("RIYAD BANK",L78))),"External FI",
        AND(V78="Transfer",ISNUMBER(SEARCH("Al Ahli",L78))),"External FI",
        AND(V78="Transfer",ISNUMBER(SEARCH("CIB via",L78))),"Local Transfer",
        AND(V78="Transfer",ISNUMBER(SEARCH("CIB)",L78))),"Local Transfer",
        AND(V78="Transfer",ISNUMBER(SEARCH("SMRT",L78))),"Local Transfer",
        AND(V78="Transfer",ISNUMBER(SEARCH("Al Murabba",L78))),"Local Transfer",
        AND(V78="Transfer",ISNUMBER(SEARCH("Internal Transfer",L78))),"Same FI",
        AND(V78="Transfer",ISNUMBER(SEARCH("Rejected",L78))),"Failed",
        V78="SADAD",
            _xlfn.IFS(
                ISNUMBER(SEARCH("Expatriate",L78)),"Expat Fees",
                TRUE,"Online Payment"
            ),
        V78="Payroll","Payroll",
        V78="Cash","Deposit",
        TRUE,"-"
    ),
    "-"
)</f>
        <v>Online Payment</v>
      </c>
      <c r="X78" s="25" t="str" cm="1">
        <f t="array" ref="X78">_xlfn.IFNA(
    _xlfn.IFS(
        V78="-","Low",
        W78="-","Low",
        TRUE,"High"
    ),
    "-"
)</f>
        <v>High</v>
      </c>
      <c r="Y78" s="25" t="str">
        <f t="shared" si="4"/>
        <v>-</v>
      </c>
      <c r="Z78" s="25" t="str" cm="1">
        <f t="array" ref="Z78">_xlfn.IFNA(
    _xlfn.IFS(
        ISNUMBER(SEARCH("Abdul Latif Jameel",M78)),"Lender",
        ISNUMBER(SEARCH("Abdullah Abdulkarim Al Sudais",M78)),"Accounting",
        ISNUMBER(SEARCH("Abdullah Fahad for Accounting",M78)),"Accounting",
        ISNUMBER(SEARCH("Abdullah Rashid Shaikh",M78)),"Shareholder",
        ISNUMBER(SEARCH("Advanced Equipments",M78)),"Equipment Rental",
        ISNUMBER(SEARCH("Al Banuk Sana",M78)),"Telecom Company",
        ISNUMBER(SEARCH("Al Khaleefa Factory",M78)),"Manufacturer",
        ISNUMBER(SEARCH("Al Saadeh Trading",M78)),"Trading Company",
        ISNUMBER(SEARCH("Al Zaehaan",M78)),"Trading Company",
        ISNUMBER(SEARCH("Ali Abdullah K Al Darwish",M78)),"Airlines",
        ISNUMBER(SEARCH("Bupa Arabia",M78)),"Health Insurance",
        ISNUMBER(SEARCH("Dar Fahoosaat",M78)),"Consultant",
        ISNUMBER(SEARCH("General Authority of Zakat",M78)),"Tax Collection",
        ISNUMBER(SEARCH("Gulf Voyager",M78)),"Travel Agency",
        ISNUMBER(SEARCH("Hopeway Trading",M78)),"Trading Company",
        ISNUMBER(SEARCH("Interhealth Medical",M78)),"Medical Services",
        ISNUMBER(SEARCH("Ishaar",M78)),"Online Payment Service",
        ISNUMBER(SEARCH("ISO Arabia",M78)),"Certification",
        ISNUMBER(SEARCH("Khalid Saad Al Otaibi",M78)),"Trading Company",
        ISNUMBER(SEARCH("MERAS for Decoration",M78)),"Decor Company",
        ISNUMBER(SEARCH("Middle East Customs Clearance",M78)),"Customs",
        ISNUMBER(SEARCH("Ministry of Human Resources",M78)),"Government",
        ISNUMBER(SEARCH("My Business Services",M78)),"Service Provider",
        ISNUMBER(SEARCH("National Water Company",M78)),"Water Company",
        ISNUMBER(SEARCH("Rania Contracting",M78)),"Contracting",
        ISNUMBER(SEARCH("Rashid Ali Sheikh",M78)),"Shareholder",
        ISNUMBER(SEARCH("Sahab United Motors",M78)),"Car Show Room",
        ISNUMBER(SEARCH("Saud Mohammed Al Tamimi",M78)),"Shareholder",
        ISNUMBER(SEARCH("Saud Mohammed Tamimi",M78)),"Shareholder",
        ISNUMBER(SEARCH("Saudi Electric Company",M78)),"Electricity Company",
        ISNUMBER(SEARCH("Saudi Vetonit",M78)),"Building Materials",
        ISNUMBER(SEARCH("Shomoul Eng",M78)),"Safety",
        ISNUMBER(SEARCH("STC",M78)),"Telecom Company",
        ISNUMBER(SEARCH("The General Organization for Social Insurance",M78)),"Social Insurance Agency",
        ISNUMBER(SEARCH("TUV Rheinland",M78)),"Certification",
        ISNUMBER(SEARCH("Al Arabia Ceramic",M78)),"Building Materials",
        ISNUMBER(SEARCH("National Company for Building and Marketing",M78)),"Parent Company",
        ISNUMBER(SEARCH("Athraa Holding",M78)),"Holding Company",
        ISNUMBER(SEARCH("Al Rasan",M78)),"Contracting",
        ISNUMBER(SEARCH("Raboua Al Haid",M78)),"Trading Company",
        ISNUMBER(SEARCH("Al Jazeera Paint",M78)),"Manufacturer",
        ISNUMBER(SEARCH("Rania Works Contracting",M78)),"Contracting",
        ISNUMBER(SEARCH("Bandar Jarallah",M78)),"Trading Establishment",
        ISNUMBER(SEARCH("RS Infratec Saudi",M78)),"Same Company",
        ISNUMBER(SEARCH("Payroll",M78)),"Bank",
        ISNUMBER(SEARCH("Expatriate",M78)),"Government",
        ISNUMBER(SEARCH("Unknown Sender",M78)),"Unknown",
        TRUE,"Unknown"
    ),
    "-"
)</f>
        <v>Social Insurance Agency</v>
      </c>
      <c r="AA78" s="25" t="str" cm="1">
        <f t="array" ref="AA78">_xlfn.IFNA(
    _xlfn.IFS(
        Z78="Lender","Financing",
        Z78="Accounting","Accounting",
        Z78="Shareholder","Individual",
        Z78="Equipment Rental","Equipment Rental",
        Z78="Telecom Company","Telecom",
        Z78="Manufacturer","Manufacturer",
        Z78="Trading Company","Trading And Transport",
        Z78="Trading Establishment","Trading",
        Z78="Airlines","Airlines",
        Z78="Health Insurance","Insurance",
        Z78="Consultant","Consultant",
        Z78="Tax Collection","Government",
        Z78="Travel Agency","Travel Agency",
        Z78="Medical Services","Medical Center",
        Z78="Online Payment Service","Payment Facilitator",
        Z78="Certification","Safety",
        Z78="Decor Company","Design",
        Z78="Customs","Customs",
        Z78="Government","Government",
        Z78="Service Provider","Service Provider",
        Z78="Water Company","Water Company",
        Z78="Contracting","Contracting",
        Z78="Car Show Room","Car Trader",
        Z78="Electricity Company","Electricity Company",
        Z78="Building Materials","Building Materials",
        Z78="Safety","Safety",
        Z78="Social Insurance Agency","Government Fund",
        Z78="Parent Company","Holding Company",
        Z78="Holding Company","Holding Company",
        Z78="Same Company","Construction",
        Z78="Bank","Bank",
        Z78="Unknown","Unknown",
        TRUE,"-"
    ),
    "-"
)</f>
        <v>Government Fund</v>
      </c>
      <c r="AB78" s="25" t="str">
        <f t="shared" si="5"/>
        <v>-</v>
      </c>
      <c r="AC78" s="25" t="str" cm="1">
        <f t="array" ref="AC78">_xlfn.IFNA(
    _xlfn.IFS(
        Z78="Shareholder","Shareholder",
        Z78="Same Company","Same Company",
        Z78="Bank","Bank",
        Z78="Government","Government",
        Z78="Social Insurance Agency","Government",
        Z78="Parent Company","Customer",
        Z78="Lender","Lender",
        Z78="Unknown","Unknown",
        ISNUMBER(SEARCH("Abdullah Abdulkarim",M78)),"Service Provider",
        ISNUMBER(SEARCH("Abdullah Fahad",M78)),"Service Provider",
        ISNUMBER(SEARCH("Advanced Equipments",M78)),"Supplier",
        ISNUMBER(SEARCH("Al Banuk Sana",M78)),"Supplier",
        ISNUMBER(SEARCH("Al Khaleefa Factory",M78)),"Supplier",
        ISNUMBER(SEARCH("Al Saadeh Trading",M78)),"Supplier",
        ISNUMBER(SEARCH("Al Zaehaan",M78)),"Supplier",
        ISNUMBER(SEARCH("Ali Abdullah K Al Darwish",M78)),"Service Provider",
        ISNUMBER(SEARCH("Bupa Arabia",M78)),"Insurance Company",
        ISNUMBER(SEARCH("Dar Fahoosaat",M78)),"Service Provider",
        ISNUMBER(SEARCH("General Authority of Zakat",M78)),"Tax Authority",
        ISNUMBER(SEARCH("Gulf Voyager",M78)),"Service Provider",
        ISNUMBER(SEARCH("Hopeway Trading",M78)),"Supplier",
        ISNUMBER(SEARCH("Interhealth Medical",M78)),"Customer",
        ISNUMBER(SEARCH("Ishaar",M78)),"Service Provider",
        ISNUMBER(SEARCH("ISO Arabia",M78)),"Service Provider",
        ISNUMBER(SEARCH("Khalid Saad Al Otaibi",M78)),"Supplier",
        ISNUMBER(SEARCH("MERAS for Decoration",M78)),"Supplier",
        ISNUMBER(SEARCH("Middle East Customs Clearance",M78)),"Service Provider",
        ISNUMBER(SEARCH("Ministry of Human Resources",M78)),"Regulatory Agency",
        ISNUMBER(SEARCH("My Business Services",M78)),"Service Provider",
        ISNUMBER(SEARCH("National Water Company",M78)),"Utility Provider",
        ISNUMBER(SEARCH("Rania Contracting",M78)),"Supplier",
        ISNUMBER(SEARCH("Sahab United Motors",M78)),"Supplier",
        ISNUMBER(SEARCH("Saudi Electric Company",M78)),"Utility Provider",
        ISNUMBER(SEARCH("Saudi Vetonit",M78)),"Supplier",
        ISNUMBER(SEARCH("Shomoul Eng",M78)),"Service Provider",
        ISNUMBER(SEARCH("STC",M78)),"Utility Provider",
        ISNUMBER(SEARCH("The General Organization for Social Insurance",M78)),"Social Insurance Agency",
        ISNUMBER(SEARCH("TUV Rheinland",M78)),"Service Provider",
        ISNUMBER(SEARCH("Al Arabia Ceramic",M78)),"Supplier",
        ISNUMBER(SEARCH("National Company for Building",M78)),"Customer",
        ISNUMBER(SEARCH("Athraa Holding",M78)),"Customer",
        ISNUMBER(SEARCH("Al Rasan",M78)),"Supplier",
        ISNUMBER(SEARCH("Raboua Al Haid",M78)),"Customer",
        ISNUMBER(SEARCH("Al Jazeera Paint",M78)),"Supplier",
        ISNUMBER(SEARCH("Rania Works Contracting",M78)),"Supplier",
        ISNUMBER(SEARCH("Bandar Jarallah",M78)),"Supplier",
        TRUE,"Supplier"
    ),
    "-"
)</f>
        <v>Government</v>
      </c>
      <c r="AD78" s="25" t="str" cm="1">
        <f t="array" ref="AD78">_xlfn.IFNA(
    _xlfn.IFS(
        AC78="Same Company","High",
        AC78="Shareholder","High",
        AC78="Government","High",
        AC78="Bank","High",
        AC78="Lender","High",
        AC78="Unknown","Low",
        AC78="-","Low",
        TRUE,"Medium"
    ),
    "-"
)</f>
        <v>High</v>
      </c>
      <c r="AE78" s="25" t="str">
        <f t="shared" si="6"/>
        <v>-</v>
      </c>
      <c r="AF78" s="25" t="str" cm="1">
        <f t="array" ref="AF78">_xlfn.IFNA(
    _xlfn.IFS(
        K78="Credit",
            _xlfn.IFS(
                OR(ISNUMBER(SEARCH("Rejected",L78)),ISNUMBER(SEARCH("Returned",L78))),"Other Income",
                TRUE,"Revenue"
            ),
        K78="Debit",
            _xlfn.IFS(
                ISNUMBER(SEARCH("Payroll",L78)),"OPEX",
                ISNUMBER(SEARCH("Expatriate",L78)),"OPEX",
                ISNUMBER(SEARCH("Zakat",M78)),"ZATCA",
                ISNUMBER(SEARCH("General Organization for Social Insurance",M78)),"OPEX",
                ISNUMBER(SEARCH("Saudi Electric",M78)),"OPEX",
                ISNUMBER(SEARCH("STC",M78)),"OPEX",
                ISNUMBER(SEARCH("National Water",M78)),"OPEX",
                ISNUMBER(SEARCH("Bupa",M78)),"OPEX",
                ISNUMBER(SEARCH("Abdullah Abdulkarim",M78)),"OPEX",
                ISNUMBER(SEARCH("Abdullah Fahad",M78)),"OPEX",
                ISNUMBER(SEARCH("ISO Arabia",M78)),"OPEX",
                ISNUMBER(SEARCH("Gulf Voyager",M78)),"OPEX",
                ISNUMBER(SEARCH("Ministry",M78)),"OPEX",
                ISNUMBER(SEARCH("General Authority of Zakat",M78)),"ZATCA",
                ISNUMBER(SEARCH("Rejected",L78)),"Other Income",
                TRUE,"COGS"
            ),
        TRUE,"-"
    ),
    "-"
)</f>
        <v>OPEX</v>
      </c>
      <c r="AG78" s="25" t="str" cm="1">
        <f t="array" ref="AG78">_xlfn.IFNA(
    _xlfn.IFS(
        ISNUMBER(SEARCH("Payroll",L78)),"Payroll",
        ISNUMBER(SEARCH("Expatriate",L78)),"Government Fees",
        ISNUMBER(SEARCH("Zakat",M78)),"Zakat",
        ISNUMBER(SEARCH("Social Insurance",M78)),"Social Insurance",
        ISNUMBER(SEARCH("Saudi Electric",M78)),"Electricity",
        ISNUMBER(SEARCH("STC",M78)),"Telecom",
        ISNUMBER(SEARCH("National Water",M78)),"Water",
        ISNUMBER(SEARCH("Bupa",M78)),"Insurance",
        ISNUMBER(SEARCH("Gulf Voyager",M78)),"Travel",
        ISNUMBER(SEARCH("Ministry",M78)),"Government Fees",
        ISNUMBER(SEARCH("Abdullah Abdulkarim",M78)),"Consulting",
        ISNUMBER(SEARCH("Abdullah Fahad",M78)),"Accounting",
        ISNUMBER(SEARCH("ISO Arabia",M78)),"Consulting",
        ISNUMBER(SEARCH("Rejected",L78)),"Refund",
        AF78="COGS","Inventory Purchase",
        AF78="Revenue","Revenue",
        AF78="OPEX","Other",
        AF78="ZATCA","Zakat",
        TRUE,"-"
    ),
    "-"
)</f>
        <v>Social Insurance</v>
      </c>
      <c r="AH78" s="25" t="str" cm="1">
        <f t="array" ref="AH78">_xlfn.IFNA(
    _xlfn.IFS(
        AF78="-","Low",
        AF78="Other","Low",
        TRUE,"Medium"
    ),
    "-"
)</f>
        <v>Medium</v>
      </c>
      <c r="AI78" s="25" t="str">
        <f t="shared" si="7"/>
        <v>-</v>
      </c>
    </row>
    <row r="79" spans="1:35" x14ac:dyDescent="0.25">
      <c r="A79" s="10">
        <v>4</v>
      </c>
      <c r="B79" s="10" t="s">
        <v>35</v>
      </c>
      <c r="C79" s="10" t="s">
        <v>36</v>
      </c>
      <c r="D79" s="10" t="s">
        <v>37</v>
      </c>
      <c r="E79" s="10" t="s">
        <v>38</v>
      </c>
      <c r="F79" s="11" t="s">
        <v>39</v>
      </c>
      <c r="G79" s="11" t="s">
        <v>40</v>
      </c>
      <c r="H79" s="12">
        <v>44999</v>
      </c>
      <c r="I79" s="20">
        <v>52536.4</v>
      </c>
      <c r="J79" s="20">
        <v>37187.089999999997</v>
      </c>
      <c r="K79" s="10" t="s">
        <v>41</v>
      </c>
      <c r="L79" s="9" t="s">
        <v>214</v>
      </c>
      <c r="M79" s="9" t="s">
        <v>215</v>
      </c>
      <c r="N79" s="9">
        <v>555745257</v>
      </c>
      <c r="O79" s="9" t="s">
        <v>44</v>
      </c>
      <c r="P79" s="15">
        <v>44999</v>
      </c>
      <c r="Q79" s="9" t="s">
        <v>218</v>
      </c>
      <c r="R79" s="16">
        <v>37187.089999999997</v>
      </c>
      <c r="U79" s="9" t="s">
        <v>46</v>
      </c>
      <c r="V79" s="24" t="str" cm="1">
        <f t="array" ref="V79">_xlfn.IFNA(
    _xlfn.IFS(
        ISNUMBER(SEARCH("Fast Outgoing Transfer",L79)),"Transfer",
        ISNUMBER(SEARCH("Incoming Fast Transfer",L79)),"Transfer",
        ISNUMBER(SEARCH("Outgoing International Transfer",L79)),"Transfer",
        ISNUMBER(SEARCH("Bill Payment",L79)),"SADAD",
        ISNUMBER(SEARCH("Payroll",L79)),"Payroll",
        ISNUMBER(SEARCH("Cash Deposit",L79)),"Cash",
        ISNUMBER(SEARCH("Internal Transfer",L79)),"Transfer",
        ISNUMBER(SEARCH("Expatriate Services Payment",L79)),"SADAD",
        ISNUMBER(SEARCH("Rejected",L79)),"Transfer"
    ),
    "-"
)</f>
        <v>SADAD</v>
      </c>
      <c r="W79" s="25" t="str" cm="1">
        <f t="array" ref="W79">_xlfn.IFNA(
    _xlfn.IFS(
        AND(V79="Transfer",ISNUMBER(SEARCH("RIYAD BANK",L79))),"External FI",
        AND(V79="Transfer",ISNUMBER(SEARCH("Al Ahli",L79))),"External FI",
        AND(V79="Transfer",ISNUMBER(SEARCH("CIB via",L79))),"Local Transfer",
        AND(V79="Transfer",ISNUMBER(SEARCH("CIB)",L79))),"Local Transfer",
        AND(V79="Transfer",ISNUMBER(SEARCH("SMRT",L79))),"Local Transfer",
        AND(V79="Transfer",ISNUMBER(SEARCH("Al Murabba",L79))),"Local Transfer",
        AND(V79="Transfer",ISNUMBER(SEARCH("Internal Transfer",L79))),"Same FI",
        AND(V79="Transfer",ISNUMBER(SEARCH("Rejected",L79))),"Failed",
        V79="SADAD",
            _xlfn.IFS(
                ISNUMBER(SEARCH("Expatriate",L79)),"Expat Fees",
                TRUE,"Online Payment"
            ),
        V79="Payroll","Payroll",
        V79="Cash","Deposit",
        TRUE,"-"
    ),
    "-"
)</f>
        <v>Online Payment</v>
      </c>
      <c r="X79" s="25" t="str" cm="1">
        <f t="array" ref="X79">_xlfn.IFNA(
    _xlfn.IFS(
        V79="-","Low",
        W79="-","Low",
        TRUE,"High"
    ),
    "-"
)</f>
        <v>High</v>
      </c>
      <c r="Y79" s="25" t="str">
        <f t="shared" si="4"/>
        <v>-</v>
      </c>
      <c r="Z79" s="25" t="str" cm="1">
        <f t="array" ref="Z79">_xlfn.IFNA(
    _xlfn.IFS(
        ISNUMBER(SEARCH("Abdul Latif Jameel",M79)),"Lender",
        ISNUMBER(SEARCH("Abdullah Abdulkarim Al Sudais",M79)),"Accounting",
        ISNUMBER(SEARCH("Abdullah Fahad for Accounting",M79)),"Accounting",
        ISNUMBER(SEARCH("Abdullah Rashid Shaikh",M79)),"Shareholder",
        ISNUMBER(SEARCH("Advanced Equipments",M79)),"Equipment Rental",
        ISNUMBER(SEARCH("Al Banuk Sana",M79)),"Telecom Company",
        ISNUMBER(SEARCH("Al Khaleefa Factory",M79)),"Manufacturer",
        ISNUMBER(SEARCH("Al Saadeh Trading",M79)),"Trading Company",
        ISNUMBER(SEARCH("Al Zaehaan",M79)),"Trading Company",
        ISNUMBER(SEARCH("Ali Abdullah K Al Darwish",M79)),"Airlines",
        ISNUMBER(SEARCH("Bupa Arabia",M79)),"Health Insurance",
        ISNUMBER(SEARCH("Dar Fahoosaat",M79)),"Consultant",
        ISNUMBER(SEARCH("General Authority of Zakat",M79)),"Tax Collection",
        ISNUMBER(SEARCH("Gulf Voyager",M79)),"Travel Agency",
        ISNUMBER(SEARCH("Hopeway Trading",M79)),"Trading Company",
        ISNUMBER(SEARCH("Interhealth Medical",M79)),"Medical Services",
        ISNUMBER(SEARCH("Ishaar",M79)),"Online Payment Service",
        ISNUMBER(SEARCH("ISO Arabia",M79)),"Certification",
        ISNUMBER(SEARCH("Khalid Saad Al Otaibi",M79)),"Trading Company",
        ISNUMBER(SEARCH("MERAS for Decoration",M79)),"Decor Company",
        ISNUMBER(SEARCH("Middle East Customs Clearance",M79)),"Customs",
        ISNUMBER(SEARCH("Ministry of Human Resources",M79)),"Government",
        ISNUMBER(SEARCH("My Business Services",M79)),"Service Provider",
        ISNUMBER(SEARCH("National Water Company",M79)),"Water Company",
        ISNUMBER(SEARCH("Rania Contracting",M79)),"Contracting",
        ISNUMBER(SEARCH("Rashid Ali Sheikh",M79)),"Shareholder",
        ISNUMBER(SEARCH("Sahab United Motors",M79)),"Car Show Room",
        ISNUMBER(SEARCH("Saud Mohammed Al Tamimi",M79)),"Shareholder",
        ISNUMBER(SEARCH("Saud Mohammed Tamimi",M79)),"Shareholder",
        ISNUMBER(SEARCH("Saudi Electric Company",M79)),"Electricity Company",
        ISNUMBER(SEARCH("Saudi Vetonit",M79)),"Building Materials",
        ISNUMBER(SEARCH("Shomoul Eng",M79)),"Safety",
        ISNUMBER(SEARCH("STC",M79)),"Telecom Company",
        ISNUMBER(SEARCH("The General Organization for Social Insurance",M79)),"Social Insurance Agency",
        ISNUMBER(SEARCH("TUV Rheinland",M79)),"Certification",
        ISNUMBER(SEARCH("Al Arabia Ceramic",M79)),"Building Materials",
        ISNUMBER(SEARCH("National Company for Building and Marketing",M79)),"Parent Company",
        ISNUMBER(SEARCH("Athraa Holding",M79)),"Holding Company",
        ISNUMBER(SEARCH("Al Rasan",M79)),"Contracting",
        ISNUMBER(SEARCH("Raboua Al Haid",M79)),"Trading Company",
        ISNUMBER(SEARCH("Al Jazeera Paint",M79)),"Manufacturer",
        ISNUMBER(SEARCH("Rania Works Contracting",M79)),"Contracting",
        ISNUMBER(SEARCH("Bandar Jarallah",M79)),"Trading Establishment",
        ISNUMBER(SEARCH("RS Infratec Saudi",M79)),"Same Company",
        ISNUMBER(SEARCH("Payroll",M79)),"Bank",
        ISNUMBER(SEARCH("Expatriate",M79)),"Government",
        ISNUMBER(SEARCH("Unknown Sender",M79)),"Unknown",
        TRUE,"Unknown"
    ),
    "-"
)</f>
        <v>Social Insurance Agency</v>
      </c>
      <c r="AA79" s="25" t="str" cm="1">
        <f t="array" ref="AA79">_xlfn.IFNA(
    _xlfn.IFS(
        Z79="Lender","Financing",
        Z79="Accounting","Accounting",
        Z79="Shareholder","Individual",
        Z79="Equipment Rental","Equipment Rental",
        Z79="Telecom Company","Telecom",
        Z79="Manufacturer","Manufacturer",
        Z79="Trading Company","Trading And Transport",
        Z79="Trading Establishment","Trading",
        Z79="Airlines","Airlines",
        Z79="Health Insurance","Insurance",
        Z79="Consultant","Consultant",
        Z79="Tax Collection","Government",
        Z79="Travel Agency","Travel Agency",
        Z79="Medical Services","Medical Center",
        Z79="Online Payment Service","Payment Facilitator",
        Z79="Certification","Safety",
        Z79="Decor Company","Design",
        Z79="Customs","Customs",
        Z79="Government","Government",
        Z79="Service Provider","Service Provider",
        Z79="Water Company","Water Company",
        Z79="Contracting","Contracting",
        Z79="Car Show Room","Car Trader",
        Z79="Electricity Company","Electricity Company",
        Z79="Building Materials","Building Materials",
        Z79="Safety","Safety",
        Z79="Social Insurance Agency","Government Fund",
        Z79="Parent Company","Holding Company",
        Z79="Holding Company","Holding Company",
        Z79="Same Company","Construction",
        Z79="Bank","Bank",
        Z79="Unknown","Unknown",
        TRUE,"-"
    ),
    "-"
)</f>
        <v>Government Fund</v>
      </c>
      <c r="AB79" s="25" t="str">
        <f t="shared" si="5"/>
        <v>-</v>
      </c>
      <c r="AC79" s="25" t="str" cm="1">
        <f t="array" ref="AC79">_xlfn.IFNA(
    _xlfn.IFS(
        Z79="Shareholder","Shareholder",
        Z79="Same Company","Same Company",
        Z79="Bank","Bank",
        Z79="Government","Government",
        Z79="Social Insurance Agency","Government",
        Z79="Parent Company","Customer",
        Z79="Lender","Lender",
        Z79="Unknown","Unknown",
        ISNUMBER(SEARCH("Abdullah Abdulkarim",M79)),"Service Provider",
        ISNUMBER(SEARCH("Abdullah Fahad",M79)),"Service Provider",
        ISNUMBER(SEARCH("Advanced Equipments",M79)),"Supplier",
        ISNUMBER(SEARCH("Al Banuk Sana",M79)),"Supplier",
        ISNUMBER(SEARCH("Al Khaleefa Factory",M79)),"Supplier",
        ISNUMBER(SEARCH("Al Saadeh Trading",M79)),"Supplier",
        ISNUMBER(SEARCH("Al Zaehaan",M79)),"Supplier",
        ISNUMBER(SEARCH("Ali Abdullah K Al Darwish",M79)),"Service Provider",
        ISNUMBER(SEARCH("Bupa Arabia",M79)),"Insurance Company",
        ISNUMBER(SEARCH("Dar Fahoosaat",M79)),"Service Provider",
        ISNUMBER(SEARCH("General Authority of Zakat",M79)),"Tax Authority",
        ISNUMBER(SEARCH("Gulf Voyager",M79)),"Service Provider",
        ISNUMBER(SEARCH("Hopeway Trading",M79)),"Supplier",
        ISNUMBER(SEARCH("Interhealth Medical",M79)),"Customer",
        ISNUMBER(SEARCH("Ishaar",M79)),"Service Provider",
        ISNUMBER(SEARCH("ISO Arabia",M79)),"Service Provider",
        ISNUMBER(SEARCH("Khalid Saad Al Otaibi",M79)),"Supplier",
        ISNUMBER(SEARCH("MERAS for Decoration",M79)),"Supplier",
        ISNUMBER(SEARCH("Middle East Customs Clearance",M79)),"Service Provider",
        ISNUMBER(SEARCH("Ministry of Human Resources",M79)),"Regulatory Agency",
        ISNUMBER(SEARCH("My Business Services",M79)),"Service Provider",
        ISNUMBER(SEARCH("National Water Company",M79)),"Utility Provider",
        ISNUMBER(SEARCH("Rania Contracting",M79)),"Supplier",
        ISNUMBER(SEARCH("Sahab United Motors",M79)),"Supplier",
        ISNUMBER(SEARCH("Saudi Electric Company",M79)),"Utility Provider",
        ISNUMBER(SEARCH("Saudi Vetonit",M79)),"Supplier",
        ISNUMBER(SEARCH("Shomoul Eng",M79)),"Service Provider",
        ISNUMBER(SEARCH("STC",M79)),"Utility Provider",
        ISNUMBER(SEARCH("The General Organization for Social Insurance",M79)),"Social Insurance Agency",
        ISNUMBER(SEARCH("TUV Rheinland",M79)),"Service Provider",
        ISNUMBER(SEARCH("Al Arabia Ceramic",M79)),"Supplier",
        ISNUMBER(SEARCH("National Company for Building",M79)),"Customer",
        ISNUMBER(SEARCH("Athraa Holding",M79)),"Customer",
        ISNUMBER(SEARCH("Al Rasan",M79)),"Supplier",
        ISNUMBER(SEARCH("Raboua Al Haid",M79)),"Customer",
        ISNUMBER(SEARCH("Al Jazeera Paint",M79)),"Supplier",
        ISNUMBER(SEARCH("Rania Works Contracting",M79)),"Supplier",
        ISNUMBER(SEARCH("Bandar Jarallah",M79)),"Supplier",
        TRUE,"Supplier"
    ),
    "-"
)</f>
        <v>Government</v>
      </c>
      <c r="AD79" s="25" t="str" cm="1">
        <f t="array" ref="AD79">_xlfn.IFNA(
    _xlfn.IFS(
        AC79="Same Company","High",
        AC79="Shareholder","High",
        AC79="Government","High",
        AC79="Bank","High",
        AC79="Lender","High",
        AC79="Unknown","Low",
        AC79="-","Low",
        TRUE,"Medium"
    ),
    "-"
)</f>
        <v>High</v>
      </c>
      <c r="AE79" s="25" t="str">
        <f t="shared" si="6"/>
        <v>-</v>
      </c>
      <c r="AF79" s="25" t="str" cm="1">
        <f t="array" ref="AF79">_xlfn.IFNA(
    _xlfn.IFS(
        K79="Credit",
            _xlfn.IFS(
                OR(ISNUMBER(SEARCH("Rejected",L79)),ISNUMBER(SEARCH("Returned",L79))),"Other Income",
                TRUE,"Revenue"
            ),
        K79="Debit",
            _xlfn.IFS(
                ISNUMBER(SEARCH("Payroll",L79)),"OPEX",
                ISNUMBER(SEARCH("Expatriate",L79)),"OPEX",
                ISNUMBER(SEARCH("Zakat",M79)),"ZATCA",
                ISNUMBER(SEARCH("General Organization for Social Insurance",M79)),"OPEX",
                ISNUMBER(SEARCH("Saudi Electric",M79)),"OPEX",
                ISNUMBER(SEARCH("STC",M79)),"OPEX",
                ISNUMBER(SEARCH("National Water",M79)),"OPEX",
                ISNUMBER(SEARCH("Bupa",M79)),"OPEX",
                ISNUMBER(SEARCH("Abdullah Abdulkarim",M79)),"OPEX",
                ISNUMBER(SEARCH("Abdullah Fahad",M79)),"OPEX",
                ISNUMBER(SEARCH("ISO Arabia",M79)),"OPEX",
                ISNUMBER(SEARCH("Gulf Voyager",M79)),"OPEX",
                ISNUMBER(SEARCH("Ministry",M79)),"OPEX",
                ISNUMBER(SEARCH("General Authority of Zakat",M79)),"ZATCA",
                ISNUMBER(SEARCH("Rejected",L79)),"Other Income",
                TRUE,"COGS"
            ),
        TRUE,"-"
    ),
    "-"
)</f>
        <v>OPEX</v>
      </c>
      <c r="AG79" s="25" t="str" cm="1">
        <f t="array" ref="AG79">_xlfn.IFNA(
    _xlfn.IFS(
        ISNUMBER(SEARCH("Payroll",L79)),"Payroll",
        ISNUMBER(SEARCH("Expatriate",L79)),"Government Fees",
        ISNUMBER(SEARCH("Zakat",M79)),"Zakat",
        ISNUMBER(SEARCH("Social Insurance",M79)),"Social Insurance",
        ISNUMBER(SEARCH("Saudi Electric",M79)),"Electricity",
        ISNUMBER(SEARCH("STC",M79)),"Telecom",
        ISNUMBER(SEARCH("National Water",M79)),"Water",
        ISNUMBER(SEARCH("Bupa",M79)),"Insurance",
        ISNUMBER(SEARCH("Gulf Voyager",M79)),"Travel",
        ISNUMBER(SEARCH("Ministry",M79)),"Government Fees",
        ISNUMBER(SEARCH("Abdullah Abdulkarim",M79)),"Consulting",
        ISNUMBER(SEARCH("Abdullah Fahad",M79)),"Accounting",
        ISNUMBER(SEARCH("ISO Arabia",M79)),"Consulting",
        ISNUMBER(SEARCH("Rejected",L79)),"Refund",
        AF79="COGS","Inventory Purchase",
        AF79="Revenue","Revenue",
        AF79="OPEX","Other",
        AF79="ZATCA","Zakat",
        TRUE,"-"
    ),
    "-"
)</f>
        <v>Social Insurance</v>
      </c>
      <c r="AH79" s="25" t="str" cm="1">
        <f t="array" ref="AH79">_xlfn.IFNA(
    _xlfn.IFS(
        AF79="-","Low",
        AF79="Other","Low",
        TRUE,"Medium"
    ),
    "-"
)</f>
        <v>Medium</v>
      </c>
      <c r="AI79" s="25" t="str">
        <f t="shared" si="7"/>
        <v>-</v>
      </c>
    </row>
    <row r="80" spans="1:35" x14ac:dyDescent="0.25">
      <c r="A80" s="10">
        <v>4</v>
      </c>
      <c r="B80" s="10" t="s">
        <v>35</v>
      </c>
      <c r="C80" s="10" t="s">
        <v>36</v>
      </c>
      <c r="D80" s="10" t="s">
        <v>37</v>
      </c>
      <c r="E80" s="10" t="s">
        <v>38</v>
      </c>
      <c r="F80" s="11" t="s">
        <v>39</v>
      </c>
      <c r="G80" s="11" t="s">
        <v>40</v>
      </c>
      <c r="H80" s="12">
        <v>45001</v>
      </c>
      <c r="I80" s="20">
        <v>207569.6</v>
      </c>
      <c r="J80" s="20">
        <v>691.09</v>
      </c>
      <c r="K80" s="10" t="s">
        <v>41</v>
      </c>
      <c r="L80" s="9" t="s">
        <v>214</v>
      </c>
      <c r="M80" s="9" t="s">
        <v>215</v>
      </c>
      <c r="N80" s="9">
        <v>637640321</v>
      </c>
      <c r="O80" s="9" t="s">
        <v>44</v>
      </c>
      <c r="P80" s="15">
        <v>45001</v>
      </c>
      <c r="Q80" s="9" t="s">
        <v>219</v>
      </c>
      <c r="R80" s="16">
        <v>691.09</v>
      </c>
      <c r="U80" s="9" t="s">
        <v>46</v>
      </c>
      <c r="V80" s="24" t="str" cm="1">
        <f t="array" ref="V80">_xlfn.IFNA(
    _xlfn.IFS(
        ISNUMBER(SEARCH("Fast Outgoing Transfer",L80)),"Transfer",
        ISNUMBER(SEARCH("Incoming Fast Transfer",L80)),"Transfer",
        ISNUMBER(SEARCH("Outgoing International Transfer",L80)),"Transfer",
        ISNUMBER(SEARCH("Bill Payment",L80)),"SADAD",
        ISNUMBER(SEARCH("Payroll",L80)),"Payroll",
        ISNUMBER(SEARCH("Cash Deposit",L80)),"Cash",
        ISNUMBER(SEARCH("Internal Transfer",L80)),"Transfer",
        ISNUMBER(SEARCH("Expatriate Services Payment",L80)),"SADAD",
        ISNUMBER(SEARCH("Rejected",L80)),"Transfer"
    ),
    "-"
)</f>
        <v>SADAD</v>
      </c>
      <c r="W80" s="25" t="str" cm="1">
        <f t="array" ref="W80">_xlfn.IFNA(
    _xlfn.IFS(
        AND(V80="Transfer",ISNUMBER(SEARCH("RIYAD BANK",L80))),"External FI",
        AND(V80="Transfer",ISNUMBER(SEARCH("Al Ahli",L80))),"External FI",
        AND(V80="Transfer",ISNUMBER(SEARCH("CIB via",L80))),"Local Transfer",
        AND(V80="Transfer",ISNUMBER(SEARCH("CIB)",L80))),"Local Transfer",
        AND(V80="Transfer",ISNUMBER(SEARCH("SMRT",L80))),"Local Transfer",
        AND(V80="Transfer",ISNUMBER(SEARCH("Al Murabba",L80))),"Local Transfer",
        AND(V80="Transfer",ISNUMBER(SEARCH("Internal Transfer",L80))),"Same FI",
        AND(V80="Transfer",ISNUMBER(SEARCH("Rejected",L80))),"Failed",
        V80="SADAD",
            _xlfn.IFS(
                ISNUMBER(SEARCH("Expatriate",L80)),"Expat Fees",
                TRUE,"Online Payment"
            ),
        V80="Payroll","Payroll",
        V80="Cash","Deposit",
        TRUE,"-"
    ),
    "-"
)</f>
        <v>Online Payment</v>
      </c>
      <c r="X80" s="25" t="str" cm="1">
        <f t="array" ref="X80">_xlfn.IFNA(
    _xlfn.IFS(
        V80="-","Low",
        W80="-","Low",
        TRUE,"High"
    ),
    "-"
)</f>
        <v>High</v>
      </c>
      <c r="Y80" s="25" t="str">
        <f t="shared" si="4"/>
        <v>-</v>
      </c>
      <c r="Z80" s="25" t="str" cm="1">
        <f t="array" ref="Z80">_xlfn.IFNA(
    _xlfn.IFS(
        ISNUMBER(SEARCH("Abdul Latif Jameel",M80)),"Lender",
        ISNUMBER(SEARCH("Abdullah Abdulkarim Al Sudais",M80)),"Accounting",
        ISNUMBER(SEARCH("Abdullah Fahad for Accounting",M80)),"Accounting",
        ISNUMBER(SEARCH("Abdullah Rashid Shaikh",M80)),"Shareholder",
        ISNUMBER(SEARCH("Advanced Equipments",M80)),"Equipment Rental",
        ISNUMBER(SEARCH("Al Banuk Sana",M80)),"Telecom Company",
        ISNUMBER(SEARCH("Al Khaleefa Factory",M80)),"Manufacturer",
        ISNUMBER(SEARCH("Al Saadeh Trading",M80)),"Trading Company",
        ISNUMBER(SEARCH("Al Zaehaan",M80)),"Trading Company",
        ISNUMBER(SEARCH("Ali Abdullah K Al Darwish",M80)),"Airlines",
        ISNUMBER(SEARCH("Bupa Arabia",M80)),"Health Insurance",
        ISNUMBER(SEARCH("Dar Fahoosaat",M80)),"Consultant",
        ISNUMBER(SEARCH("General Authority of Zakat",M80)),"Tax Collection",
        ISNUMBER(SEARCH("Gulf Voyager",M80)),"Travel Agency",
        ISNUMBER(SEARCH("Hopeway Trading",M80)),"Trading Company",
        ISNUMBER(SEARCH("Interhealth Medical",M80)),"Medical Services",
        ISNUMBER(SEARCH("Ishaar",M80)),"Online Payment Service",
        ISNUMBER(SEARCH("ISO Arabia",M80)),"Certification",
        ISNUMBER(SEARCH("Khalid Saad Al Otaibi",M80)),"Trading Company",
        ISNUMBER(SEARCH("MERAS for Decoration",M80)),"Decor Company",
        ISNUMBER(SEARCH("Middle East Customs Clearance",M80)),"Customs",
        ISNUMBER(SEARCH("Ministry of Human Resources",M80)),"Government",
        ISNUMBER(SEARCH("My Business Services",M80)),"Service Provider",
        ISNUMBER(SEARCH("National Water Company",M80)),"Water Company",
        ISNUMBER(SEARCH("Rania Contracting",M80)),"Contracting",
        ISNUMBER(SEARCH("Rashid Ali Sheikh",M80)),"Shareholder",
        ISNUMBER(SEARCH("Sahab United Motors",M80)),"Car Show Room",
        ISNUMBER(SEARCH("Saud Mohammed Al Tamimi",M80)),"Shareholder",
        ISNUMBER(SEARCH("Saud Mohammed Tamimi",M80)),"Shareholder",
        ISNUMBER(SEARCH("Saudi Electric Company",M80)),"Electricity Company",
        ISNUMBER(SEARCH("Saudi Vetonit",M80)),"Building Materials",
        ISNUMBER(SEARCH("Shomoul Eng",M80)),"Safety",
        ISNUMBER(SEARCH("STC",M80)),"Telecom Company",
        ISNUMBER(SEARCH("The General Organization for Social Insurance",M80)),"Social Insurance Agency",
        ISNUMBER(SEARCH("TUV Rheinland",M80)),"Certification",
        ISNUMBER(SEARCH("Al Arabia Ceramic",M80)),"Building Materials",
        ISNUMBER(SEARCH("National Company for Building and Marketing",M80)),"Parent Company",
        ISNUMBER(SEARCH("Athraa Holding",M80)),"Holding Company",
        ISNUMBER(SEARCH("Al Rasan",M80)),"Contracting",
        ISNUMBER(SEARCH("Raboua Al Haid",M80)),"Trading Company",
        ISNUMBER(SEARCH("Al Jazeera Paint",M80)),"Manufacturer",
        ISNUMBER(SEARCH("Rania Works Contracting",M80)),"Contracting",
        ISNUMBER(SEARCH("Bandar Jarallah",M80)),"Trading Establishment",
        ISNUMBER(SEARCH("RS Infratec Saudi",M80)),"Same Company",
        ISNUMBER(SEARCH("Payroll",M80)),"Bank",
        ISNUMBER(SEARCH("Expatriate",M80)),"Government",
        ISNUMBER(SEARCH("Unknown Sender",M80)),"Unknown",
        TRUE,"Unknown"
    ),
    "-"
)</f>
        <v>Social Insurance Agency</v>
      </c>
      <c r="AA80" s="25" t="str" cm="1">
        <f t="array" ref="AA80">_xlfn.IFNA(
    _xlfn.IFS(
        Z80="Lender","Financing",
        Z80="Accounting","Accounting",
        Z80="Shareholder","Individual",
        Z80="Equipment Rental","Equipment Rental",
        Z80="Telecom Company","Telecom",
        Z80="Manufacturer","Manufacturer",
        Z80="Trading Company","Trading And Transport",
        Z80="Trading Establishment","Trading",
        Z80="Airlines","Airlines",
        Z80="Health Insurance","Insurance",
        Z80="Consultant","Consultant",
        Z80="Tax Collection","Government",
        Z80="Travel Agency","Travel Agency",
        Z80="Medical Services","Medical Center",
        Z80="Online Payment Service","Payment Facilitator",
        Z80="Certification","Safety",
        Z80="Decor Company","Design",
        Z80="Customs","Customs",
        Z80="Government","Government",
        Z80="Service Provider","Service Provider",
        Z80="Water Company","Water Company",
        Z80="Contracting","Contracting",
        Z80="Car Show Room","Car Trader",
        Z80="Electricity Company","Electricity Company",
        Z80="Building Materials","Building Materials",
        Z80="Safety","Safety",
        Z80="Social Insurance Agency","Government Fund",
        Z80="Parent Company","Holding Company",
        Z80="Holding Company","Holding Company",
        Z80="Same Company","Construction",
        Z80="Bank","Bank",
        Z80="Unknown","Unknown",
        TRUE,"-"
    ),
    "-"
)</f>
        <v>Government Fund</v>
      </c>
      <c r="AB80" s="25" t="str">
        <f t="shared" si="5"/>
        <v>-</v>
      </c>
      <c r="AC80" s="25" t="str" cm="1">
        <f t="array" ref="AC80">_xlfn.IFNA(
    _xlfn.IFS(
        Z80="Shareholder","Shareholder",
        Z80="Same Company","Same Company",
        Z80="Bank","Bank",
        Z80="Government","Government",
        Z80="Social Insurance Agency","Government",
        Z80="Parent Company","Customer",
        Z80="Lender","Lender",
        Z80="Unknown","Unknown",
        ISNUMBER(SEARCH("Abdullah Abdulkarim",M80)),"Service Provider",
        ISNUMBER(SEARCH("Abdullah Fahad",M80)),"Service Provider",
        ISNUMBER(SEARCH("Advanced Equipments",M80)),"Supplier",
        ISNUMBER(SEARCH("Al Banuk Sana",M80)),"Supplier",
        ISNUMBER(SEARCH("Al Khaleefa Factory",M80)),"Supplier",
        ISNUMBER(SEARCH("Al Saadeh Trading",M80)),"Supplier",
        ISNUMBER(SEARCH("Al Zaehaan",M80)),"Supplier",
        ISNUMBER(SEARCH("Ali Abdullah K Al Darwish",M80)),"Service Provider",
        ISNUMBER(SEARCH("Bupa Arabia",M80)),"Insurance Company",
        ISNUMBER(SEARCH("Dar Fahoosaat",M80)),"Service Provider",
        ISNUMBER(SEARCH("General Authority of Zakat",M80)),"Tax Authority",
        ISNUMBER(SEARCH("Gulf Voyager",M80)),"Service Provider",
        ISNUMBER(SEARCH("Hopeway Trading",M80)),"Supplier",
        ISNUMBER(SEARCH("Interhealth Medical",M80)),"Customer",
        ISNUMBER(SEARCH("Ishaar",M80)),"Service Provider",
        ISNUMBER(SEARCH("ISO Arabia",M80)),"Service Provider",
        ISNUMBER(SEARCH("Khalid Saad Al Otaibi",M80)),"Supplier",
        ISNUMBER(SEARCH("MERAS for Decoration",M80)),"Supplier",
        ISNUMBER(SEARCH("Middle East Customs Clearance",M80)),"Service Provider",
        ISNUMBER(SEARCH("Ministry of Human Resources",M80)),"Regulatory Agency",
        ISNUMBER(SEARCH("My Business Services",M80)),"Service Provider",
        ISNUMBER(SEARCH("National Water Company",M80)),"Utility Provider",
        ISNUMBER(SEARCH("Rania Contracting",M80)),"Supplier",
        ISNUMBER(SEARCH("Sahab United Motors",M80)),"Supplier",
        ISNUMBER(SEARCH("Saudi Electric Company",M80)),"Utility Provider",
        ISNUMBER(SEARCH("Saudi Vetonit",M80)),"Supplier",
        ISNUMBER(SEARCH("Shomoul Eng",M80)),"Service Provider",
        ISNUMBER(SEARCH("STC",M80)),"Utility Provider",
        ISNUMBER(SEARCH("The General Organization for Social Insurance",M80)),"Social Insurance Agency",
        ISNUMBER(SEARCH("TUV Rheinland",M80)),"Service Provider",
        ISNUMBER(SEARCH("Al Arabia Ceramic",M80)),"Supplier",
        ISNUMBER(SEARCH("National Company for Building",M80)),"Customer",
        ISNUMBER(SEARCH("Athraa Holding",M80)),"Customer",
        ISNUMBER(SEARCH("Al Rasan",M80)),"Supplier",
        ISNUMBER(SEARCH("Raboua Al Haid",M80)),"Customer",
        ISNUMBER(SEARCH("Al Jazeera Paint",M80)),"Supplier",
        ISNUMBER(SEARCH("Rania Works Contracting",M80)),"Supplier",
        ISNUMBER(SEARCH("Bandar Jarallah",M80)),"Supplier",
        TRUE,"Supplier"
    ),
    "-"
)</f>
        <v>Government</v>
      </c>
      <c r="AD80" s="25" t="str" cm="1">
        <f t="array" ref="AD80">_xlfn.IFNA(
    _xlfn.IFS(
        AC80="Same Company","High",
        AC80="Shareholder","High",
        AC80="Government","High",
        AC80="Bank","High",
        AC80="Lender","High",
        AC80="Unknown","Low",
        AC80="-","Low",
        TRUE,"Medium"
    ),
    "-"
)</f>
        <v>High</v>
      </c>
      <c r="AE80" s="25" t="str">
        <f t="shared" si="6"/>
        <v>-</v>
      </c>
      <c r="AF80" s="25" t="str" cm="1">
        <f t="array" ref="AF80">_xlfn.IFNA(
    _xlfn.IFS(
        K80="Credit",
            _xlfn.IFS(
                OR(ISNUMBER(SEARCH("Rejected",L80)),ISNUMBER(SEARCH("Returned",L80))),"Other Income",
                TRUE,"Revenue"
            ),
        K80="Debit",
            _xlfn.IFS(
                ISNUMBER(SEARCH("Payroll",L80)),"OPEX",
                ISNUMBER(SEARCH("Expatriate",L80)),"OPEX",
                ISNUMBER(SEARCH("Zakat",M80)),"ZATCA",
                ISNUMBER(SEARCH("General Organization for Social Insurance",M80)),"OPEX",
                ISNUMBER(SEARCH("Saudi Electric",M80)),"OPEX",
                ISNUMBER(SEARCH("STC",M80)),"OPEX",
                ISNUMBER(SEARCH("National Water",M80)),"OPEX",
                ISNUMBER(SEARCH("Bupa",M80)),"OPEX",
                ISNUMBER(SEARCH("Abdullah Abdulkarim",M80)),"OPEX",
                ISNUMBER(SEARCH("Abdullah Fahad",M80)),"OPEX",
                ISNUMBER(SEARCH("ISO Arabia",M80)),"OPEX",
                ISNUMBER(SEARCH("Gulf Voyager",M80)),"OPEX",
                ISNUMBER(SEARCH("Ministry",M80)),"OPEX",
                ISNUMBER(SEARCH("General Authority of Zakat",M80)),"ZATCA",
                ISNUMBER(SEARCH("Rejected",L80)),"Other Income",
                TRUE,"COGS"
            ),
        TRUE,"-"
    ),
    "-"
)</f>
        <v>OPEX</v>
      </c>
      <c r="AG80" s="25" t="str" cm="1">
        <f t="array" ref="AG80">_xlfn.IFNA(
    _xlfn.IFS(
        ISNUMBER(SEARCH("Payroll",L80)),"Payroll",
        ISNUMBER(SEARCH("Expatriate",L80)),"Government Fees",
        ISNUMBER(SEARCH("Zakat",M80)),"Zakat",
        ISNUMBER(SEARCH("Social Insurance",M80)),"Social Insurance",
        ISNUMBER(SEARCH("Saudi Electric",M80)),"Electricity",
        ISNUMBER(SEARCH("STC",M80)),"Telecom",
        ISNUMBER(SEARCH("National Water",M80)),"Water",
        ISNUMBER(SEARCH("Bupa",M80)),"Insurance",
        ISNUMBER(SEARCH("Gulf Voyager",M80)),"Travel",
        ISNUMBER(SEARCH("Ministry",M80)),"Government Fees",
        ISNUMBER(SEARCH("Abdullah Abdulkarim",M80)),"Consulting",
        ISNUMBER(SEARCH("Abdullah Fahad",M80)),"Accounting",
        ISNUMBER(SEARCH("ISO Arabia",M80)),"Consulting",
        ISNUMBER(SEARCH("Rejected",L80)),"Refund",
        AF80="COGS","Inventory Purchase",
        AF80="Revenue","Revenue",
        AF80="OPEX","Other",
        AF80="ZATCA","Zakat",
        TRUE,"-"
    ),
    "-"
)</f>
        <v>Social Insurance</v>
      </c>
      <c r="AH80" s="25" t="str" cm="1">
        <f t="array" ref="AH80">_xlfn.IFNA(
    _xlfn.IFS(
        AF80="-","Low",
        AF80="Other","Low",
        TRUE,"Medium"
    ),
    "-"
)</f>
        <v>Medium</v>
      </c>
      <c r="AI80" s="25" t="str">
        <f t="shared" si="7"/>
        <v>-</v>
      </c>
    </row>
    <row r="81" spans="1:35" x14ac:dyDescent="0.25">
      <c r="A81" s="10">
        <v>5</v>
      </c>
      <c r="B81" s="10" t="s">
        <v>35</v>
      </c>
      <c r="C81" s="10" t="s">
        <v>36</v>
      </c>
      <c r="D81" s="10" t="s">
        <v>37</v>
      </c>
      <c r="E81" s="10" t="s">
        <v>38</v>
      </c>
      <c r="F81" s="11" t="s">
        <v>39</v>
      </c>
      <c r="G81" s="11" t="s">
        <v>40</v>
      </c>
      <c r="H81" s="12">
        <v>44951</v>
      </c>
      <c r="I81" s="20">
        <v>77629.3</v>
      </c>
      <c r="J81" s="20">
        <v>18555.150000000001</v>
      </c>
      <c r="K81" s="10" t="s">
        <v>41</v>
      </c>
      <c r="L81" s="9" t="s">
        <v>56</v>
      </c>
      <c r="M81" s="9" t="s">
        <v>166</v>
      </c>
      <c r="N81" s="9" t="s">
        <v>167</v>
      </c>
      <c r="O81" s="9" t="s">
        <v>93</v>
      </c>
      <c r="P81" s="15">
        <v>44951</v>
      </c>
      <c r="Q81" s="9" t="s">
        <v>168</v>
      </c>
      <c r="R81" s="16">
        <v>18554</v>
      </c>
      <c r="S81" s="18">
        <v>1</v>
      </c>
      <c r="T81" s="18">
        <v>0.15</v>
      </c>
      <c r="U81" s="9" t="s">
        <v>55</v>
      </c>
      <c r="V81" s="24" t="str" cm="1">
        <f t="array" ref="V81">_xlfn.IFNA(
    _xlfn.IFS(
        ISNUMBER(SEARCH("Fast Outgoing Transfer",L81)),"Transfer",
        ISNUMBER(SEARCH("Incoming Fast Transfer",L81)),"Transfer",
        ISNUMBER(SEARCH("Outgoing International Transfer",L81)),"Transfer",
        ISNUMBER(SEARCH("Bill Payment",L81)),"SADAD",
        ISNUMBER(SEARCH("Payroll",L81)),"Payroll",
        ISNUMBER(SEARCH("Cash Deposit",L81)),"Cash",
        ISNUMBER(SEARCH("Internal Transfer",L81)),"Transfer",
        ISNUMBER(SEARCH("Expatriate Services Payment",L81)),"SADAD",
        ISNUMBER(SEARCH("Rejected",L81)),"Transfer"
    ),
    "-"
)</f>
        <v>Transfer</v>
      </c>
      <c r="W81" s="25" t="str" cm="1">
        <f t="array" ref="W81">_xlfn.IFNA(
    _xlfn.IFS(
        AND(V81="Transfer",ISNUMBER(SEARCH("RIYAD BANK",L81))),"External FI",
        AND(V81="Transfer",ISNUMBER(SEARCH("Al Ahli",L81))),"External FI",
        AND(V81="Transfer",ISNUMBER(SEARCH("CIB via",L81))),"Local Transfer",
        AND(V81="Transfer",ISNUMBER(SEARCH("CIB)",L81))),"Local Transfer",
        AND(V81="Transfer",ISNUMBER(SEARCH("SMRT",L81))),"Local Transfer",
        AND(V81="Transfer",ISNUMBER(SEARCH("Al Murabba",L81))),"Local Transfer",
        AND(V81="Transfer",ISNUMBER(SEARCH("Internal Transfer",L81))),"Same FI",
        AND(V81="Transfer",ISNUMBER(SEARCH("Rejected",L81))),"Failed",
        V81="SADAD",
            _xlfn.IFS(
                ISNUMBER(SEARCH("Expatriate",L81)),"Expat Fees",
                TRUE,"Online Payment"
            ),
        V81="Payroll","Payroll",
        V81="Cash","Deposit",
        TRUE,"-"
    ),
    "-"
)</f>
        <v>Local Transfer</v>
      </c>
      <c r="X81" s="25" t="str" cm="1">
        <f t="array" ref="X81">_xlfn.IFNA(
    _xlfn.IFS(
        V81="-","Low",
        W81="-","Low",
        TRUE,"High"
    ),
    "-"
)</f>
        <v>High</v>
      </c>
      <c r="Y81" s="25" t="str">
        <f t="shared" si="4"/>
        <v>-</v>
      </c>
      <c r="Z81" s="25" t="str" cm="1">
        <f t="array" ref="Z81">_xlfn.IFNA(
    _xlfn.IFS(
        ISNUMBER(SEARCH("Abdul Latif Jameel",M81)),"Lender",
        ISNUMBER(SEARCH("Abdullah Abdulkarim Al Sudais",M81)),"Accounting",
        ISNUMBER(SEARCH("Abdullah Fahad for Accounting",M81)),"Accounting",
        ISNUMBER(SEARCH("Abdullah Rashid Shaikh",M81)),"Shareholder",
        ISNUMBER(SEARCH("Advanced Equipments",M81)),"Equipment Rental",
        ISNUMBER(SEARCH("Al Banuk Sana",M81)),"Telecom Company",
        ISNUMBER(SEARCH("Al Khaleefa Factory",M81)),"Manufacturer",
        ISNUMBER(SEARCH("Al Saadeh Trading",M81)),"Trading Company",
        ISNUMBER(SEARCH("Al Zaehaan",M81)),"Trading Company",
        ISNUMBER(SEARCH("Ali Abdullah K Al Darwish",M81)),"Airlines",
        ISNUMBER(SEARCH("Bupa Arabia",M81)),"Health Insurance",
        ISNUMBER(SEARCH("Dar Fahoosaat",M81)),"Consultant",
        ISNUMBER(SEARCH("General Authority of Zakat",M81)),"Tax Collection",
        ISNUMBER(SEARCH("Gulf Voyager",M81)),"Travel Agency",
        ISNUMBER(SEARCH("Hopeway Trading",M81)),"Trading Company",
        ISNUMBER(SEARCH("Interhealth Medical",M81)),"Medical Services",
        ISNUMBER(SEARCH("Ishaar",M81)),"Online Payment Service",
        ISNUMBER(SEARCH("ISO Arabia",M81)),"Certification",
        ISNUMBER(SEARCH("Khalid Saad Al Otaibi",M81)),"Trading Company",
        ISNUMBER(SEARCH("MERAS for Decoration",M81)),"Decor Company",
        ISNUMBER(SEARCH("Middle East Customs Clearance",M81)),"Customs",
        ISNUMBER(SEARCH("Ministry of Human Resources",M81)),"Government",
        ISNUMBER(SEARCH("My Business Services",M81)),"Service Provider",
        ISNUMBER(SEARCH("National Water Company",M81)),"Water Company",
        ISNUMBER(SEARCH("Rania Contracting",M81)),"Contracting",
        ISNUMBER(SEARCH("Rashid Ali Sheikh",M81)),"Shareholder",
        ISNUMBER(SEARCH("Sahab United Motors",M81)),"Car Show Room",
        ISNUMBER(SEARCH("Saud Mohammed Al Tamimi",M81)),"Shareholder",
        ISNUMBER(SEARCH("Saud Mohammed Tamimi",M81)),"Shareholder",
        ISNUMBER(SEARCH("Saudi Electric Company",M81)),"Electricity Company",
        ISNUMBER(SEARCH("Saudi Vetonit",M81)),"Building Materials",
        ISNUMBER(SEARCH("Shomoul Eng",M81)),"Safety",
        ISNUMBER(SEARCH("STC",M81)),"Telecom Company",
        ISNUMBER(SEARCH("The General Organization for Social Insurance",M81)),"Social Insurance Agency",
        ISNUMBER(SEARCH("TUV Rheinland",M81)),"Certification",
        ISNUMBER(SEARCH("Al Arabia Ceramic",M81)),"Building Materials",
        ISNUMBER(SEARCH("National Company for Building and Marketing",M81)),"Parent Company",
        ISNUMBER(SEARCH("Athraa Holding",M81)),"Holding Company",
        ISNUMBER(SEARCH("Al Rasan",M81)),"Contracting",
        ISNUMBER(SEARCH("Raboua Al Haid",M81)),"Trading Company",
        ISNUMBER(SEARCH("Al Jazeera Paint",M81)),"Manufacturer",
        ISNUMBER(SEARCH("Rania Works Contracting",M81)),"Contracting",
        ISNUMBER(SEARCH("Bandar Jarallah",M81)),"Trading Establishment",
        ISNUMBER(SEARCH("RS Infratec Saudi",M81)),"Same Company",
        ISNUMBER(SEARCH("Payroll",M81)),"Bank",
        ISNUMBER(SEARCH("Expatriate",M81)),"Government",
        ISNUMBER(SEARCH("Unknown Sender",M81)),"Unknown",
        TRUE,"Unknown"
    ),
    "-"
)</f>
        <v>Contracting</v>
      </c>
      <c r="AA81" s="25" t="str" cm="1">
        <f t="array" ref="AA81">_xlfn.IFNA(
    _xlfn.IFS(
        Z81="Lender","Financing",
        Z81="Accounting","Accounting",
        Z81="Shareholder","Individual",
        Z81="Equipment Rental","Equipment Rental",
        Z81="Telecom Company","Telecom",
        Z81="Manufacturer","Manufacturer",
        Z81="Trading Company","Trading And Transport",
        Z81="Trading Establishment","Trading",
        Z81="Airlines","Airlines",
        Z81="Health Insurance","Insurance",
        Z81="Consultant","Consultant",
        Z81="Tax Collection","Government",
        Z81="Travel Agency","Travel Agency",
        Z81="Medical Services","Medical Center",
        Z81="Online Payment Service","Payment Facilitator",
        Z81="Certification","Safety",
        Z81="Decor Company","Design",
        Z81="Customs","Customs",
        Z81="Government","Government",
        Z81="Service Provider","Service Provider",
        Z81="Water Company","Water Company",
        Z81="Contracting","Contracting",
        Z81="Car Show Room","Car Trader",
        Z81="Electricity Company","Electricity Company",
        Z81="Building Materials","Building Materials",
        Z81="Safety","Safety",
        Z81="Social Insurance Agency","Government Fund",
        Z81="Parent Company","Holding Company",
        Z81="Holding Company","Holding Company",
        Z81="Same Company","Construction",
        Z81="Bank","Bank",
        Z81="Unknown","Unknown",
        TRUE,"-"
    ),
    "-"
)</f>
        <v>Contracting</v>
      </c>
      <c r="AB81" s="25" t="str">
        <f t="shared" si="5"/>
        <v>-</v>
      </c>
      <c r="AC81" s="25" t="str" cm="1">
        <f t="array" ref="AC81">_xlfn.IFNA(
    _xlfn.IFS(
        Z81="Shareholder","Shareholder",
        Z81="Same Company","Same Company",
        Z81="Bank","Bank",
        Z81="Government","Government",
        Z81="Social Insurance Agency","Government",
        Z81="Parent Company","Customer",
        Z81="Lender","Lender",
        Z81="Unknown","Unknown",
        ISNUMBER(SEARCH("Abdullah Abdulkarim",M81)),"Service Provider",
        ISNUMBER(SEARCH("Abdullah Fahad",M81)),"Service Provider",
        ISNUMBER(SEARCH("Advanced Equipments",M81)),"Supplier",
        ISNUMBER(SEARCH("Al Banuk Sana",M81)),"Supplier",
        ISNUMBER(SEARCH("Al Khaleefa Factory",M81)),"Supplier",
        ISNUMBER(SEARCH("Al Saadeh Trading",M81)),"Supplier",
        ISNUMBER(SEARCH("Al Zaehaan",M81)),"Supplier",
        ISNUMBER(SEARCH("Ali Abdullah K Al Darwish",M81)),"Service Provider",
        ISNUMBER(SEARCH("Bupa Arabia",M81)),"Insurance Company",
        ISNUMBER(SEARCH("Dar Fahoosaat",M81)),"Service Provider",
        ISNUMBER(SEARCH("General Authority of Zakat",M81)),"Tax Authority",
        ISNUMBER(SEARCH("Gulf Voyager",M81)),"Service Provider",
        ISNUMBER(SEARCH("Hopeway Trading",M81)),"Supplier",
        ISNUMBER(SEARCH("Interhealth Medical",M81)),"Customer",
        ISNUMBER(SEARCH("Ishaar",M81)),"Service Provider",
        ISNUMBER(SEARCH("ISO Arabia",M81)),"Service Provider",
        ISNUMBER(SEARCH("Khalid Saad Al Otaibi",M81)),"Supplier",
        ISNUMBER(SEARCH("MERAS for Decoration",M81)),"Supplier",
        ISNUMBER(SEARCH("Middle East Customs Clearance",M81)),"Service Provider",
        ISNUMBER(SEARCH("Ministry of Human Resources",M81)),"Regulatory Agency",
        ISNUMBER(SEARCH("My Business Services",M81)),"Service Provider",
        ISNUMBER(SEARCH("National Water Company",M81)),"Utility Provider",
        ISNUMBER(SEARCH("Rania Contracting",M81)),"Supplier",
        ISNUMBER(SEARCH("Sahab United Motors",M81)),"Supplier",
        ISNUMBER(SEARCH("Saudi Electric Company",M81)),"Utility Provider",
        ISNUMBER(SEARCH("Saudi Vetonit",M81)),"Supplier",
        ISNUMBER(SEARCH("Shomoul Eng",M81)),"Service Provider",
        ISNUMBER(SEARCH("STC",M81)),"Utility Provider",
        ISNUMBER(SEARCH("The General Organization for Social Insurance",M81)),"Social Insurance Agency",
        ISNUMBER(SEARCH("TUV Rheinland",M81)),"Service Provider",
        ISNUMBER(SEARCH("Al Arabia Ceramic",M81)),"Supplier",
        ISNUMBER(SEARCH("National Company for Building",M81)),"Customer",
        ISNUMBER(SEARCH("Athraa Holding",M81)),"Customer",
        ISNUMBER(SEARCH("Al Rasan",M81)),"Supplier",
        ISNUMBER(SEARCH("Raboua Al Haid",M81)),"Customer",
        ISNUMBER(SEARCH("Al Jazeera Paint",M81)),"Supplier",
        ISNUMBER(SEARCH("Rania Works Contracting",M81)),"Supplier",
        ISNUMBER(SEARCH("Bandar Jarallah",M81)),"Supplier",
        TRUE,"Supplier"
    ),
    "-"
)</f>
        <v>Supplier</v>
      </c>
      <c r="AD81" s="25" t="str" cm="1">
        <f t="array" ref="AD81">_xlfn.IFNA(
    _xlfn.IFS(
        AC81="Same Company","High",
        AC81="Shareholder","High",
        AC81="Government","High",
        AC81="Bank","High",
        AC81="Lender","High",
        AC81="Unknown","Low",
        AC81="-","Low",
        TRUE,"Medium"
    ),
    "-"
)</f>
        <v>Medium</v>
      </c>
      <c r="AE81" s="25" t="str">
        <f t="shared" si="6"/>
        <v>-</v>
      </c>
      <c r="AF81" s="25" t="str" cm="1">
        <f t="array" ref="AF81">_xlfn.IFNA(
    _xlfn.IFS(
        K81="Credit",
            _xlfn.IFS(
                OR(ISNUMBER(SEARCH("Rejected",L81)),ISNUMBER(SEARCH("Returned",L81))),"Other Income",
                TRUE,"Revenue"
            ),
        K81="Debit",
            _xlfn.IFS(
                ISNUMBER(SEARCH("Payroll",L81)),"OPEX",
                ISNUMBER(SEARCH("Expatriate",L81)),"OPEX",
                ISNUMBER(SEARCH("Zakat",M81)),"ZATCA",
                ISNUMBER(SEARCH("General Organization for Social Insurance",M81)),"OPEX",
                ISNUMBER(SEARCH("Saudi Electric",M81)),"OPEX",
                ISNUMBER(SEARCH("STC",M81)),"OPEX",
                ISNUMBER(SEARCH("National Water",M81)),"OPEX",
                ISNUMBER(SEARCH("Bupa",M81)),"OPEX",
                ISNUMBER(SEARCH("Abdullah Abdulkarim",M81)),"OPEX",
                ISNUMBER(SEARCH("Abdullah Fahad",M81)),"OPEX",
                ISNUMBER(SEARCH("ISO Arabia",M81)),"OPEX",
                ISNUMBER(SEARCH("Gulf Voyager",M81)),"OPEX",
                ISNUMBER(SEARCH("Ministry",M81)),"OPEX",
                ISNUMBER(SEARCH("General Authority of Zakat",M81)),"ZATCA",
                ISNUMBER(SEARCH("Rejected",L81)),"Other Income",
                TRUE,"COGS"
            ),
        TRUE,"-"
    ),
    "-"
)</f>
        <v>COGS</v>
      </c>
      <c r="AG81" s="25" t="str" cm="1">
        <f t="array" ref="AG81">_xlfn.IFNA(
    _xlfn.IFS(
        ISNUMBER(SEARCH("Payroll",L81)),"Payroll",
        ISNUMBER(SEARCH("Expatriate",L81)),"Government Fees",
        ISNUMBER(SEARCH("Zakat",M81)),"Zakat",
        ISNUMBER(SEARCH("Social Insurance",M81)),"Social Insurance",
        ISNUMBER(SEARCH("Saudi Electric",M81)),"Electricity",
        ISNUMBER(SEARCH("STC",M81)),"Telecom",
        ISNUMBER(SEARCH("National Water",M81)),"Water",
        ISNUMBER(SEARCH("Bupa",M81)),"Insurance",
        ISNUMBER(SEARCH("Gulf Voyager",M81)),"Travel",
        ISNUMBER(SEARCH("Ministry",M81)),"Government Fees",
        ISNUMBER(SEARCH("Abdullah Abdulkarim",M81)),"Consulting",
        ISNUMBER(SEARCH("Abdullah Fahad",M81)),"Accounting",
        ISNUMBER(SEARCH("ISO Arabia",M81)),"Consulting",
        ISNUMBER(SEARCH("Rejected",L81)),"Refund",
        AF81="COGS","Inventory Purchase",
        AF81="Revenue","Revenue",
        AF81="OPEX","Other",
        AF81="ZATCA","Zakat",
        TRUE,"-"
    ),
    "-"
)</f>
        <v>Inventory Purchase</v>
      </c>
      <c r="AH81" s="25" t="str" cm="1">
        <f t="array" ref="AH81">_xlfn.IFNA(
    _xlfn.IFS(
        AF81="-","Low",
        AF81="Other","Low",
        TRUE,"Medium"
    ),
    "-"
)</f>
        <v>Medium</v>
      </c>
      <c r="AI81" s="25" t="str">
        <f t="shared" si="7"/>
        <v>-</v>
      </c>
    </row>
    <row r="82" spans="1:35" x14ac:dyDescent="0.25">
      <c r="A82" s="10">
        <v>5</v>
      </c>
      <c r="B82" s="10" t="s">
        <v>35</v>
      </c>
      <c r="C82" s="10" t="s">
        <v>36</v>
      </c>
      <c r="D82" s="10" t="s">
        <v>37</v>
      </c>
      <c r="E82" s="10" t="s">
        <v>38</v>
      </c>
      <c r="F82" s="11" t="s">
        <v>39</v>
      </c>
      <c r="G82" s="11" t="s">
        <v>40</v>
      </c>
      <c r="H82" s="12">
        <v>44985</v>
      </c>
      <c r="I82" s="20">
        <v>127935.56</v>
      </c>
      <c r="J82" s="20">
        <v>12541.15</v>
      </c>
      <c r="K82" s="10" t="s">
        <v>41</v>
      </c>
      <c r="L82" s="9" t="s">
        <v>56</v>
      </c>
      <c r="M82" s="9" t="s">
        <v>166</v>
      </c>
      <c r="N82" s="9" t="s">
        <v>167</v>
      </c>
      <c r="O82" s="9" t="s">
        <v>93</v>
      </c>
      <c r="P82" s="15">
        <v>44985</v>
      </c>
      <c r="Q82" s="9" t="s">
        <v>169</v>
      </c>
      <c r="R82" s="16">
        <v>12540</v>
      </c>
      <c r="S82" s="18">
        <v>1</v>
      </c>
      <c r="T82" s="18">
        <v>0.15</v>
      </c>
      <c r="U82" s="9" t="s">
        <v>55</v>
      </c>
      <c r="V82" s="24" t="str" cm="1">
        <f t="array" ref="V82">_xlfn.IFNA(
    _xlfn.IFS(
        ISNUMBER(SEARCH("Fast Outgoing Transfer",L82)),"Transfer",
        ISNUMBER(SEARCH("Incoming Fast Transfer",L82)),"Transfer",
        ISNUMBER(SEARCH("Outgoing International Transfer",L82)),"Transfer",
        ISNUMBER(SEARCH("Bill Payment",L82)),"SADAD",
        ISNUMBER(SEARCH("Payroll",L82)),"Payroll",
        ISNUMBER(SEARCH("Cash Deposit",L82)),"Cash",
        ISNUMBER(SEARCH("Internal Transfer",L82)),"Transfer",
        ISNUMBER(SEARCH("Expatriate Services Payment",L82)),"SADAD",
        ISNUMBER(SEARCH("Rejected",L82)),"Transfer"
    ),
    "-"
)</f>
        <v>Transfer</v>
      </c>
      <c r="W82" s="25" t="str" cm="1">
        <f t="array" ref="W82">_xlfn.IFNA(
    _xlfn.IFS(
        AND(V82="Transfer",ISNUMBER(SEARCH("RIYAD BANK",L82))),"External FI",
        AND(V82="Transfer",ISNUMBER(SEARCH("Al Ahli",L82))),"External FI",
        AND(V82="Transfer",ISNUMBER(SEARCH("CIB via",L82))),"Local Transfer",
        AND(V82="Transfer",ISNUMBER(SEARCH("CIB)",L82))),"Local Transfer",
        AND(V82="Transfer",ISNUMBER(SEARCH("SMRT",L82))),"Local Transfer",
        AND(V82="Transfer",ISNUMBER(SEARCH("Al Murabba",L82))),"Local Transfer",
        AND(V82="Transfer",ISNUMBER(SEARCH("Internal Transfer",L82))),"Same FI",
        AND(V82="Transfer",ISNUMBER(SEARCH("Rejected",L82))),"Failed",
        V82="SADAD",
            _xlfn.IFS(
                ISNUMBER(SEARCH("Expatriate",L82)),"Expat Fees",
                TRUE,"Online Payment"
            ),
        V82="Payroll","Payroll",
        V82="Cash","Deposit",
        TRUE,"-"
    ),
    "-"
)</f>
        <v>Local Transfer</v>
      </c>
      <c r="X82" s="25" t="str" cm="1">
        <f t="array" ref="X82">_xlfn.IFNA(
    _xlfn.IFS(
        V82="-","Low",
        W82="-","Low",
        TRUE,"High"
    ),
    "-"
)</f>
        <v>High</v>
      </c>
      <c r="Y82" s="25" t="str">
        <f t="shared" si="4"/>
        <v>-</v>
      </c>
      <c r="Z82" s="25" t="str" cm="1">
        <f t="array" ref="Z82">_xlfn.IFNA(
    _xlfn.IFS(
        ISNUMBER(SEARCH("Abdul Latif Jameel",M82)),"Lender",
        ISNUMBER(SEARCH("Abdullah Abdulkarim Al Sudais",M82)),"Accounting",
        ISNUMBER(SEARCH("Abdullah Fahad for Accounting",M82)),"Accounting",
        ISNUMBER(SEARCH("Abdullah Rashid Shaikh",M82)),"Shareholder",
        ISNUMBER(SEARCH("Advanced Equipments",M82)),"Equipment Rental",
        ISNUMBER(SEARCH("Al Banuk Sana",M82)),"Telecom Company",
        ISNUMBER(SEARCH("Al Khaleefa Factory",M82)),"Manufacturer",
        ISNUMBER(SEARCH("Al Saadeh Trading",M82)),"Trading Company",
        ISNUMBER(SEARCH("Al Zaehaan",M82)),"Trading Company",
        ISNUMBER(SEARCH("Ali Abdullah K Al Darwish",M82)),"Airlines",
        ISNUMBER(SEARCH("Bupa Arabia",M82)),"Health Insurance",
        ISNUMBER(SEARCH("Dar Fahoosaat",M82)),"Consultant",
        ISNUMBER(SEARCH("General Authority of Zakat",M82)),"Tax Collection",
        ISNUMBER(SEARCH("Gulf Voyager",M82)),"Travel Agency",
        ISNUMBER(SEARCH("Hopeway Trading",M82)),"Trading Company",
        ISNUMBER(SEARCH("Interhealth Medical",M82)),"Medical Services",
        ISNUMBER(SEARCH("Ishaar",M82)),"Online Payment Service",
        ISNUMBER(SEARCH("ISO Arabia",M82)),"Certification",
        ISNUMBER(SEARCH("Khalid Saad Al Otaibi",M82)),"Trading Company",
        ISNUMBER(SEARCH("MERAS for Decoration",M82)),"Decor Company",
        ISNUMBER(SEARCH("Middle East Customs Clearance",M82)),"Customs",
        ISNUMBER(SEARCH("Ministry of Human Resources",M82)),"Government",
        ISNUMBER(SEARCH("My Business Services",M82)),"Service Provider",
        ISNUMBER(SEARCH("National Water Company",M82)),"Water Company",
        ISNUMBER(SEARCH("Rania Contracting",M82)),"Contracting",
        ISNUMBER(SEARCH("Rashid Ali Sheikh",M82)),"Shareholder",
        ISNUMBER(SEARCH("Sahab United Motors",M82)),"Car Show Room",
        ISNUMBER(SEARCH("Saud Mohammed Al Tamimi",M82)),"Shareholder",
        ISNUMBER(SEARCH("Saud Mohammed Tamimi",M82)),"Shareholder",
        ISNUMBER(SEARCH("Saudi Electric Company",M82)),"Electricity Company",
        ISNUMBER(SEARCH("Saudi Vetonit",M82)),"Building Materials",
        ISNUMBER(SEARCH("Shomoul Eng",M82)),"Safety",
        ISNUMBER(SEARCH("STC",M82)),"Telecom Company",
        ISNUMBER(SEARCH("The General Organization for Social Insurance",M82)),"Social Insurance Agency",
        ISNUMBER(SEARCH("TUV Rheinland",M82)),"Certification",
        ISNUMBER(SEARCH("Al Arabia Ceramic",M82)),"Building Materials",
        ISNUMBER(SEARCH("National Company for Building and Marketing",M82)),"Parent Company",
        ISNUMBER(SEARCH("Athraa Holding",M82)),"Holding Company",
        ISNUMBER(SEARCH("Al Rasan",M82)),"Contracting",
        ISNUMBER(SEARCH("Raboua Al Haid",M82)),"Trading Company",
        ISNUMBER(SEARCH("Al Jazeera Paint",M82)),"Manufacturer",
        ISNUMBER(SEARCH("Rania Works Contracting",M82)),"Contracting",
        ISNUMBER(SEARCH("Bandar Jarallah",M82)),"Trading Establishment",
        ISNUMBER(SEARCH("RS Infratec Saudi",M82)),"Same Company",
        ISNUMBER(SEARCH("Payroll",M82)),"Bank",
        ISNUMBER(SEARCH("Expatriate",M82)),"Government",
        ISNUMBER(SEARCH("Unknown Sender",M82)),"Unknown",
        TRUE,"Unknown"
    ),
    "-"
)</f>
        <v>Contracting</v>
      </c>
      <c r="AA82" s="25" t="str" cm="1">
        <f t="array" ref="AA82">_xlfn.IFNA(
    _xlfn.IFS(
        Z82="Lender","Financing",
        Z82="Accounting","Accounting",
        Z82="Shareholder","Individual",
        Z82="Equipment Rental","Equipment Rental",
        Z82="Telecom Company","Telecom",
        Z82="Manufacturer","Manufacturer",
        Z82="Trading Company","Trading And Transport",
        Z82="Trading Establishment","Trading",
        Z82="Airlines","Airlines",
        Z82="Health Insurance","Insurance",
        Z82="Consultant","Consultant",
        Z82="Tax Collection","Government",
        Z82="Travel Agency","Travel Agency",
        Z82="Medical Services","Medical Center",
        Z82="Online Payment Service","Payment Facilitator",
        Z82="Certification","Safety",
        Z82="Decor Company","Design",
        Z82="Customs","Customs",
        Z82="Government","Government",
        Z82="Service Provider","Service Provider",
        Z82="Water Company","Water Company",
        Z82="Contracting","Contracting",
        Z82="Car Show Room","Car Trader",
        Z82="Electricity Company","Electricity Company",
        Z82="Building Materials","Building Materials",
        Z82="Safety","Safety",
        Z82="Social Insurance Agency","Government Fund",
        Z82="Parent Company","Holding Company",
        Z82="Holding Company","Holding Company",
        Z82="Same Company","Construction",
        Z82="Bank","Bank",
        Z82="Unknown","Unknown",
        TRUE,"-"
    ),
    "-"
)</f>
        <v>Contracting</v>
      </c>
      <c r="AB82" s="25" t="str">
        <f t="shared" si="5"/>
        <v>-</v>
      </c>
      <c r="AC82" s="25" t="str" cm="1">
        <f t="array" ref="AC82">_xlfn.IFNA(
    _xlfn.IFS(
        Z82="Shareholder","Shareholder",
        Z82="Same Company","Same Company",
        Z82="Bank","Bank",
        Z82="Government","Government",
        Z82="Social Insurance Agency","Government",
        Z82="Parent Company","Customer",
        Z82="Lender","Lender",
        Z82="Unknown","Unknown",
        ISNUMBER(SEARCH("Abdullah Abdulkarim",M82)),"Service Provider",
        ISNUMBER(SEARCH("Abdullah Fahad",M82)),"Service Provider",
        ISNUMBER(SEARCH("Advanced Equipments",M82)),"Supplier",
        ISNUMBER(SEARCH("Al Banuk Sana",M82)),"Supplier",
        ISNUMBER(SEARCH("Al Khaleefa Factory",M82)),"Supplier",
        ISNUMBER(SEARCH("Al Saadeh Trading",M82)),"Supplier",
        ISNUMBER(SEARCH("Al Zaehaan",M82)),"Supplier",
        ISNUMBER(SEARCH("Ali Abdullah K Al Darwish",M82)),"Service Provider",
        ISNUMBER(SEARCH("Bupa Arabia",M82)),"Insurance Company",
        ISNUMBER(SEARCH("Dar Fahoosaat",M82)),"Service Provider",
        ISNUMBER(SEARCH("General Authority of Zakat",M82)),"Tax Authority",
        ISNUMBER(SEARCH("Gulf Voyager",M82)),"Service Provider",
        ISNUMBER(SEARCH("Hopeway Trading",M82)),"Supplier",
        ISNUMBER(SEARCH("Interhealth Medical",M82)),"Customer",
        ISNUMBER(SEARCH("Ishaar",M82)),"Service Provider",
        ISNUMBER(SEARCH("ISO Arabia",M82)),"Service Provider",
        ISNUMBER(SEARCH("Khalid Saad Al Otaibi",M82)),"Supplier",
        ISNUMBER(SEARCH("MERAS for Decoration",M82)),"Supplier",
        ISNUMBER(SEARCH("Middle East Customs Clearance",M82)),"Service Provider",
        ISNUMBER(SEARCH("Ministry of Human Resources",M82)),"Regulatory Agency",
        ISNUMBER(SEARCH("My Business Services",M82)),"Service Provider",
        ISNUMBER(SEARCH("National Water Company",M82)),"Utility Provider",
        ISNUMBER(SEARCH("Rania Contracting",M82)),"Supplier",
        ISNUMBER(SEARCH("Sahab United Motors",M82)),"Supplier",
        ISNUMBER(SEARCH("Saudi Electric Company",M82)),"Utility Provider",
        ISNUMBER(SEARCH("Saudi Vetonit",M82)),"Supplier",
        ISNUMBER(SEARCH("Shomoul Eng",M82)),"Service Provider",
        ISNUMBER(SEARCH("STC",M82)),"Utility Provider",
        ISNUMBER(SEARCH("The General Organization for Social Insurance",M82)),"Social Insurance Agency",
        ISNUMBER(SEARCH("TUV Rheinland",M82)),"Service Provider",
        ISNUMBER(SEARCH("Al Arabia Ceramic",M82)),"Supplier",
        ISNUMBER(SEARCH("National Company for Building",M82)),"Customer",
        ISNUMBER(SEARCH("Athraa Holding",M82)),"Customer",
        ISNUMBER(SEARCH("Al Rasan",M82)),"Supplier",
        ISNUMBER(SEARCH("Raboua Al Haid",M82)),"Customer",
        ISNUMBER(SEARCH("Al Jazeera Paint",M82)),"Supplier",
        ISNUMBER(SEARCH("Rania Works Contracting",M82)),"Supplier",
        ISNUMBER(SEARCH("Bandar Jarallah",M82)),"Supplier",
        TRUE,"Supplier"
    ),
    "-"
)</f>
        <v>Supplier</v>
      </c>
      <c r="AD82" s="25" t="str" cm="1">
        <f t="array" ref="AD82">_xlfn.IFNA(
    _xlfn.IFS(
        AC82="Same Company","High",
        AC82="Shareholder","High",
        AC82="Government","High",
        AC82="Bank","High",
        AC82="Lender","High",
        AC82="Unknown","Low",
        AC82="-","Low",
        TRUE,"Medium"
    ),
    "-"
)</f>
        <v>Medium</v>
      </c>
      <c r="AE82" s="25" t="str">
        <f t="shared" si="6"/>
        <v>-</v>
      </c>
      <c r="AF82" s="25" t="str" cm="1">
        <f t="array" ref="AF82">_xlfn.IFNA(
    _xlfn.IFS(
        K82="Credit",
            _xlfn.IFS(
                OR(ISNUMBER(SEARCH("Rejected",L82)),ISNUMBER(SEARCH("Returned",L82))),"Other Income",
                TRUE,"Revenue"
            ),
        K82="Debit",
            _xlfn.IFS(
                ISNUMBER(SEARCH("Payroll",L82)),"OPEX",
                ISNUMBER(SEARCH("Expatriate",L82)),"OPEX",
                ISNUMBER(SEARCH("Zakat",M82)),"ZATCA",
                ISNUMBER(SEARCH("General Organization for Social Insurance",M82)),"OPEX",
                ISNUMBER(SEARCH("Saudi Electric",M82)),"OPEX",
                ISNUMBER(SEARCH("STC",M82)),"OPEX",
                ISNUMBER(SEARCH("National Water",M82)),"OPEX",
                ISNUMBER(SEARCH("Bupa",M82)),"OPEX",
                ISNUMBER(SEARCH("Abdullah Abdulkarim",M82)),"OPEX",
                ISNUMBER(SEARCH("Abdullah Fahad",M82)),"OPEX",
                ISNUMBER(SEARCH("ISO Arabia",M82)),"OPEX",
                ISNUMBER(SEARCH("Gulf Voyager",M82)),"OPEX",
                ISNUMBER(SEARCH("Ministry",M82)),"OPEX",
                ISNUMBER(SEARCH("General Authority of Zakat",M82)),"ZATCA",
                ISNUMBER(SEARCH("Rejected",L82)),"Other Income",
                TRUE,"COGS"
            ),
        TRUE,"-"
    ),
    "-"
)</f>
        <v>COGS</v>
      </c>
      <c r="AG82" s="25" t="str" cm="1">
        <f t="array" ref="AG82">_xlfn.IFNA(
    _xlfn.IFS(
        ISNUMBER(SEARCH("Payroll",L82)),"Payroll",
        ISNUMBER(SEARCH("Expatriate",L82)),"Government Fees",
        ISNUMBER(SEARCH("Zakat",M82)),"Zakat",
        ISNUMBER(SEARCH("Social Insurance",M82)),"Social Insurance",
        ISNUMBER(SEARCH("Saudi Electric",M82)),"Electricity",
        ISNUMBER(SEARCH("STC",M82)),"Telecom",
        ISNUMBER(SEARCH("National Water",M82)),"Water",
        ISNUMBER(SEARCH("Bupa",M82)),"Insurance",
        ISNUMBER(SEARCH("Gulf Voyager",M82)),"Travel",
        ISNUMBER(SEARCH("Ministry",M82)),"Government Fees",
        ISNUMBER(SEARCH("Abdullah Abdulkarim",M82)),"Consulting",
        ISNUMBER(SEARCH("Abdullah Fahad",M82)),"Accounting",
        ISNUMBER(SEARCH("ISO Arabia",M82)),"Consulting",
        ISNUMBER(SEARCH("Rejected",L82)),"Refund",
        AF82="COGS","Inventory Purchase",
        AF82="Revenue","Revenue",
        AF82="OPEX","Other",
        AF82="ZATCA","Zakat",
        TRUE,"-"
    ),
    "-"
)</f>
        <v>Inventory Purchase</v>
      </c>
      <c r="AH82" s="25" t="str" cm="1">
        <f t="array" ref="AH82">_xlfn.IFNA(
    _xlfn.IFS(
        AF82="-","Low",
        AF82="Other","Low",
        TRUE,"Medium"
    ),
    "-"
)</f>
        <v>Medium</v>
      </c>
      <c r="AI82" s="25" t="str">
        <f t="shared" si="7"/>
        <v>-</v>
      </c>
    </row>
    <row r="83" spans="1:35" x14ac:dyDescent="0.25">
      <c r="A83" s="10">
        <v>5</v>
      </c>
      <c r="B83" s="10" t="s">
        <v>35</v>
      </c>
      <c r="C83" s="10" t="s">
        <v>36</v>
      </c>
      <c r="D83" s="10" t="s">
        <v>37</v>
      </c>
      <c r="E83" s="10" t="s">
        <v>38</v>
      </c>
      <c r="F83" s="11" t="s">
        <v>39</v>
      </c>
      <c r="G83" s="11" t="s">
        <v>40</v>
      </c>
      <c r="H83" s="12">
        <v>45006</v>
      </c>
      <c r="I83" s="20">
        <v>212146.8</v>
      </c>
      <c r="J83" s="20">
        <v>25005.75</v>
      </c>
      <c r="K83" s="10" t="s">
        <v>41</v>
      </c>
      <c r="L83" s="9" t="s">
        <v>50</v>
      </c>
      <c r="M83" s="9" t="s">
        <v>166</v>
      </c>
      <c r="N83" s="9" t="s">
        <v>167</v>
      </c>
      <c r="O83" s="9" t="s">
        <v>93</v>
      </c>
      <c r="P83" s="15">
        <v>45006</v>
      </c>
      <c r="Q83" s="9" t="s">
        <v>170</v>
      </c>
      <c r="R83" s="16">
        <v>25000</v>
      </c>
      <c r="S83" s="18">
        <v>5</v>
      </c>
      <c r="T83" s="18">
        <v>0.75</v>
      </c>
      <c r="U83" s="9" t="s">
        <v>55</v>
      </c>
      <c r="V83" s="24" t="str" cm="1">
        <f t="array" ref="V83">_xlfn.IFNA(
    _xlfn.IFS(
        ISNUMBER(SEARCH("Fast Outgoing Transfer",L83)),"Transfer",
        ISNUMBER(SEARCH("Incoming Fast Transfer",L83)),"Transfer",
        ISNUMBER(SEARCH("Outgoing International Transfer",L83)),"Transfer",
        ISNUMBER(SEARCH("Bill Payment",L83)),"SADAD",
        ISNUMBER(SEARCH("Payroll",L83)),"Payroll",
        ISNUMBER(SEARCH("Cash Deposit",L83)),"Cash",
        ISNUMBER(SEARCH("Internal Transfer",L83)),"Transfer",
        ISNUMBER(SEARCH("Expatriate Services Payment",L83)),"SADAD",
        ISNUMBER(SEARCH("Rejected",L83)),"Transfer"
    ),
    "-"
)</f>
        <v>Transfer</v>
      </c>
      <c r="W83" s="25" t="str" cm="1">
        <f t="array" ref="W83">_xlfn.IFNA(
    _xlfn.IFS(
        AND(V83="Transfer",ISNUMBER(SEARCH("RIYAD BANK",L83))),"External FI",
        AND(V83="Transfer",ISNUMBER(SEARCH("Al Ahli",L83))),"External FI",
        AND(V83="Transfer",ISNUMBER(SEARCH("CIB via",L83))),"Local Transfer",
        AND(V83="Transfer",ISNUMBER(SEARCH("CIB)",L83))),"Local Transfer",
        AND(V83="Transfer",ISNUMBER(SEARCH("SMRT",L83))),"Local Transfer",
        AND(V83="Transfer",ISNUMBER(SEARCH("Al Murabba",L83))),"Local Transfer",
        AND(V83="Transfer",ISNUMBER(SEARCH("Internal Transfer",L83))),"Same FI",
        AND(V83="Transfer",ISNUMBER(SEARCH("Rejected",L83))),"Failed",
        V83="SADAD",
            _xlfn.IFS(
                ISNUMBER(SEARCH("Expatriate",L83)),"Expat Fees",
                TRUE,"Online Payment"
            ),
        V83="Payroll","Payroll",
        V83="Cash","Deposit",
        TRUE,"-"
    ),
    "-"
)</f>
        <v>Local Transfer</v>
      </c>
      <c r="X83" s="25" t="str" cm="1">
        <f t="array" ref="X83">_xlfn.IFNA(
    _xlfn.IFS(
        V83="-","Low",
        W83="-","Low",
        TRUE,"High"
    ),
    "-"
)</f>
        <v>High</v>
      </c>
      <c r="Y83" s="25" t="str">
        <f t="shared" si="4"/>
        <v>-</v>
      </c>
      <c r="Z83" s="25" t="str" cm="1">
        <f t="array" ref="Z83">_xlfn.IFNA(
    _xlfn.IFS(
        ISNUMBER(SEARCH("Abdul Latif Jameel",M83)),"Lender",
        ISNUMBER(SEARCH("Abdullah Abdulkarim Al Sudais",M83)),"Accounting",
        ISNUMBER(SEARCH("Abdullah Fahad for Accounting",M83)),"Accounting",
        ISNUMBER(SEARCH("Abdullah Rashid Shaikh",M83)),"Shareholder",
        ISNUMBER(SEARCH("Advanced Equipments",M83)),"Equipment Rental",
        ISNUMBER(SEARCH("Al Banuk Sana",M83)),"Telecom Company",
        ISNUMBER(SEARCH("Al Khaleefa Factory",M83)),"Manufacturer",
        ISNUMBER(SEARCH("Al Saadeh Trading",M83)),"Trading Company",
        ISNUMBER(SEARCH("Al Zaehaan",M83)),"Trading Company",
        ISNUMBER(SEARCH("Ali Abdullah K Al Darwish",M83)),"Airlines",
        ISNUMBER(SEARCH("Bupa Arabia",M83)),"Health Insurance",
        ISNUMBER(SEARCH("Dar Fahoosaat",M83)),"Consultant",
        ISNUMBER(SEARCH("General Authority of Zakat",M83)),"Tax Collection",
        ISNUMBER(SEARCH("Gulf Voyager",M83)),"Travel Agency",
        ISNUMBER(SEARCH("Hopeway Trading",M83)),"Trading Company",
        ISNUMBER(SEARCH("Interhealth Medical",M83)),"Medical Services",
        ISNUMBER(SEARCH("Ishaar",M83)),"Online Payment Service",
        ISNUMBER(SEARCH("ISO Arabia",M83)),"Certification",
        ISNUMBER(SEARCH("Khalid Saad Al Otaibi",M83)),"Trading Company",
        ISNUMBER(SEARCH("MERAS for Decoration",M83)),"Decor Company",
        ISNUMBER(SEARCH("Middle East Customs Clearance",M83)),"Customs",
        ISNUMBER(SEARCH("Ministry of Human Resources",M83)),"Government",
        ISNUMBER(SEARCH("My Business Services",M83)),"Service Provider",
        ISNUMBER(SEARCH("National Water Company",M83)),"Water Company",
        ISNUMBER(SEARCH("Rania Contracting",M83)),"Contracting",
        ISNUMBER(SEARCH("Rashid Ali Sheikh",M83)),"Shareholder",
        ISNUMBER(SEARCH("Sahab United Motors",M83)),"Car Show Room",
        ISNUMBER(SEARCH("Saud Mohammed Al Tamimi",M83)),"Shareholder",
        ISNUMBER(SEARCH("Saud Mohammed Tamimi",M83)),"Shareholder",
        ISNUMBER(SEARCH("Saudi Electric Company",M83)),"Electricity Company",
        ISNUMBER(SEARCH("Saudi Vetonit",M83)),"Building Materials",
        ISNUMBER(SEARCH("Shomoul Eng",M83)),"Safety",
        ISNUMBER(SEARCH("STC",M83)),"Telecom Company",
        ISNUMBER(SEARCH("The General Organization for Social Insurance",M83)),"Social Insurance Agency",
        ISNUMBER(SEARCH("TUV Rheinland",M83)),"Certification",
        ISNUMBER(SEARCH("Al Arabia Ceramic",M83)),"Building Materials",
        ISNUMBER(SEARCH("National Company for Building and Marketing",M83)),"Parent Company",
        ISNUMBER(SEARCH("Athraa Holding",M83)),"Holding Company",
        ISNUMBER(SEARCH("Al Rasan",M83)),"Contracting",
        ISNUMBER(SEARCH("Raboua Al Haid",M83)),"Trading Company",
        ISNUMBER(SEARCH("Al Jazeera Paint",M83)),"Manufacturer",
        ISNUMBER(SEARCH("Rania Works Contracting",M83)),"Contracting",
        ISNUMBER(SEARCH("Bandar Jarallah",M83)),"Trading Establishment",
        ISNUMBER(SEARCH("RS Infratec Saudi",M83)),"Same Company",
        ISNUMBER(SEARCH("Payroll",M83)),"Bank",
        ISNUMBER(SEARCH("Expatriate",M83)),"Government",
        ISNUMBER(SEARCH("Unknown Sender",M83)),"Unknown",
        TRUE,"Unknown"
    ),
    "-"
)</f>
        <v>Contracting</v>
      </c>
      <c r="AA83" s="25" t="str" cm="1">
        <f t="array" ref="AA83">_xlfn.IFNA(
    _xlfn.IFS(
        Z83="Lender","Financing",
        Z83="Accounting","Accounting",
        Z83="Shareholder","Individual",
        Z83="Equipment Rental","Equipment Rental",
        Z83="Telecom Company","Telecom",
        Z83="Manufacturer","Manufacturer",
        Z83="Trading Company","Trading And Transport",
        Z83="Trading Establishment","Trading",
        Z83="Airlines","Airlines",
        Z83="Health Insurance","Insurance",
        Z83="Consultant","Consultant",
        Z83="Tax Collection","Government",
        Z83="Travel Agency","Travel Agency",
        Z83="Medical Services","Medical Center",
        Z83="Online Payment Service","Payment Facilitator",
        Z83="Certification","Safety",
        Z83="Decor Company","Design",
        Z83="Customs","Customs",
        Z83="Government","Government",
        Z83="Service Provider","Service Provider",
        Z83="Water Company","Water Company",
        Z83="Contracting","Contracting",
        Z83="Car Show Room","Car Trader",
        Z83="Electricity Company","Electricity Company",
        Z83="Building Materials","Building Materials",
        Z83="Safety","Safety",
        Z83="Social Insurance Agency","Government Fund",
        Z83="Parent Company","Holding Company",
        Z83="Holding Company","Holding Company",
        Z83="Same Company","Construction",
        Z83="Bank","Bank",
        Z83="Unknown","Unknown",
        TRUE,"-"
    ),
    "-"
)</f>
        <v>Contracting</v>
      </c>
      <c r="AB83" s="25" t="str">
        <f t="shared" si="5"/>
        <v>-</v>
      </c>
      <c r="AC83" s="25" t="str" cm="1">
        <f t="array" ref="AC83">_xlfn.IFNA(
    _xlfn.IFS(
        Z83="Shareholder","Shareholder",
        Z83="Same Company","Same Company",
        Z83="Bank","Bank",
        Z83="Government","Government",
        Z83="Social Insurance Agency","Government",
        Z83="Parent Company","Customer",
        Z83="Lender","Lender",
        Z83="Unknown","Unknown",
        ISNUMBER(SEARCH("Abdullah Abdulkarim",M83)),"Service Provider",
        ISNUMBER(SEARCH("Abdullah Fahad",M83)),"Service Provider",
        ISNUMBER(SEARCH("Advanced Equipments",M83)),"Supplier",
        ISNUMBER(SEARCH("Al Banuk Sana",M83)),"Supplier",
        ISNUMBER(SEARCH("Al Khaleefa Factory",M83)),"Supplier",
        ISNUMBER(SEARCH("Al Saadeh Trading",M83)),"Supplier",
        ISNUMBER(SEARCH("Al Zaehaan",M83)),"Supplier",
        ISNUMBER(SEARCH("Ali Abdullah K Al Darwish",M83)),"Service Provider",
        ISNUMBER(SEARCH("Bupa Arabia",M83)),"Insurance Company",
        ISNUMBER(SEARCH("Dar Fahoosaat",M83)),"Service Provider",
        ISNUMBER(SEARCH("General Authority of Zakat",M83)),"Tax Authority",
        ISNUMBER(SEARCH("Gulf Voyager",M83)),"Service Provider",
        ISNUMBER(SEARCH("Hopeway Trading",M83)),"Supplier",
        ISNUMBER(SEARCH("Interhealth Medical",M83)),"Customer",
        ISNUMBER(SEARCH("Ishaar",M83)),"Service Provider",
        ISNUMBER(SEARCH("ISO Arabia",M83)),"Service Provider",
        ISNUMBER(SEARCH("Khalid Saad Al Otaibi",M83)),"Supplier",
        ISNUMBER(SEARCH("MERAS for Decoration",M83)),"Supplier",
        ISNUMBER(SEARCH("Middle East Customs Clearance",M83)),"Service Provider",
        ISNUMBER(SEARCH("Ministry of Human Resources",M83)),"Regulatory Agency",
        ISNUMBER(SEARCH("My Business Services",M83)),"Service Provider",
        ISNUMBER(SEARCH("National Water Company",M83)),"Utility Provider",
        ISNUMBER(SEARCH("Rania Contracting",M83)),"Supplier",
        ISNUMBER(SEARCH("Sahab United Motors",M83)),"Supplier",
        ISNUMBER(SEARCH("Saudi Electric Company",M83)),"Utility Provider",
        ISNUMBER(SEARCH("Saudi Vetonit",M83)),"Supplier",
        ISNUMBER(SEARCH("Shomoul Eng",M83)),"Service Provider",
        ISNUMBER(SEARCH("STC",M83)),"Utility Provider",
        ISNUMBER(SEARCH("The General Organization for Social Insurance",M83)),"Social Insurance Agency",
        ISNUMBER(SEARCH("TUV Rheinland",M83)),"Service Provider",
        ISNUMBER(SEARCH("Al Arabia Ceramic",M83)),"Supplier",
        ISNUMBER(SEARCH("National Company for Building",M83)),"Customer",
        ISNUMBER(SEARCH("Athraa Holding",M83)),"Customer",
        ISNUMBER(SEARCH("Al Rasan",M83)),"Supplier",
        ISNUMBER(SEARCH("Raboua Al Haid",M83)),"Customer",
        ISNUMBER(SEARCH("Al Jazeera Paint",M83)),"Supplier",
        ISNUMBER(SEARCH("Rania Works Contracting",M83)),"Supplier",
        ISNUMBER(SEARCH("Bandar Jarallah",M83)),"Supplier",
        TRUE,"Supplier"
    ),
    "-"
)</f>
        <v>Supplier</v>
      </c>
      <c r="AD83" s="25" t="str" cm="1">
        <f t="array" ref="AD83">_xlfn.IFNA(
    _xlfn.IFS(
        AC83="Same Company","High",
        AC83="Shareholder","High",
        AC83="Government","High",
        AC83="Bank","High",
        AC83="Lender","High",
        AC83="Unknown","Low",
        AC83="-","Low",
        TRUE,"Medium"
    ),
    "-"
)</f>
        <v>Medium</v>
      </c>
      <c r="AE83" s="25" t="str">
        <f t="shared" si="6"/>
        <v>-</v>
      </c>
      <c r="AF83" s="25" t="str" cm="1">
        <f t="array" ref="AF83">_xlfn.IFNA(
    _xlfn.IFS(
        K83="Credit",
            _xlfn.IFS(
                OR(ISNUMBER(SEARCH("Rejected",L83)),ISNUMBER(SEARCH("Returned",L83))),"Other Income",
                TRUE,"Revenue"
            ),
        K83="Debit",
            _xlfn.IFS(
                ISNUMBER(SEARCH("Payroll",L83)),"OPEX",
                ISNUMBER(SEARCH("Expatriate",L83)),"OPEX",
                ISNUMBER(SEARCH("Zakat",M83)),"ZATCA",
                ISNUMBER(SEARCH("General Organization for Social Insurance",M83)),"OPEX",
                ISNUMBER(SEARCH("Saudi Electric",M83)),"OPEX",
                ISNUMBER(SEARCH("STC",M83)),"OPEX",
                ISNUMBER(SEARCH("National Water",M83)),"OPEX",
                ISNUMBER(SEARCH("Bupa",M83)),"OPEX",
                ISNUMBER(SEARCH("Abdullah Abdulkarim",M83)),"OPEX",
                ISNUMBER(SEARCH("Abdullah Fahad",M83)),"OPEX",
                ISNUMBER(SEARCH("ISO Arabia",M83)),"OPEX",
                ISNUMBER(SEARCH("Gulf Voyager",M83)),"OPEX",
                ISNUMBER(SEARCH("Ministry",M83)),"OPEX",
                ISNUMBER(SEARCH("General Authority of Zakat",M83)),"ZATCA",
                ISNUMBER(SEARCH("Rejected",L83)),"Other Income",
                TRUE,"COGS"
            ),
        TRUE,"-"
    ),
    "-"
)</f>
        <v>COGS</v>
      </c>
      <c r="AG83" s="25" t="str" cm="1">
        <f t="array" ref="AG83">_xlfn.IFNA(
    _xlfn.IFS(
        ISNUMBER(SEARCH("Payroll",L83)),"Payroll",
        ISNUMBER(SEARCH("Expatriate",L83)),"Government Fees",
        ISNUMBER(SEARCH("Zakat",M83)),"Zakat",
        ISNUMBER(SEARCH("Social Insurance",M83)),"Social Insurance",
        ISNUMBER(SEARCH("Saudi Electric",M83)),"Electricity",
        ISNUMBER(SEARCH("STC",M83)),"Telecom",
        ISNUMBER(SEARCH("National Water",M83)),"Water",
        ISNUMBER(SEARCH("Bupa",M83)),"Insurance",
        ISNUMBER(SEARCH("Gulf Voyager",M83)),"Travel",
        ISNUMBER(SEARCH("Ministry",M83)),"Government Fees",
        ISNUMBER(SEARCH("Abdullah Abdulkarim",M83)),"Consulting",
        ISNUMBER(SEARCH("Abdullah Fahad",M83)),"Accounting",
        ISNUMBER(SEARCH("ISO Arabia",M83)),"Consulting",
        ISNUMBER(SEARCH("Rejected",L83)),"Refund",
        AF83="COGS","Inventory Purchase",
        AF83="Revenue","Revenue",
        AF83="OPEX","Other",
        AF83="ZATCA","Zakat",
        TRUE,"-"
    ),
    "-"
)</f>
        <v>Inventory Purchase</v>
      </c>
      <c r="AH83" s="25" t="str" cm="1">
        <f t="array" ref="AH83">_xlfn.IFNA(
    _xlfn.IFS(
        AF83="-","Low",
        AF83="Other","Low",
        TRUE,"Medium"
    ),
    "-"
)</f>
        <v>Medium</v>
      </c>
      <c r="AI83" s="25" t="str">
        <f t="shared" si="7"/>
        <v>-</v>
      </c>
    </row>
    <row r="84" spans="1:35" x14ac:dyDescent="0.25">
      <c r="A84" s="10">
        <v>5</v>
      </c>
      <c r="B84" s="10" t="s">
        <v>35</v>
      </c>
      <c r="C84" s="10" t="s">
        <v>36</v>
      </c>
      <c r="D84" s="10" t="s">
        <v>37</v>
      </c>
      <c r="E84" s="10" t="s">
        <v>38</v>
      </c>
      <c r="F84" s="11" t="s">
        <v>39</v>
      </c>
      <c r="G84" s="11" t="s">
        <v>40</v>
      </c>
      <c r="H84" s="12">
        <v>45006</v>
      </c>
      <c r="I84" s="20">
        <v>168346.35</v>
      </c>
      <c r="J84" s="20">
        <v>9701.15</v>
      </c>
      <c r="K84" s="10" t="s">
        <v>41</v>
      </c>
      <c r="L84" s="9" t="s">
        <v>56</v>
      </c>
      <c r="M84" s="9" t="s">
        <v>166</v>
      </c>
      <c r="N84" s="9" t="s">
        <v>167</v>
      </c>
      <c r="O84" s="9" t="s">
        <v>93</v>
      </c>
      <c r="P84" s="15">
        <v>45006</v>
      </c>
      <c r="Q84" s="9" t="s">
        <v>171</v>
      </c>
      <c r="R84" s="16">
        <v>9700</v>
      </c>
      <c r="S84" s="18">
        <v>1</v>
      </c>
      <c r="T84" s="18">
        <v>0.15</v>
      </c>
      <c r="U84" s="9" t="s">
        <v>55</v>
      </c>
      <c r="V84" s="24" t="str" cm="1">
        <f t="array" ref="V84">_xlfn.IFNA(
    _xlfn.IFS(
        ISNUMBER(SEARCH("Fast Outgoing Transfer",L84)),"Transfer",
        ISNUMBER(SEARCH("Incoming Fast Transfer",L84)),"Transfer",
        ISNUMBER(SEARCH("Outgoing International Transfer",L84)),"Transfer",
        ISNUMBER(SEARCH("Bill Payment",L84)),"SADAD",
        ISNUMBER(SEARCH("Payroll",L84)),"Payroll",
        ISNUMBER(SEARCH("Cash Deposit",L84)),"Cash",
        ISNUMBER(SEARCH("Internal Transfer",L84)),"Transfer",
        ISNUMBER(SEARCH("Expatriate Services Payment",L84)),"SADAD",
        ISNUMBER(SEARCH("Rejected",L84)),"Transfer"
    ),
    "-"
)</f>
        <v>Transfer</v>
      </c>
      <c r="W84" s="25" t="str" cm="1">
        <f t="array" ref="W84">_xlfn.IFNA(
    _xlfn.IFS(
        AND(V84="Transfer",ISNUMBER(SEARCH("RIYAD BANK",L84))),"External FI",
        AND(V84="Transfer",ISNUMBER(SEARCH("Al Ahli",L84))),"External FI",
        AND(V84="Transfer",ISNUMBER(SEARCH("CIB via",L84))),"Local Transfer",
        AND(V84="Transfer",ISNUMBER(SEARCH("CIB)",L84))),"Local Transfer",
        AND(V84="Transfer",ISNUMBER(SEARCH("SMRT",L84))),"Local Transfer",
        AND(V84="Transfer",ISNUMBER(SEARCH("Al Murabba",L84))),"Local Transfer",
        AND(V84="Transfer",ISNUMBER(SEARCH("Internal Transfer",L84))),"Same FI",
        AND(V84="Transfer",ISNUMBER(SEARCH("Rejected",L84))),"Failed",
        V84="SADAD",
            _xlfn.IFS(
                ISNUMBER(SEARCH("Expatriate",L84)),"Expat Fees",
                TRUE,"Online Payment"
            ),
        V84="Payroll","Payroll",
        V84="Cash","Deposit",
        TRUE,"-"
    ),
    "-"
)</f>
        <v>Local Transfer</v>
      </c>
      <c r="X84" s="25" t="str" cm="1">
        <f t="array" ref="X84">_xlfn.IFNA(
    _xlfn.IFS(
        V84="-","Low",
        W84="-","Low",
        TRUE,"High"
    ),
    "-"
)</f>
        <v>High</v>
      </c>
      <c r="Y84" s="25" t="str">
        <f t="shared" si="4"/>
        <v>-</v>
      </c>
      <c r="Z84" s="25" t="str" cm="1">
        <f t="array" ref="Z84">_xlfn.IFNA(
    _xlfn.IFS(
        ISNUMBER(SEARCH("Abdul Latif Jameel",M84)),"Lender",
        ISNUMBER(SEARCH("Abdullah Abdulkarim Al Sudais",M84)),"Accounting",
        ISNUMBER(SEARCH("Abdullah Fahad for Accounting",M84)),"Accounting",
        ISNUMBER(SEARCH("Abdullah Rashid Shaikh",M84)),"Shareholder",
        ISNUMBER(SEARCH("Advanced Equipments",M84)),"Equipment Rental",
        ISNUMBER(SEARCH("Al Banuk Sana",M84)),"Telecom Company",
        ISNUMBER(SEARCH("Al Khaleefa Factory",M84)),"Manufacturer",
        ISNUMBER(SEARCH("Al Saadeh Trading",M84)),"Trading Company",
        ISNUMBER(SEARCH("Al Zaehaan",M84)),"Trading Company",
        ISNUMBER(SEARCH("Ali Abdullah K Al Darwish",M84)),"Airlines",
        ISNUMBER(SEARCH("Bupa Arabia",M84)),"Health Insurance",
        ISNUMBER(SEARCH("Dar Fahoosaat",M84)),"Consultant",
        ISNUMBER(SEARCH("General Authority of Zakat",M84)),"Tax Collection",
        ISNUMBER(SEARCH("Gulf Voyager",M84)),"Travel Agency",
        ISNUMBER(SEARCH("Hopeway Trading",M84)),"Trading Company",
        ISNUMBER(SEARCH("Interhealth Medical",M84)),"Medical Services",
        ISNUMBER(SEARCH("Ishaar",M84)),"Online Payment Service",
        ISNUMBER(SEARCH("ISO Arabia",M84)),"Certification",
        ISNUMBER(SEARCH("Khalid Saad Al Otaibi",M84)),"Trading Company",
        ISNUMBER(SEARCH("MERAS for Decoration",M84)),"Decor Company",
        ISNUMBER(SEARCH("Middle East Customs Clearance",M84)),"Customs",
        ISNUMBER(SEARCH("Ministry of Human Resources",M84)),"Government",
        ISNUMBER(SEARCH("My Business Services",M84)),"Service Provider",
        ISNUMBER(SEARCH("National Water Company",M84)),"Water Company",
        ISNUMBER(SEARCH("Rania Contracting",M84)),"Contracting",
        ISNUMBER(SEARCH("Rashid Ali Sheikh",M84)),"Shareholder",
        ISNUMBER(SEARCH("Sahab United Motors",M84)),"Car Show Room",
        ISNUMBER(SEARCH("Saud Mohammed Al Tamimi",M84)),"Shareholder",
        ISNUMBER(SEARCH("Saud Mohammed Tamimi",M84)),"Shareholder",
        ISNUMBER(SEARCH("Saudi Electric Company",M84)),"Electricity Company",
        ISNUMBER(SEARCH("Saudi Vetonit",M84)),"Building Materials",
        ISNUMBER(SEARCH("Shomoul Eng",M84)),"Safety",
        ISNUMBER(SEARCH("STC",M84)),"Telecom Company",
        ISNUMBER(SEARCH("The General Organization for Social Insurance",M84)),"Social Insurance Agency",
        ISNUMBER(SEARCH("TUV Rheinland",M84)),"Certification",
        ISNUMBER(SEARCH("Al Arabia Ceramic",M84)),"Building Materials",
        ISNUMBER(SEARCH("National Company for Building and Marketing",M84)),"Parent Company",
        ISNUMBER(SEARCH("Athraa Holding",M84)),"Holding Company",
        ISNUMBER(SEARCH("Al Rasan",M84)),"Contracting",
        ISNUMBER(SEARCH("Raboua Al Haid",M84)),"Trading Company",
        ISNUMBER(SEARCH("Al Jazeera Paint",M84)),"Manufacturer",
        ISNUMBER(SEARCH("Rania Works Contracting",M84)),"Contracting",
        ISNUMBER(SEARCH("Bandar Jarallah",M84)),"Trading Establishment",
        ISNUMBER(SEARCH("RS Infratec Saudi",M84)),"Same Company",
        ISNUMBER(SEARCH("Payroll",M84)),"Bank",
        ISNUMBER(SEARCH("Expatriate",M84)),"Government",
        ISNUMBER(SEARCH("Unknown Sender",M84)),"Unknown",
        TRUE,"Unknown"
    ),
    "-"
)</f>
        <v>Contracting</v>
      </c>
      <c r="AA84" s="25" t="str" cm="1">
        <f t="array" ref="AA84">_xlfn.IFNA(
    _xlfn.IFS(
        Z84="Lender","Financing",
        Z84="Accounting","Accounting",
        Z84="Shareholder","Individual",
        Z84="Equipment Rental","Equipment Rental",
        Z84="Telecom Company","Telecom",
        Z84="Manufacturer","Manufacturer",
        Z84="Trading Company","Trading And Transport",
        Z84="Trading Establishment","Trading",
        Z84="Airlines","Airlines",
        Z84="Health Insurance","Insurance",
        Z84="Consultant","Consultant",
        Z84="Tax Collection","Government",
        Z84="Travel Agency","Travel Agency",
        Z84="Medical Services","Medical Center",
        Z84="Online Payment Service","Payment Facilitator",
        Z84="Certification","Safety",
        Z84="Decor Company","Design",
        Z84="Customs","Customs",
        Z84="Government","Government",
        Z84="Service Provider","Service Provider",
        Z84="Water Company","Water Company",
        Z84="Contracting","Contracting",
        Z84="Car Show Room","Car Trader",
        Z84="Electricity Company","Electricity Company",
        Z84="Building Materials","Building Materials",
        Z84="Safety","Safety",
        Z84="Social Insurance Agency","Government Fund",
        Z84="Parent Company","Holding Company",
        Z84="Holding Company","Holding Company",
        Z84="Same Company","Construction",
        Z84="Bank","Bank",
        Z84="Unknown","Unknown",
        TRUE,"-"
    ),
    "-"
)</f>
        <v>Contracting</v>
      </c>
      <c r="AB84" s="25" t="str">
        <f t="shared" si="5"/>
        <v>-</v>
      </c>
      <c r="AC84" s="25" t="str" cm="1">
        <f t="array" ref="AC84">_xlfn.IFNA(
    _xlfn.IFS(
        Z84="Shareholder","Shareholder",
        Z84="Same Company","Same Company",
        Z84="Bank","Bank",
        Z84="Government","Government",
        Z84="Social Insurance Agency","Government",
        Z84="Parent Company","Customer",
        Z84="Lender","Lender",
        Z84="Unknown","Unknown",
        ISNUMBER(SEARCH("Abdullah Abdulkarim",M84)),"Service Provider",
        ISNUMBER(SEARCH("Abdullah Fahad",M84)),"Service Provider",
        ISNUMBER(SEARCH("Advanced Equipments",M84)),"Supplier",
        ISNUMBER(SEARCH("Al Banuk Sana",M84)),"Supplier",
        ISNUMBER(SEARCH("Al Khaleefa Factory",M84)),"Supplier",
        ISNUMBER(SEARCH("Al Saadeh Trading",M84)),"Supplier",
        ISNUMBER(SEARCH("Al Zaehaan",M84)),"Supplier",
        ISNUMBER(SEARCH("Ali Abdullah K Al Darwish",M84)),"Service Provider",
        ISNUMBER(SEARCH("Bupa Arabia",M84)),"Insurance Company",
        ISNUMBER(SEARCH("Dar Fahoosaat",M84)),"Service Provider",
        ISNUMBER(SEARCH("General Authority of Zakat",M84)),"Tax Authority",
        ISNUMBER(SEARCH("Gulf Voyager",M84)),"Service Provider",
        ISNUMBER(SEARCH("Hopeway Trading",M84)),"Supplier",
        ISNUMBER(SEARCH("Interhealth Medical",M84)),"Customer",
        ISNUMBER(SEARCH("Ishaar",M84)),"Service Provider",
        ISNUMBER(SEARCH("ISO Arabia",M84)),"Service Provider",
        ISNUMBER(SEARCH("Khalid Saad Al Otaibi",M84)),"Supplier",
        ISNUMBER(SEARCH("MERAS for Decoration",M84)),"Supplier",
        ISNUMBER(SEARCH("Middle East Customs Clearance",M84)),"Service Provider",
        ISNUMBER(SEARCH("Ministry of Human Resources",M84)),"Regulatory Agency",
        ISNUMBER(SEARCH("My Business Services",M84)),"Service Provider",
        ISNUMBER(SEARCH("National Water Company",M84)),"Utility Provider",
        ISNUMBER(SEARCH("Rania Contracting",M84)),"Supplier",
        ISNUMBER(SEARCH("Sahab United Motors",M84)),"Supplier",
        ISNUMBER(SEARCH("Saudi Electric Company",M84)),"Utility Provider",
        ISNUMBER(SEARCH("Saudi Vetonit",M84)),"Supplier",
        ISNUMBER(SEARCH("Shomoul Eng",M84)),"Service Provider",
        ISNUMBER(SEARCH("STC",M84)),"Utility Provider",
        ISNUMBER(SEARCH("The General Organization for Social Insurance",M84)),"Social Insurance Agency",
        ISNUMBER(SEARCH("TUV Rheinland",M84)),"Service Provider",
        ISNUMBER(SEARCH("Al Arabia Ceramic",M84)),"Supplier",
        ISNUMBER(SEARCH("National Company for Building",M84)),"Customer",
        ISNUMBER(SEARCH("Athraa Holding",M84)),"Customer",
        ISNUMBER(SEARCH("Al Rasan",M84)),"Supplier",
        ISNUMBER(SEARCH("Raboua Al Haid",M84)),"Customer",
        ISNUMBER(SEARCH("Al Jazeera Paint",M84)),"Supplier",
        ISNUMBER(SEARCH("Rania Works Contracting",M84)),"Supplier",
        ISNUMBER(SEARCH("Bandar Jarallah",M84)),"Supplier",
        TRUE,"Supplier"
    ),
    "-"
)</f>
        <v>Supplier</v>
      </c>
      <c r="AD84" s="25" t="str" cm="1">
        <f t="array" ref="AD84">_xlfn.IFNA(
    _xlfn.IFS(
        AC84="Same Company","High",
        AC84="Shareholder","High",
        AC84="Government","High",
        AC84="Bank","High",
        AC84="Lender","High",
        AC84="Unknown","Low",
        AC84="-","Low",
        TRUE,"Medium"
    ),
    "-"
)</f>
        <v>Medium</v>
      </c>
      <c r="AE84" s="25" t="str">
        <f t="shared" si="6"/>
        <v>-</v>
      </c>
      <c r="AF84" s="25" t="str" cm="1">
        <f t="array" ref="AF84">_xlfn.IFNA(
    _xlfn.IFS(
        K84="Credit",
            _xlfn.IFS(
                OR(ISNUMBER(SEARCH("Rejected",L84)),ISNUMBER(SEARCH("Returned",L84))),"Other Income",
                TRUE,"Revenue"
            ),
        K84="Debit",
            _xlfn.IFS(
                ISNUMBER(SEARCH("Payroll",L84)),"OPEX",
                ISNUMBER(SEARCH("Expatriate",L84)),"OPEX",
                ISNUMBER(SEARCH("Zakat",M84)),"ZATCA",
                ISNUMBER(SEARCH("General Organization for Social Insurance",M84)),"OPEX",
                ISNUMBER(SEARCH("Saudi Electric",M84)),"OPEX",
                ISNUMBER(SEARCH("STC",M84)),"OPEX",
                ISNUMBER(SEARCH("National Water",M84)),"OPEX",
                ISNUMBER(SEARCH("Bupa",M84)),"OPEX",
                ISNUMBER(SEARCH("Abdullah Abdulkarim",M84)),"OPEX",
                ISNUMBER(SEARCH("Abdullah Fahad",M84)),"OPEX",
                ISNUMBER(SEARCH("ISO Arabia",M84)),"OPEX",
                ISNUMBER(SEARCH("Gulf Voyager",M84)),"OPEX",
                ISNUMBER(SEARCH("Ministry",M84)),"OPEX",
                ISNUMBER(SEARCH("General Authority of Zakat",M84)),"ZATCA",
                ISNUMBER(SEARCH("Rejected",L84)),"Other Income",
                TRUE,"COGS"
            ),
        TRUE,"-"
    ),
    "-"
)</f>
        <v>COGS</v>
      </c>
      <c r="AG84" s="25" t="str" cm="1">
        <f t="array" ref="AG84">_xlfn.IFNA(
    _xlfn.IFS(
        ISNUMBER(SEARCH("Payroll",L84)),"Payroll",
        ISNUMBER(SEARCH("Expatriate",L84)),"Government Fees",
        ISNUMBER(SEARCH("Zakat",M84)),"Zakat",
        ISNUMBER(SEARCH("Social Insurance",M84)),"Social Insurance",
        ISNUMBER(SEARCH("Saudi Electric",M84)),"Electricity",
        ISNUMBER(SEARCH("STC",M84)),"Telecom",
        ISNUMBER(SEARCH("National Water",M84)),"Water",
        ISNUMBER(SEARCH("Bupa",M84)),"Insurance",
        ISNUMBER(SEARCH("Gulf Voyager",M84)),"Travel",
        ISNUMBER(SEARCH("Ministry",M84)),"Government Fees",
        ISNUMBER(SEARCH("Abdullah Abdulkarim",M84)),"Consulting",
        ISNUMBER(SEARCH("Abdullah Fahad",M84)),"Accounting",
        ISNUMBER(SEARCH("ISO Arabia",M84)),"Consulting",
        ISNUMBER(SEARCH("Rejected",L84)),"Refund",
        AF84="COGS","Inventory Purchase",
        AF84="Revenue","Revenue",
        AF84="OPEX","Other",
        AF84="ZATCA","Zakat",
        TRUE,"-"
    ),
    "-"
)</f>
        <v>Inventory Purchase</v>
      </c>
      <c r="AH84" s="25" t="str" cm="1">
        <f t="array" ref="AH84">_xlfn.IFNA(
    _xlfn.IFS(
        AF84="-","Low",
        AF84="Other","Low",
        TRUE,"Medium"
    ),
    "-"
)</f>
        <v>Medium</v>
      </c>
      <c r="AI84" s="25" t="str">
        <f t="shared" si="7"/>
        <v>-</v>
      </c>
    </row>
    <row r="85" spans="1:35" x14ac:dyDescent="0.25">
      <c r="A85" s="10">
        <v>5</v>
      </c>
      <c r="B85" s="10" t="s">
        <v>35</v>
      </c>
      <c r="C85" s="10" t="s">
        <v>36</v>
      </c>
      <c r="D85" s="10" t="s">
        <v>37</v>
      </c>
      <c r="E85" s="10" t="s">
        <v>38</v>
      </c>
      <c r="F85" s="11" t="s">
        <v>39</v>
      </c>
      <c r="G85" s="11" t="s">
        <v>40</v>
      </c>
      <c r="H85" s="12">
        <v>45025</v>
      </c>
      <c r="I85" s="20">
        <v>1582.13</v>
      </c>
      <c r="J85" s="20">
        <v>5201.1499999999996</v>
      </c>
      <c r="K85" s="10" t="s">
        <v>41</v>
      </c>
      <c r="L85" s="9" t="s">
        <v>56</v>
      </c>
      <c r="M85" s="9" t="s">
        <v>166</v>
      </c>
      <c r="N85" s="9" t="s">
        <v>167</v>
      </c>
      <c r="O85" s="9" t="s">
        <v>93</v>
      </c>
      <c r="P85" s="15">
        <v>45025</v>
      </c>
      <c r="Q85" s="9" t="s">
        <v>172</v>
      </c>
      <c r="R85" s="16">
        <v>5200</v>
      </c>
      <c r="S85" s="18">
        <v>1</v>
      </c>
      <c r="T85" s="18">
        <v>0.15</v>
      </c>
      <c r="U85" s="9" t="s">
        <v>55</v>
      </c>
      <c r="V85" s="24" t="str" cm="1">
        <f t="array" ref="V85">_xlfn.IFNA(
    _xlfn.IFS(
        ISNUMBER(SEARCH("Fast Outgoing Transfer",L85)),"Transfer",
        ISNUMBER(SEARCH("Incoming Fast Transfer",L85)),"Transfer",
        ISNUMBER(SEARCH("Outgoing International Transfer",L85)),"Transfer",
        ISNUMBER(SEARCH("Bill Payment",L85)),"SADAD",
        ISNUMBER(SEARCH("Payroll",L85)),"Payroll",
        ISNUMBER(SEARCH("Cash Deposit",L85)),"Cash",
        ISNUMBER(SEARCH("Internal Transfer",L85)),"Transfer",
        ISNUMBER(SEARCH("Expatriate Services Payment",L85)),"SADAD",
        ISNUMBER(SEARCH("Rejected",L85)),"Transfer"
    ),
    "-"
)</f>
        <v>Transfer</v>
      </c>
      <c r="W85" s="25" t="str" cm="1">
        <f t="array" ref="W85">_xlfn.IFNA(
    _xlfn.IFS(
        AND(V85="Transfer",ISNUMBER(SEARCH("RIYAD BANK",L85))),"External FI",
        AND(V85="Transfer",ISNUMBER(SEARCH("Al Ahli",L85))),"External FI",
        AND(V85="Transfer",ISNUMBER(SEARCH("CIB via",L85))),"Local Transfer",
        AND(V85="Transfer",ISNUMBER(SEARCH("CIB)",L85))),"Local Transfer",
        AND(V85="Transfer",ISNUMBER(SEARCH("SMRT",L85))),"Local Transfer",
        AND(V85="Transfer",ISNUMBER(SEARCH("Al Murabba",L85))),"Local Transfer",
        AND(V85="Transfer",ISNUMBER(SEARCH("Internal Transfer",L85))),"Same FI",
        AND(V85="Transfer",ISNUMBER(SEARCH("Rejected",L85))),"Failed",
        V85="SADAD",
            _xlfn.IFS(
                ISNUMBER(SEARCH("Expatriate",L85)),"Expat Fees",
                TRUE,"Online Payment"
            ),
        V85="Payroll","Payroll",
        V85="Cash","Deposit",
        TRUE,"-"
    ),
    "-"
)</f>
        <v>Local Transfer</v>
      </c>
      <c r="X85" s="25" t="str" cm="1">
        <f t="array" ref="X85">_xlfn.IFNA(
    _xlfn.IFS(
        V85="-","Low",
        W85="-","Low",
        TRUE,"High"
    ),
    "-"
)</f>
        <v>High</v>
      </c>
      <c r="Y85" s="25" t="str">
        <f t="shared" si="4"/>
        <v>-</v>
      </c>
      <c r="Z85" s="25" t="str" cm="1">
        <f t="array" ref="Z85">_xlfn.IFNA(
    _xlfn.IFS(
        ISNUMBER(SEARCH("Abdul Latif Jameel",M85)),"Lender",
        ISNUMBER(SEARCH("Abdullah Abdulkarim Al Sudais",M85)),"Accounting",
        ISNUMBER(SEARCH("Abdullah Fahad for Accounting",M85)),"Accounting",
        ISNUMBER(SEARCH("Abdullah Rashid Shaikh",M85)),"Shareholder",
        ISNUMBER(SEARCH("Advanced Equipments",M85)),"Equipment Rental",
        ISNUMBER(SEARCH("Al Banuk Sana",M85)),"Telecom Company",
        ISNUMBER(SEARCH("Al Khaleefa Factory",M85)),"Manufacturer",
        ISNUMBER(SEARCH("Al Saadeh Trading",M85)),"Trading Company",
        ISNUMBER(SEARCH("Al Zaehaan",M85)),"Trading Company",
        ISNUMBER(SEARCH("Ali Abdullah K Al Darwish",M85)),"Airlines",
        ISNUMBER(SEARCH("Bupa Arabia",M85)),"Health Insurance",
        ISNUMBER(SEARCH("Dar Fahoosaat",M85)),"Consultant",
        ISNUMBER(SEARCH("General Authority of Zakat",M85)),"Tax Collection",
        ISNUMBER(SEARCH("Gulf Voyager",M85)),"Travel Agency",
        ISNUMBER(SEARCH("Hopeway Trading",M85)),"Trading Company",
        ISNUMBER(SEARCH("Interhealth Medical",M85)),"Medical Services",
        ISNUMBER(SEARCH("Ishaar",M85)),"Online Payment Service",
        ISNUMBER(SEARCH("ISO Arabia",M85)),"Certification",
        ISNUMBER(SEARCH("Khalid Saad Al Otaibi",M85)),"Trading Company",
        ISNUMBER(SEARCH("MERAS for Decoration",M85)),"Decor Company",
        ISNUMBER(SEARCH("Middle East Customs Clearance",M85)),"Customs",
        ISNUMBER(SEARCH("Ministry of Human Resources",M85)),"Government",
        ISNUMBER(SEARCH("My Business Services",M85)),"Service Provider",
        ISNUMBER(SEARCH("National Water Company",M85)),"Water Company",
        ISNUMBER(SEARCH("Rania Contracting",M85)),"Contracting",
        ISNUMBER(SEARCH("Rashid Ali Sheikh",M85)),"Shareholder",
        ISNUMBER(SEARCH("Sahab United Motors",M85)),"Car Show Room",
        ISNUMBER(SEARCH("Saud Mohammed Al Tamimi",M85)),"Shareholder",
        ISNUMBER(SEARCH("Saud Mohammed Tamimi",M85)),"Shareholder",
        ISNUMBER(SEARCH("Saudi Electric Company",M85)),"Electricity Company",
        ISNUMBER(SEARCH("Saudi Vetonit",M85)),"Building Materials",
        ISNUMBER(SEARCH("Shomoul Eng",M85)),"Safety",
        ISNUMBER(SEARCH("STC",M85)),"Telecom Company",
        ISNUMBER(SEARCH("The General Organization for Social Insurance",M85)),"Social Insurance Agency",
        ISNUMBER(SEARCH("TUV Rheinland",M85)),"Certification",
        ISNUMBER(SEARCH("Al Arabia Ceramic",M85)),"Building Materials",
        ISNUMBER(SEARCH("National Company for Building and Marketing",M85)),"Parent Company",
        ISNUMBER(SEARCH("Athraa Holding",M85)),"Holding Company",
        ISNUMBER(SEARCH("Al Rasan",M85)),"Contracting",
        ISNUMBER(SEARCH("Raboua Al Haid",M85)),"Trading Company",
        ISNUMBER(SEARCH("Al Jazeera Paint",M85)),"Manufacturer",
        ISNUMBER(SEARCH("Rania Works Contracting",M85)),"Contracting",
        ISNUMBER(SEARCH("Bandar Jarallah",M85)),"Trading Establishment",
        ISNUMBER(SEARCH("RS Infratec Saudi",M85)),"Same Company",
        ISNUMBER(SEARCH("Payroll",M85)),"Bank",
        ISNUMBER(SEARCH("Expatriate",M85)),"Government",
        ISNUMBER(SEARCH("Unknown Sender",M85)),"Unknown",
        TRUE,"Unknown"
    ),
    "-"
)</f>
        <v>Contracting</v>
      </c>
      <c r="AA85" s="25" t="str" cm="1">
        <f t="array" ref="AA85">_xlfn.IFNA(
    _xlfn.IFS(
        Z85="Lender","Financing",
        Z85="Accounting","Accounting",
        Z85="Shareholder","Individual",
        Z85="Equipment Rental","Equipment Rental",
        Z85="Telecom Company","Telecom",
        Z85="Manufacturer","Manufacturer",
        Z85="Trading Company","Trading And Transport",
        Z85="Trading Establishment","Trading",
        Z85="Airlines","Airlines",
        Z85="Health Insurance","Insurance",
        Z85="Consultant","Consultant",
        Z85="Tax Collection","Government",
        Z85="Travel Agency","Travel Agency",
        Z85="Medical Services","Medical Center",
        Z85="Online Payment Service","Payment Facilitator",
        Z85="Certification","Safety",
        Z85="Decor Company","Design",
        Z85="Customs","Customs",
        Z85="Government","Government",
        Z85="Service Provider","Service Provider",
        Z85="Water Company","Water Company",
        Z85="Contracting","Contracting",
        Z85="Car Show Room","Car Trader",
        Z85="Electricity Company","Electricity Company",
        Z85="Building Materials","Building Materials",
        Z85="Safety","Safety",
        Z85="Social Insurance Agency","Government Fund",
        Z85="Parent Company","Holding Company",
        Z85="Holding Company","Holding Company",
        Z85="Same Company","Construction",
        Z85="Bank","Bank",
        Z85="Unknown","Unknown",
        TRUE,"-"
    ),
    "-"
)</f>
        <v>Contracting</v>
      </c>
      <c r="AB85" s="25" t="str">
        <f t="shared" si="5"/>
        <v>-</v>
      </c>
      <c r="AC85" s="25" t="str" cm="1">
        <f t="array" ref="AC85">_xlfn.IFNA(
    _xlfn.IFS(
        Z85="Shareholder","Shareholder",
        Z85="Same Company","Same Company",
        Z85="Bank","Bank",
        Z85="Government","Government",
        Z85="Social Insurance Agency","Government",
        Z85="Parent Company","Customer",
        Z85="Lender","Lender",
        Z85="Unknown","Unknown",
        ISNUMBER(SEARCH("Abdullah Abdulkarim",M85)),"Service Provider",
        ISNUMBER(SEARCH("Abdullah Fahad",M85)),"Service Provider",
        ISNUMBER(SEARCH("Advanced Equipments",M85)),"Supplier",
        ISNUMBER(SEARCH("Al Banuk Sana",M85)),"Supplier",
        ISNUMBER(SEARCH("Al Khaleefa Factory",M85)),"Supplier",
        ISNUMBER(SEARCH("Al Saadeh Trading",M85)),"Supplier",
        ISNUMBER(SEARCH("Al Zaehaan",M85)),"Supplier",
        ISNUMBER(SEARCH("Ali Abdullah K Al Darwish",M85)),"Service Provider",
        ISNUMBER(SEARCH("Bupa Arabia",M85)),"Insurance Company",
        ISNUMBER(SEARCH("Dar Fahoosaat",M85)),"Service Provider",
        ISNUMBER(SEARCH("General Authority of Zakat",M85)),"Tax Authority",
        ISNUMBER(SEARCH("Gulf Voyager",M85)),"Service Provider",
        ISNUMBER(SEARCH("Hopeway Trading",M85)),"Supplier",
        ISNUMBER(SEARCH("Interhealth Medical",M85)),"Customer",
        ISNUMBER(SEARCH("Ishaar",M85)),"Service Provider",
        ISNUMBER(SEARCH("ISO Arabia",M85)),"Service Provider",
        ISNUMBER(SEARCH("Khalid Saad Al Otaibi",M85)),"Supplier",
        ISNUMBER(SEARCH("MERAS for Decoration",M85)),"Supplier",
        ISNUMBER(SEARCH("Middle East Customs Clearance",M85)),"Service Provider",
        ISNUMBER(SEARCH("Ministry of Human Resources",M85)),"Regulatory Agency",
        ISNUMBER(SEARCH("My Business Services",M85)),"Service Provider",
        ISNUMBER(SEARCH("National Water Company",M85)),"Utility Provider",
        ISNUMBER(SEARCH("Rania Contracting",M85)),"Supplier",
        ISNUMBER(SEARCH("Sahab United Motors",M85)),"Supplier",
        ISNUMBER(SEARCH("Saudi Electric Company",M85)),"Utility Provider",
        ISNUMBER(SEARCH("Saudi Vetonit",M85)),"Supplier",
        ISNUMBER(SEARCH("Shomoul Eng",M85)),"Service Provider",
        ISNUMBER(SEARCH("STC",M85)),"Utility Provider",
        ISNUMBER(SEARCH("The General Organization for Social Insurance",M85)),"Social Insurance Agency",
        ISNUMBER(SEARCH("TUV Rheinland",M85)),"Service Provider",
        ISNUMBER(SEARCH("Al Arabia Ceramic",M85)),"Supplier",
        ISNUMBER(SEARCH("National Company for Building",M85)),"Customer",
        ISNUMBER(SEARCH("Athraa Holding",M85)),"Customer",
        ISNUMBER(SEARCH("Al Rasan",M85)),"Supplier",
        ISNUMBER(SEARCH("Raboua Al Haid",M85)),"Customer",
        ISNUMBER(SEARCH("Al Jazeera Paint",M85)),"Supplier",
        ISNUMBER(SEARCH("Rania Works Contracting",M85)),"Supplier",
        ISNUMBER(SEARCH("Bandar Jarallah",M85)),"Supplier",
        TRUE,"Supplier"
    ),
    "-"
)</f>
        <v>Supplier</v>
      </c>
      <c r="AD85" s="25" t="str" cm="1">
        <f t="array" ref="AD85">_xlfn.IFNA(
    _xlfn.IFS(
        AC85="Same Company","High",
        AC85="Shareholder","High",
        AC85="Government","High",
        AC85="Bank","High",
        AC85="Lender","High",
        AC85="Unknown","Low",
        AC85="-","Low",
        TRUE,"Medium"
    ),
    "-"
)</f>
        <v>Medium</v>
      </c>
      <c r="AE85" s="25" t="str">
        <f t="shared" si="6"/>
        <v>-</v>
      </c>
      <c r="AF85" s="25" t="str" cm="1">
        <f t="array" ref="AF85">_xlfn.IFNA(
    _xlfn.IFS(
        K85="Credit",
            _xlfn.IFS(
                OR(ISNUMBER(SEARCH("Rejected",L85)),ISNUMBER(SEARCH("Returned",L85))),"Other Income",
                TRUE,"Revenue"
            ),
        K85="Debit",
            _xlfn.IFS(
                ISNUMBER(SEARCH("Payroll",L85)),"OPEX",
                ISNUMBER(SEARCH("Expatriate",L85)),"OPEX",
                ISNUMBER(SEARCH("Zakat",M85)),"ZATCA",
                ISNUMBER(SEARCH("General Organization for Social Insurance",M85)),"OPEX",
                ISNUMBER(SEARCH("Saudi Electric",M85)),"OPEX",
                ISNUMBER(SEARCH("STC",M85)),"OPEX",
                ISNUMBER(SEARCH("National Water",M85)),"OPEX",
                ISNUMBER(SEARCH("Bupa",M85)),"OPEX",
                ISNUMBER(SEARCH("Abdullah Abdulkarim",M85)),"OPEX",
                ISNUMBER(SEARCH("Abdullah Fahad",M85)),"OPEX",
                ISNUMBER(SEARCH("ISO Arabia",M85)),"OPEX",
                ISNUMBER(SEARCH("Gulf Voyager",M85)),"OPEX",
                ISNUMBER(SEARCH("Ministry",M85)),"OPEX",
                ISNUMBER(SEARCH("General Authority of Zakat",M85)),"ZATCA",
                ISNUMBER(SEARCH("Rejected",L85)),"Other Income",
                TRUE,"COGS"
            ),
        TRUE,"-"
    ),
    "-"
)</f>
        <v>COGS</v>
      </c>
      <c r="AG85" s="25" t="str" cm="1">
        <f t="array" ref="AG85">_xlfn.IFNA(
    _xlfn.IFS(
        ISNUMBER(SEARCH("Payroll",L85)),"Payroll",
        ISNUMBER(SEARCH("Expatriate",L85)),"Government Fees",
        ISNUMBER(SEARCH("Zakat",M85)),"Zakat",
        ISNUMBER(SEARCH("Social Insurance",M85)),"Social Insurance",
        ISNUMBER(SEARCH("Saudi Electric",M85)),"Electricity",
        ISNUMBER(SEARCH("STC",M85)),"Telecom",
        ISNUMBER(SEARCH("National Water",M85)),"Water",
        ISNUMBER(SEARCH("Bupa",M85)),"Insurance",
        ISNUMBER(SEARCH("Gulf Voyager",M85)),"Travel",
        ISNUMBER(SEARCH("Ministry",M85)),"Government Fees",
        ISNUMBER(SEARCH("Abdullah Abdulkarim",M85)),"Consulting",
        ISNUMBER(SEARCH("Abdullah Fahad",M85)),"Accounting",
        ISNUMBER(SEARCH("ISO Arabia",M85)),"Consulting",
        ISNUMBER(SEARCH("Rejected",L85)),"Refund",
        AF85="COGS","Inventory Purchase",
        AF85="Revenue","Revenue",
        AF85="OPEX","Other",
        AF85="ZATCA","Zakat",
        TRUE,"-"
    ),
    "-"
)</f>
        <v>Inventory Purchase</v>
      </c>
      <c r="AH85" s="25" t="str" cm="1">
        <f t="array" ref="AH85">_xlfn.IFNA(
    _xlfn.IFS(
        AF85="-","Low",
        AF85="Other","Low",
        TRUE,"Medium"
    ),
    "-"
)</f>
        <v>Medium</v>
      </c>
      <c r="AI85" s="25" t="str">
        <f t="shared" si="7"/>
        <v>-</v>
      </c>
    </row>
    <row r="86" spans="1:35" x14ac:dyDescent="0.25">
      <c r="A86" s="10">
        <v>5</v>
      </c>
      <c r="B86" s="10" t="s">
        <v>35</v>
      </c>
      <c r="C86" s="10" t="s">
        <v>36</v>
      </c>
      <c r="D86" s="10" t="s">
        <v>37</v>
      </c>
      <c r="E86" s="10" t="s">
        <v>38</v>
      </c>
      <c r="F86" s="11" t="s">
        <v>39</v>
      </c>
      <c r="G86" s="11" t="s">
        <v>40</v>
      </c>
      <c r="H86" s="12">
        <v>44930</v>
      </c>
      <c r="I86" s="20">
        <v>168873.51</v>
      </c>
      <c r="J86" s="20">
        <v>1505</v>
      </c>
      <c r="K86" s="10" t="s">
        <v>41</v>
      </c>
      <c r="L86" s="9" t="s">
        <v>189</v>
      </c>
      <c r="M86" s="9" t="s">
        <v>190</v>
      </c>
      <c r="N86" s="9">
        <v>10032617656</v>
      </c>
      <c r="O86" s="9" t="s">
        <v>44</v>
      </c>
      <c r="P86" s="15">
        <v>44930</v>
      </c>
      <c r="Q86" s="9" t="s">
        <v>191</v>
      </c>
      <c r="R86" s="16">
        <v>1505</v>
      </c>
      <c r="U86" s="9" t="s">
        <v>46</v>
      </c>
      <c r="V86" s="24" t="str" cm="1">
        <f t="array" ref="V86">_xlfn.IFNA(
    _xlfn.IFS(
        ISNUMBER(SEARCH("Fast Outgoing Transfer",L86)),"Transfer",
        ISNUMBER(SEARCH("Incoming Fast Transfer",L86)),"Transfer",
        ISNUMBER(SEARCH("Outgoing International Transfer",L86)),"Transfer",
        ISNUMBER(SEARCH("Bill Payment",L86)),"SADAD",
        ISNUMBER(SEARCH("Payroll",L86)),"Payroll",
        ISNUMBER(SEARCH("Cash Deposit",L86)),"Cash",
        ISNUMBER(SEARCH("Internal Transfer",L86)),"Transfer",
        ISNUMBER(SEARCH("Expatriate Services Payment",L86)),"SADAD",
        ISNUMBER(SEARCH("Rejected",L86)),"Transfer"
    ),
    "-"
)</f>
        <v>SADAD</v>
      </c>
      <c r="W86" s="25" t="str" cm="1">
        <f t="array" ref="W86">_xlfn.IFNA(
    _xlfn.IFS(
        AND(V86="Transfer",ISNUMBER(SEARCH("RIYAD BANK",L86))),"External FI",
        AND(V86="Transfer",ISNUMBER(SEARCH("Al Ahli",L86))),"External FI",
        AND(V86="Transfer",ISNUMBER(SEARCH("CIB via",L86))),"Local Transfer",
        AND(V86="Transfer",ISNUMBER(SEARCH("CIB)",L86))),"Local Transfer",
        AND(V86="Transfer",ISNUMBER(SEARCH("SMRT",L86))),"Local Transfer",
        AND(V86="Transfer",ISNUMBER(SEARCH("Al Murabba",L86))),"Local Transfer",
        AND(V86="Transfer",ISNUMBER(SEARCH("Internal Transfer",L86))),"Same FI",
        AND(V86="Transfer",ISNUMBER(SEARCH("Rejected",L86))),"Failed",
        V86="SADAD",
            _xlfn.IFS(
                ISNUMBER(SEARCH("Expatriate",L86)),"Expat Fees",
                TRUE,"Online Payment"
            ),
        V86="Payroll","Payroll",
        V86="Cash","Deposit",
        TRUE,"-"
    ),
    "-"
)</f>
        <v>Online Payment</v>
      </c>
      <c r="X86" s="25" t="str" cm="1">
        <f t="array" ref="X86">_xlfn.IFNA(
    _xlfn.IFS(
        V86="-","Low",
        W86="-","Low",
        TRUE,"High"
    ),
    "-"
)</f>
        <v>High</v>
      </c>
      <c r="Y86" s="25" t="str">
        <f t="shared" si="4"/>
        <v>-</v>
      </c>
      <c r="Z86" s="25" t="str" cm="1">
        <f t="array" ref="Z86">_xlfn.IFNA(
    _xlfn.IFS(
        ISNUMBER(SEARCH("Abdul Latif Jameel",M86)),"Lender",
        ISNUMBER(SEARCH("Abdullah Abdulkarim Al Sudais",M86)),"Accounting",
        ISNUMBER(SEARCH("Abdullah Fahad for Accounting",M86)),"Accounting",
        ISNUMBER(SEARCH("Abdullah Rashid Shaikh",M86)),"Shareholder",
        ISNUMBER(SEARCH("Advanced Equipments",M86)),"Equipment Rental",
        ISNUMBER(SEARCH("Al Banuk Sana",M86)),"Telecom Company",
        ISNUMBER(SEARCH("Al Khaleefa Factory",M86)),"Manufacturer",
        ISNUMBER(SEARCH("Al Saadeh Trading",M86)),"Trading Company",
        ISNUMBER(SEARCH("Al Zaehaan",M86)),"Trading Company",
        ISNUMBER(SEARCH("Ali Abdullah K Al Darwish",M86)),"Airlines",
        ISNUMBER(SEARCH("Bupa Arabia",M86)),"Health Insurance",
        ISNUMBER(SEARCH("Dar Fahoosaat",M86)),"Consultant",
        ISNUMBER(SEARCH("General Authority of Zakat",M86)),"Tax Collection",
        ISNUMBER(SEARCH("Gulf Voyager",M86)),"Travel Agency",
        ISNUMBER(SEARCH("Hopeway Trading",M86)),"Trading Company",
        ISNUMBER(SEARCH("Interhealth Medical",M86)),"Medical Services",
        ISNUMBER(SEARCH("Ishaar",M86)),"Online Payment Service",
        ISNUMBER(SEARCH("ISO Arabia",M86)),"Certification",
        ISNUMBER(SEARCH("Khalid Saad Al Otaibi",M86)),"Trading Company",
        ISNUMBER(SEARCH("MERAS for Decoration",M86)),"Decor Company",
        ISNUMBER(SEARCH("Middle East Customs Clearance",M86)),"Customs",
        ISNUMBER(SEARCH("Ministry of Human Resources",M86)),"Government",
        ISNUMBER(SEARCH("My Business Services",M86)),"Service Provider",
        ISNUMBER(SEARCH("National Water Company",M86)),"Water Company",
        ISNUMBER(SEARCH("Rania Contracting",M86)),"Contracting",
        ISNUMBER(SEARCH("Rashid Ali Sheikh",M86)),"Shareholder",
        ISNUMBER(SEARCH("Sahab United Motors",M86)),"Car Show Room",
        ISNUMBER(SEARCH("Saud Mohammed Al Tamimi",M86)),"Shareholder",
        ISNUMBER(SEARCH("Saud Mohammed Tamimi",M86)),"Shareholder",
        ISNUMBER(SEARCH("Saudi Electric Company",M86)),"Electricity Company",
        ISNUMBER(SEARCH("Saudi Vetonit",M86)),"Building Materials",
        ISNUMBER(SEARCH("Shomoul Eng",M86)),"Safety",
        ISNUMBER(SEARCH("STC",M86)),"Telecom Company",
        ISNUMBER(SEARCH("The General Organization for Social Insurance",M86)),"Social Insurance Agency",
        ISNUMBER(SEARCH("TUV Rheinland",M86)),"Certification",
        ISNUMBER(SEARCH("Al Arabia Ceramic",M86)),"Building Materials",
        ISNUMBER(SEARCH("National Company for Building and Marketing",M86)),"Parent Company",
        ISNUMBER(SEARCH("Athraa Holding",M86)),"Holding Company",
        ISNUMBER(SEARCH("Al Rasan",M86)),"Contracting",
        ISNUMBER(SEARCH("Raboua Al Haid",M86)),"Trading Company",
        ISNUMBER(SEARCH("Al Jazeera Paint",M86)),"Manufacturer",
        ISNUMBER(SEARCH("Rania Works Contracting",M86)),"Contracting",
        ISNUMBER(SEARCH("Bandar Jarallah",M86)),"Trading Establishment",
        ISNUMBER(SEARCH("RS Infratec Saudi",M86)),"Same Company",
        ISNUMBER(SEARCH("Payroll",M86)),"Bank",
        ISNUMBER(SEARCH("Expatriate",M86)),"Government",
        ISNUMBER(SEARCH("Unknown Sender",M86)),"Unknown",
        TRUE,"Unknown"
    ),
    "-"
)</f>
        <v>Electricity Company</v>
      </c>
      <c r="AA86" s="25" t="str" cm="1">
        <f t="array" ref="AA86">_xlfn.IFNA(
    _xlfn.IFS(
        Z86="Lender","Financing",
        Z86="Accounting","Accounting",
        Z86="Shareholder","Individual",
        Z86="Equipment Rental","Equipment Rental",
        Z86="Telecom Company","Telecom",
        Z86="Manufacturer","Manufacturer",
        Z86="Trading Company","Trading And Transport",
        Z86="Trading Establishment","Trading",
        Z86="Airlines","Airlines",
        Z86="Health Insurance","Insurance",
        Z86="Consultant","Consultant",
        Z86="Tax Collection","Government",
        Z86="Travel Agency","Travel Agency",
        Z86="Medical Services","Medical Center",
        Z86="Online Payment Service","Payment Facilitator",
        Z86="Certification","Safety",
        Z86="Decor Company","Design",
        Z86="Customs","Customs",
        Z86="Government","Government",
        Z86="Service Provider","Service Provider",
        Z86="Water Company","Water Company",
        Z86="Contracting","Contracting",
        Z86="Car Show Room","Car Trader",
        Z86="Electricity Company","Electricity Company",
        Z86="Building Materials","Building Materials",
        Z86="Safety","Safety",
        Z86="Social Insurance Agency","Government Fund",
        Z86="Parent Company","Holding Company",
        Z86="Holding Company","Holding Company",
        Z86="Same Company","Construction",
        Z86="Bank","Bank",
        Z86="Unknown","Unknown",
        TRUE,"-"
    ),
    "-"
)</f>
        <v>Electricity Company</v>
      </c>
      <c r="AB86" s="25" t="str">
        <f t="shared" si="5"/>
        <v>-</v>
      </c>
      <c r="AC86" s="25" t="str" cm="1">
        <f t="array" ref="AC86">_xlfn.IFNA(
    _xlfn.IFS(
        Z86="Shareholder","Shareholder",
        Z86="Same Company","Same Company",
        Z86="Bank","Bank",
        Z86="Government","Government",
        Z86="Social Insurance Agency","Government",
        Z86="Parent Company","Customer",
        Z86="Lender","Lender",
        Z86="Unknown","Unknown",
        ISNUMBER(SEARCH("Abdullah Abdulkarim",M86)),"Service Provider",
        ISNUMBER(SEARCH("Abdullah Fahad",M86)),"Service Provider",
        ISNUMBER(SEARCH("Advanced Equipments",M86)),"Supplier",
        ISNUMBER(SEARCH("Al Banuk Sana",M86)),"Supplier",
        ISNUMBER(SEARCH("Al Khaleefa Factory",M86)),"Supplier",
        ISNUMBER(SEARCH("Al Saadeh Trading",M86)),"Supplier",
        ISNUMBER(SEARCH("Al Zaehaan",M86)),"Supplier",
        ISNUMBER(SEARCH("Ali Abdullah K Al Darwish",M86)),"Service Provider",
        ISNUMBER(SEARCH("Bupa Arabia",M86)),"Insurance Company",
        ISNUMBER(SEARCH("Dar Fahoosaat",M86)),"Service Provider",
        ISNUMBER(SEARCH("General Authority of Zakat",M86)),"Tax Authority",
        ISNUMBER(SEARCH("Gulf Voyager",M86)),"Service Provider",
        ISNUMBER(SEARCH("Hopeway Trading",M86)),"Supplier",
        ISNUMBER(SEARCH("Interhealth Medical",M86)),"Customer",
        ISNUMBER(SEARCH("Ishaar",M86)),"Service Provider",
        ISNUMBER(SEARCH("ISO Arabia",M86)),"Service Provider",
        ISNUMBER(SEARCH("Khalid Saad Al Otaibi",M86)),"Supplier",
        ISNUMBER(SEARCH("MERAS for Decoration",M86)),"Supplier",
        ISNUMBER(SEARCH("Middle East Customs Clearance",M86)),"Service Provider",
        ISNUMBER(SEARCH("Ministry of Human Resources",M86)),"Regulatory Agency",
        ISNUMBER(SEARCH("My Business Services",M86)),"Service Provider",
        ISNUMBER(SEARCH("National Water Company",M86)),"Utility Provider",
        ISNUMBER(SEARCH("Rania Contracting",M86)),"Supplier",
        ISNUMBER(SEARCH("Sahab United Motors",M86)),"Supplier",
        ISNUMBER(SEARCH("Saudi Electric Company",M86)),"Utility Provider",
        ISNUMBER(SEARCH("Saudi Vetonit",M86)),"Supplier",
        ISNUMBER(SEARCH("Shomoul Eng",M86)),"Service Provider",
        ISNUMBER(SEARCH("STC",M86)),"Utility Provider",
        ISNUMBER(SEARCH("The General Organization for Social Insurance",M86)),"Social Insurance Agency",
        ISNUMBER(SEARCH("TUV Rheinland",M86)),"Service Provider",
        ISNUMBER(SEARCH("Al Arabia Ceramic",M86)),"Supplier",
        ISNUMBER(SEARCH("National Company for Building",M86)),"Customer",
        ISNUMBER(SEARCH("Athraa Holding",M86)),"Customer",
        ISNUMBER(SEARCH("Al Rasan",M86)),"Supplier",
        ISNUMBER(SEARCH("Raboua Al Haid",M86)),"Customer",
        ISNUMBER(SEARCH("Al Jazeera Paint",M86)),"Supplier",
        ISNUMBER(SEARCH("Rania Works Contracting",M86)),"Supplier",
        ISNUMBER(SEARCH("Bandar Jarallah",M86)),"Supplier",
        TRUE,"Supplier"
    ),
    "-"
)</f>
        <v>Utility Provider</v>
      </c>
      <c r="AD86" s="25" t="str" cm="1">
        <f t="array" ref="AD86">_xlfn.IFNA(
    _xlfn.IFS(
        AC86="Same Company","High",
        AC86="Shareholder","High",
        AC86="Government","High",
        AC86="Bank","High",
        AC86="Lender","High",
        AC86="Unknown","Low",
        AC86="-","Low",
        TRUE,"Medium"
    ),
    "-"
)</f>
        <v>Medium</v>
      </c>
      <c r="AE86" s="25" t="str">
        <f t="shared" si="6"/>
        <v>-</v>
      </c>
      <c r="AF86" s="25" t="str" cm="1">
        <f t="array" ref="AF86">_xlfn.IFNA(
    _xlfn.IFS(
        K86="Credit",
            _xlfn.IFS(
                OR(ISNUMBER(SEARCH("Rejected",L86)),ISNUMBER(SEARCH("Returned",L86))),"Other Income",
                TRUE,"Revenue"
            ),
        K86="Debit",
            _xlfn.IFS(
                ISNUMBER(SEARCH("Payroll",L86)),"OPEX",
                ISNUMBER(SEARCH("Expatriate",L86)),"OPEX",
                ISNUMBER(SEARCH("Zakat",M86)),"ZATCA",
                ISNUMBER(SEARCH("General Organization for Social Insurance",M86)),"OPEX",
                ISNUMBER(SEARCH("Saudi Electric",M86)),"OPEX",
                ISNUMBER(SEARCH("STC",M86)),"OPEX",
                ISNUMBER(SEARCH("National Water",M86)),"OPEX",
                ISNUMBER(SEARCH("Bupa",M86)),"OPEX",
                ISNUMBER(SEARCH("Abdullah Abdulkarim",M86)),"OPEX",
                ISNUMBER(SEARCH("Abdullah Fahad",M86)),"OPEX",
                ISNUMBER(SEARCH("ISO Arabia",M86)),"OPEX",
                ISNUMBER(SEARCH("Gulf Voyager",M86)),"OPEX",
                ISNUMBER(SEARCH("Ministry",M86)),"OPEX",
                ISNUMBER(SEARCH("General Authority of Zakat",M86)),"ZATCA",
                ISNUMBER(SEARCH("Rejected",L86)),"Other Income",
                TRUE,"COGS"
            ),
        TRUE,"-"
    ),
    "-"
)</f>
        <v>OPEX</v>
      </c>
      <c r="AG86" s="25" t="str" cm="1">
        <f t="array" ref="AG86">_xlfn.IFNA(
    _xlfn.IFS(
        ISNUMBER(SEARCH("Payroll",L86)),"Payroll",
        ISNUMBER(SEARCH("Expatriate",L86)),"Government Fees",
        ISNUMBER(SEARCH("Zakat",M86)),"Zakat",
        ISNUMBER(SEARCH("Social Insurance",M86)),"Social Insurance",
        ISNUMBER(SEARCH("Saudi Electric",M86)),"Electricity",
        ISNUMBER(SEARCH("STC",M86)),"Telecom",
        ISNUMBER(SEARCH("National Water",M86)),"Water",
        ISNUMBER(SEARCH("Bupa",M86)),"Insurance",
        ISNUMBER(SEARCH("Gulf Voyager",M86)),"Travel",
        ISNUMBER(SEARCH("Ministry",M86)),"Government Fees",
        ISNUMBER(SEARCH("Abdullah Abdulkarim",M86)),"Consulting",
        ISNUMBER(SEARCH("Abdullah Fahad",M86)),"Accounting",
        ISNUMBER(SEARCH("ISO Arabia",M86)),"Consulting",
        ISNUMBER(SEARCH("Rejected",L86)),"Refund",
        AF86="COGS","Inventory Purchase",
        AF86="Revenue","Revenue",
        AF86="OPEX","Other",
        AF86="ZATCA","Zakat",
        TRUE,"-"
    ),
    "-"
)</f>
        <v>Electricity</v>
      </c>
      <c r="AH86" s="25" t="str" cm="1">
        <f t="array" ref="AH86">_xlfn.IFNA(
    _xlfn.IFS(
        AF86="-","Low",
        AF86="Other","Low",
        TRUE,"Medium"
    ),
    "-"
)</f>
        <v>Medium</v>
      </c>
      <c r="AI86" s="25" t="str">
        <f t="shared" si="7"/>
        <v>-</v>
      </c>
    </row>
    <row r="87" spans="1:35" x14ac:dyDescent="0.25">
      <c r="A87" s="10">
        <v>5</v>
      </c>
      <c r="B87" s="10" t="s">
        <v>35</v>
      </c>
      <c r="C87" s="10" t="s">
        <v>36</v>
      </c>
      <c r="D87" s="10" t="s">
        <v>37</v>
      </c>
      <c r="E87" s="10" t="s">
        <v>38</v>
      </c>
      <c r="F87" s="11" t="s">
        <v>39</v>
      </c>
      <c r="G87" s="11" t="s">
        <v>40</v>
      </c>
      <c r="H87" s="12">
        <v>44930</v>
      </c>
      <c r="I87" s="20">
        <v>168066.44</v>
      </c>
      <c r="J87" s="20">
        <v>807.07</v>
      </c>
      <c r="K87" s="10" t="s">
        <v>41</v>
      </c>
      <c r="L87" s="9" t="s">
        <v>189</v>
      </c>
      <c r="M87" s="9" t="s">
        <v>190</v>
      </c>
      <c r="N87" s="9">
        <v>10041104426</v>
      </c>
      <c r="O87" s="9" t="s">
        <v>44</v>
      </c>
      <c r="P87" s="15">
        <v>44930</v>
      </c>
      <c r="Q87" s="9" t="s">
        <v>192</v>
      </c>
      <c r="R87" s="16">
        <v>807.07</v>
      </c>
      <c r="U87" s="9" t="s">
        <v>46</v>
      </c>
      <c r="V87" s="24" t="str" cm="1">
        <f t="array" ref="V87">_xlfn.IFNA(
    _xlfn.IFS(
        ISNUMBER(SEARCH("Fast Outgoing Transfer",L87)),"Transfer",
        ISNUMBER(SEARCH("Incoming Fast Transfer",L87)),"Transfer",
        ISNUMBER(SEARCH("Outgoing International Transfer",L87)),"Transfer",
        ISNUMBER(SEARCH("Bill Payment",L87)),"SADAD",
        ISNUMBER(SEARCH("Payroll",L87)),"Payroll",
        ISNUMBER(SEARCH("Cash Deposit",L87)),"Cash",
        ISNUMBER(SEARCH("Internal Transfer",L87)),"Transfer",
        ISNUMBER(SEARCH("Expatriate Services Payment",L87)),"SADAD",
        ISNUMBER(SEARCH("Rejected",L87)),"Transfer"
    ),
    "-"
)</f>
        <v>SADAD</v>
      </c>
      <c r="W87" s="25" t="str" cm="1">
        <f t="array" ref="W87">_xlfn.IFNA(
    _xlfn.IFS(
        AND(V87="Transfer",ISNUMBER(SEARCH("RIYAD BANK",L87))),"External FI",
        AND(V87="Transfer",ISNUMBER(SEARCH("Al Ahli",L87))),"External FI",
        AND(V87="Transfer",ISNUMBER(SEARCH("CIB via",L87))),"Local Transfer",
        AND(V87="Transfer",ISNUMBER(SEARCH("CIB)",L87))),"Local Transfer",
        AND(V87="Transfer",ISNUMBER(SEARCH("SMRT",L87))),"Local Transfer",
        AND(V87="Transfer",ISNUMBER(SEARCH("Al Murabba",L87))),"Local Transfer",
        AND(V87="Transfer",ISNUMBER(SEARCH("Internal Transfer",L87))),"Same FI",
        AND(V87="Transfer",ISNUMBER(SEARCH("Rejected",L87))),"Failed",
        V87="SADAD",
            _xlfn.IFS(
                ISNUMBER(SEARCH("Expatriate",L87)),"Expat Fees",
                TRUE,"Online Payment"
            ),
        V87="Payroll","Payroll",
        V87="Cash","Deposit",
        TRUE,"-"
    ),
    "-"
)</f>
        <v>Online Payment</v>
      </c>
      <c r="X87" s="25" t="str" cm="1">
        <f t="array" ref="X87">_xlfn.IFNA(
    _xlfn.IFS(
        V87="-","Low",
        W87="-","Low",
        TRUE,"High"
    ),
    "-"
)</f>
        <v>High</v>
      </c>
      <c r="Y87" s="25" t="str">
        <f t="shared" si="4"/>
        <v>-</v>
      </c>
      <c r="Z87" s="25" t="str" cm="1">
        <f t="array" ref="Z87">_xlfn.IFNA(
    _xlfn.IFS(
        ISNUMBER(SEARCH("Abdul Latif Jameel",M87)),"Lender",
        ISNUMBER(SEARCH("Abdullah Abdulkarim Al Sudais",M87)),"Accounting",
        ISNUMBER(SEARCH("Abdullah Fahad for Accounting",M87)),"Accounting",
        ISNUMBER(SEARCH("Abdullah Rashid Shaikh",M87)),"Shareholder",
        ISNUMBER(SEARCH("Advanced Equipments",M87)),"Equipment Rental",
        ISNUMBER(SEARCH("Al Banuk Sana",M87)),"Telecom Company",
        ISNUMBER(SEARCH("Al Khaleefa Factory",M87)),"Manufacturer",
        ISNUMBER(SEARCH("Al Saadeh Trading",M87)),"Trading Company",
        ISNUMBER(SEARCH("Al Zaehaan",M87)),"Trading Company",
        ISNUMBER(SEARCH("Ali Abdullah K Al Darwish",M87)),"Airlines",
        ISNUMBER(SEARCH("Bupa Arabia",M87)),"Health Insurance",
        ISNUMBER(SEARCH("Dar Fahoosaat",M87)),"Consultant",
        ISNUMBER(SEARCH("General Authority of Zakat",M87)),"Tax Collection",
        ISNUMBER(SEARCH("Gulf Voyager",M87)),"Travel Agency",
        ISNUMBER(SEARCH("Hopeway Trading",M87)),"Trading Company",
        ISNUMBER(SEARCH("Interhealth Medical",M87)),"Medical Services",
        ISNUMBER(SEARCH("Ishaar",M87)),"Online Payment Service",
        ISNUMBER(SEARCH("ISO Arabia",M87)),"Certification",
        ISNUMBER(SEARCH("Khalid Saad Al Otaibi",M87)),"Trading Company",
        ISNUMBER(SEARCH("MERAS for Decoration",M87)),"Decor Company",
        ISNUMBER(SEARCH("Middle East Customs Clearance",M87)),"Customs",
        ISNUMBER(SEARCH("Ministry of Human Resources",M87)),"Government",
        ISNUMBER(SEARCH("My Business Services",M87)),"Service Provider",
        ISNUMBER(SEARCH("National Water Company",M87)),"Water Company",
        ISNUMBER(SEARCH("Rania Contracting",M87)),"Contracting",
        ISNUMBER(SEARCH("Rashid Ali Sheikh",M87)),"Shareholder",
        ISNUMBER(SEARCH("Sahab United Motors",M87)),"Car Show Room",
        ISNUMBER(SEARCH("Saud Mohammed Al Tamimi",M87)),"Shareholder",
        ISNUMBER(SEARCH("Saud Mohammed Tamimi",M87)),"Shareholder",
        ISNUMBER(SEARCH("Saudi Electric Company",M87)),"Electricity Company",
        ISNUMBER(SEARCH("Saudi Vetonit",M87)),"Building Materials",
        ISNUMBER(SEARCH("Shomoul Eng",M87)),"Safety",
        ISNUMBER(SEARCH("STC",M87)),"Telecom Company",
        ISNUMBER(SEARCH("The General Organization for Social Insurance",M87)),"Social Insurance Agency",
        ISNUMBER(SEARCH("TUV Rheinland",M87)),"Certification",
        ISNUMBER(SEARCH("Al Arabia Ceramic",M87)),"Building Materials",
        ISNUMBER(SEARCH("National Company for Building and Marketing",M87)),"Parent Company",
        ISNUMBER(SEARCH("Athraa Holding",M87)),"Holding Company",
        ISNUMBER(SEARCH("Al Rasan",M87)),"Contracting",
        ISNUMBER(SEARCH("Raboua Al Haid",M87)),"Trading Company",
        ISNUMBER(SEARCH("Al Jazeera Paint",M87)),"Manufacturer",
        ISNUMBER(SEARCH("Rania Works Contracting",M87)),"Contracting",
        ISNUMBER(SEARCH("Bandar Jarallah",M87)),"Trading Establishment",
        ISNUMBER(SEARCH("RS Infratec Saudi",M87)),"Same Company",
        ISNUMBER(SEARCH("Payroll",M87)),"Bank",
        ISNUMBER(SEARCH("Expatriate",M87)),"Government",
        ISNUMBER(SEARCH("Unknown Sender",M87)),"Unknown",
        TRUE,"Unknown"
    ),
    "-"
)</f>
        <v>Electricity Company</v>
      </c>
      <c r="AA87" s="25" t="str" cm="1">
        <f t="array" ref="AA87">_xlfn.IFNA(
    _xlfn.IFS(
        Z87="Lender","Financing",
        Z87="Accounting","Accounting",
        Z87="Shareholder","Individual",
        Z87="Equipment Rental","Equipment Rental",
        Z87="Telecom Company","Telecom",
        Z87="Manufacturer","Manufacturer",
        Z87="Trading Company","Trading And Transport",
        Z87="Trading Establishment","Trading",
        Z87="Airlines","Airlines",
        Z87="Health Insurance","Insurance",
        Z87="Consultant","Consultant",
        Z87="Tax Collection","Government",
        Z87="Travel Agency","Travel Agency",
        Z87="Medical Services","Medical Center",
        Z87="Online Payment Service","Payment Facilitator",
        Z87="Certification","Safety",
        Z87="Decor Company","Design",
        Z87="Customs","Customs",
        Z87="Government","Government",
        Z87="Service Provider","Service Provider",
        Z87="Water Company","Water Company",
        Z87="Contracting","Contracting",
        Z87="Car Show Room","Car Trader",
        Z87="Electricity Company","Electricity Company",
        Z87="Building Materials","Building Materials",
        Z87="Safety","Safety",
        Z87="Social Insurance Agency","Government Fund",
        Z87="Parent Company","Holding Company",
        Z87="Holding Company","Holding Company",
        Z87="Same Company","Construction",
        Z87="Bank","Bank",
        Z87="Unknown","Unknown",
        TRUE,"-"
    ),
    "-"
)</f>
        <v>Electricity Company</v>
      </c>
      <c r="AB87" s="25" t="str">
        <f t="shared" si="5"/>
        <v>-</v>
      </c>
      <c r="AC87" s="25" t="str" cm="1">
        <f t="array" ref="AC87">_xlfn.IFNA(
    _xlfn.IFS(
        Z87="Shareholder","Shareholder",
        Z87="Same Company","Same Company",
        Z87="Bank","Bank",
        Z87="Government","Government",
        Z87="Social Insurance Agency","Government",
        Z87="Parent Company","Customer",
        Z87="Lender","Lender",
        Z87="Unknown","Unknown",
        ISNUMBER(SEARCH("Abdullah Abdulkarim",M87)),"Service Provider",
        ISNUMBER(SEARCH("Abdullah Fahad",M87)),"Service Provider",
        ISNUMBER(SEARCH("Advanced Equipments",M87)),"Supplier",
        ISNUMBER(SEARCH("Al Banuk Sana",M87)),"Supplier",
        ISNUMBER(SEARCH("Al Khaleefa Factory",M87)),"Supplier",
        ISNUMBER(SEARCH("Al Saadeh Trading",M87)),"Supplier",
        ISNUMBER(SEARCH("Al Zaehaan",M87)),"Supplier",
        ISNUMBER(SEARCH("Ali Abdullah K Al Darwish",M87)),"Service Provider",
        ISNUMBER(SEARCH("Bupa Arabia",M87)),"Insurance Company",
        ISNUMBER(SEARCH("Dar Fahoosaat",M87)),"Service Provider",
        ISNUMBER(SEARCH("General Authority of Zakat",M87)),"Tax Authority",
        ISNUMBER(SEARCH("Gulf Voyager",M87)),"Service Provider",
        ISNUMBER(SEARCH("Hopeway Trading",M87)),"Supplier",
        ISNUMBER(SEARCH("Interhealth Medical",M87)),"Customer",
        ISNUMBER(SEARCH("Ishaar",M87)),"Service Provider",
        ISNUMBER(SEARCH("ISO Arabia",M87)),"Service Provider",
        ISNUMBER(SEARCH("Khalid Saad Al Otaibi",M87)),"Supplier",
        ISNUMBER(SEARCH("MERAS for Decoration",M87)),"Supplier",
        ISNUMBER(SEARCH("Middle East Customs Clearance",M87)),"Service Provider",
        ISNUMBER(SEARCH("Ministry of Human Resources",M87)),"Regulatory Agency",
        ISNUMBER(SEARCH("My Business Services",M87)),"Service Provider",
        ISNUMBER(SEARCH("National Water Company",M87)),"Utility Provider",
        ISNUMBER(SEARCH("Rania Contracting",M87)),"Supplier",
        ISNUMBER(SEARCH("Sahab United Motors",M87)),"Supplier",
        ISNUMBER(SEARCH("Saudi Electric Company",M87)),"Utility Provider",
        ISNUMBER(SEARCH("Saudi Vetonit",M87)),"Supplier",
        ISNUMBER(SEARCH("Shomoul Eng",M87)),"Service Provider",
        ISNUMBER(SEARCH("STC",M87)),"Utility Provider",
        ISNUMBER(SEARCH("The General Organization for Social Insurance",M87)),"Social Insurance Agency",
        ISNUMBER(SEARCH("TUV Rheinland",M87)),"Service Provider",
        ISNUMBER(SEARCH("Al Arabia Ceramic",M87)),"Supplier",
        ISNUMBER(SEARCH("National Company for Building",M87)),"Customer",
        ISNUMBER(SEARCH("Athraa Holding",M87)),"Customer",
        ISNUMBER(SEARCH("Al Rasan",M87)),"Supplier",
        ISNUMBER(SEARCH("Raboua Al Haid",M87)),"Customer",
        ISNUMBER(SEARCH("Al Jazeera Paint",M87)),"Supplier",
        ISNUMBER(SEARCH("Rania Works Contracting",M87)),"Supplier",
        ISNUMBER(SEARCH("Bandar Jarallah",M87)),"Supplier",
        TRUE,"Supplier"
    ),
    "-"
)</f>
        <v>Utility Provider</v>
      </c>
      <c r="AD87" s="25" t="str" cm="1">
        <f t="array" ref="AD87">_xlfn.IFNA(
    _xlfn.IFS(
        AC87="Same Company","High",
        AC87="Shareholder","High",
        AC87="Government","High",
        AC87="Bank","High",
        AC87="Lender","High",
        AC87="Unknown","Low",
        AC87="-","Low",
        TRUE,"Medium"
    ),
    "-"
)</f>
        <v>Medium</v>
      </c>
      <c r="AE87" s="25" t="str">
        <f t="shared" si="6"/>
        <v>-</v>
      </c>
      <c r="AF87" s="25" t="str" cm="1">
        <f t="array" ref="AF87">_xlfn.IFNA(
    _xlfn.IFS(
        K87="Credit",
            _xlfn.IFS(
                OR(ISNUMBER(SEARCH("Rejected",L87)),ISNUMBER(SEARCH("Returned",L87))),"Other Income",
                TRUE,"Revenue"
            ),
        K87="Debit",
            _xlfn.IFS(
                ISNUMBER(SEARCH("Payroll",L87)),"OPEX",
                ISNUMBER(SEARCH("Expatriate",L87)),"OPEX",
                ISNUMBER(SEARCH("Zakat",M87)),"ZATCA",
                ISNUMBER(SEARCH("General Organization for Social Insurance",M87)),"OPEX",
                ISNUMBER(SEARCH("Saudi Electric",M87)),"OPEX",
                ISNUMBER(SEARCH("STC",M87)),"OPEX",
                ISNUMBER(SEARCH("National Water",M87)),"OPEX",
                ISNUMBER(SEARCH("Bupa",M87)),"OPEX",
                ISNUMBER(SEARCH("Abdullah Abdulkarim",M87)),"OPEX",
                ISNUMBER(SEARCH("Abdullah Fahad",M87)),"OPEX",
                ISNUMBER(SEARCH("ISO Arabia",M87)),"OPEX",
                ISNUMBER(SEARCH("Gulf Voyager",M87)),"OPEX",
                ISNUMBER(SEARCH("Ministry",M87)),"OPEX",
                ISNUMBER(SEARCH("General Authority of Zakat",M87)),"ZATCA",
                ISNUMBER(SEARCH("Rejected",L87)),"Other Income",
                TRUE,"COGS"
            ),
        TRUE,"-"
    ),
    "-"
)</f>
        <v>OPEX</v>
      </c>
      <c r="AG87" s="25" t="str" cm="1">
        <f t="array" ref="AG87">_xlfn.IFNA(
    _xlfn.IFS(
        ISNUMBER(SEARCH("Payroll",L87)),"Payroll",
        ISNUMBER(SEARCH("Expatriate",L87)),"Government Fees",
        ISNUMBER(SEARCH("Zakat",M87)),"Zakat",
        ISNUMBER(SEARCH("Social Insurance",M87)),"Social Insurance",
        ISNUMBER(SEARCH("Saudi Electric",M87)),"Electricity",
        ISNUMBER(SEARCH("STC",M87)),"Telecom",
        ISNUMBER(SEARCH("National Water",M87)),"Water",
        ISNUMBER(SEARCH("Bupa",M87)),"Insurance",
        ISNUMBER(SEARCH("Gulf Voyager",M87)),"Travel",
        ISNUMBER(SEARCH("Ministry",M87)),"Government Fees",
        ISNUMBER(SEARCH("Abdullah Abdulkarim",M87)),"Consulting",
        ISNUMBER(SEARCH("Abdullah Fahad",M87)),"Accounting",
        ISNUMBER(SEARCH("ISO Arabia",M87)),"Consulting",
        ISNUMBER(SEARCH("Rejected",L87)),"Refund",
        AF87="COGS","Inventory Purchase",
        AF87="Revenue","Revenue",
        AF87="OPEX","Other",
        AF87="ZATCA","Zakat",
        TRUE,"-"
    ),
    "-"
)</f>
        <v>Electricity</v>
      </c>
      <c r="AH87" s="25" t="str" cm="1">
        <f t="array" ref="AH87">_xlfn.IFNA(
    _xlfn.IFS(
        AF87="-","Low",
        AF87="Other","Low",
        TRUE,"Medium"
    ),
    "-"
)</f>
        <v>Medium</v>
      </c>
      <c r="AI87" s="25" t="str">
        <f t="shared" si="7"/>
        <v>-</v>
      </c>
    </row>
    <row r="88" spans="1:35" x14ac:dyDescent="0.25">
      <c r="A88" s="10">
        <v>5</v>
      </c>
      <c r="B88" s="10" t="s">
        <v>35</v>
      </c>
      <c r="C88" s="10" t="s">
        <v>36</v>
      </c>
      <c r="D88" s="10" t="s">
        <v>37</v>
      </c>
      <c r="E88" s="10" t="s">
        <v>38</v>
      </c>
      <c r="F88" s="11" t="s">
        <v>39</v>
      </c>
      <c r="G88" s="11" t="s">
        <v>40</v>
      </c>
      <c r="H88" s="12">
        <v>44930</v>
      </c>
      <c r="I88" s="20">
        <v>167656.1</v>
      </c>
      <c r="J88" s="20">
        <v>410.34</v>
      </c>
      <c r="K88" s="10" t="s">
        <v>41</v>
      </c>
      <c r="L88" s="9" t="s">
        <v>189</v>
      </c>
      <c r="M88" s="9" t="s">
        <v>190</v>
      </c>
      <c r="N88" s="9">
        <v>30043552140</v>
      </c>
      <c r="O88" s="9" t="s">
        <v>44</v>
      </c>
      <c r="P88" s="15">
        <v>44930</v>
      </c>
      <c r="Q88" s="9" t="s">
        <v>193</v>
      </c>
      <c r="R88" s="16">
        <v>410.34</v>
      </c>
      <c r="U88" s="9" t="s">
        <v>46</v>
      </c>
      <c r="V88" s="24" t="str" cm="1">
        <f t="array" ref="V88">_xlfn.IFNA(
    _xlfn.IFS(
        ISNUMBER(SEARCH("Fast Outgoing Transfer",L88)),"Transfer",
        ISNUMBER(SEARCH("Incoming Fast Transfer",L88)),"Transfer",
        ISNUMBER(SEARCH("Outgoing International Transfer",L88)),"Transfer",
        ISNUMBER(SEARCH("Bill Payment",L88)),"SADAD",
        ISNUMBER(SEARCH("Payroll",L88)),"Payroll",
        ISNUMBER(SEARCH("Cash Deposit",L88)),"Cash",
        ISNUMBER(SEARCH("Internal Transfer",L88)),"Transfer",
        ISNUMBER(SEARCH("Expatriate Services Payment",L88)),"SADAD",
        ISNUMBER(SEARCH("Rejected",L88)),"Transfer"
    ),
    "-"
)</f>
        <v>SADAD</v>
      </c>
      <c r="W88" s="25" t="str" cm="1">
        <f t="array" ref="W88">_xlfn.IFNA(
    _xlfn.IFS(
        AND(V88="Transfer",ISNUMBER(SEARCH("RIYAD BANK",L88))),"External FI",
        AND(V88="Transfer",ISNUMBER(SEARCH("Al Ahli",L88))),"External FI",
        AND(V88="Transfer",ISNUMBER(SEARCH("CIB via",L88))),"Local Transfer",
        AND(V88="Transfer",ISNUMBER(SEARCH("CIB)",L88))),"Local Transfer",
        AND(V88="Transfer",ISNUMBER(SEARCH("SMRT",L88))),"Local Transfer",
        AND(V88="Transfer",ISNUMBER(SEARCH("Al Murabba",L88))),"Local Transfer",
        AND(V88="Transfer",ISNUMBER(SEARCH("Internal Transfer",L88))),"Same FI",
        AND(V88="Transfer",ISNUMBER(SEARCH("Rejected",L88))),"Failed",
        V88="SADAD",
            _xlfn.IFS(
                ISNUMBER(SEARCH("Expatriate",L88)),"Expat Fees",
                TRUE,"Online Payment"
            ),
        V88="Payroll","Payroll",
        V88="Cash","Deposit",
        TRUE,"-"
    ),
    "-"
)</f>
        <v>Online Payment</v>
      </c>
      <c r="X88" s="25" t="str" cm="1">
        <f t="array" ref="X88">_xlfn.IFNA(
    _xlfn.IFS(
        V88="-","Low",
        W88="-","Low",
        TRUE,"High"
    ),
    "-"
)</f>
        <v>High</v>
      </c>
      <c r="Y88" s="25" t="str">
        <f t="shared" si="4"/>
        <v>-</v>
      </c>
      <c r="Z88" s="25" t="str" cm="1">
        <f t="array" ref="Z88">_xlfn.IFNA(
    _xlfn.IFS(
        ISNUMBER(SEARCH("Abdul Latif Jameel",M88)),"Lender",
        ISNUMBER(SEARCH("Abdullah Abdulkarim Al Sudais",M88)),"Accounting",
        ISNUMBER(SEARCH("Abdullah Fahad for Accounting",M88)),"Accounting",
        ISNUMBER(SEARCH("Abdullah Rashid Shaikh",M88)),"Shareholder",
        ISNUMBER(SEARCH("Advanced Equipments",M88)),"Equipment Rental",
        ISNUMBER(SEARCH("Al Banuk Sana",M88)),"Telecom Company",
        ISNUMBER(SEARCH("Al Khaleefa Factory",M88)),"Manufacturer",
        ISNUMBER(SEARCH("Al Saadeh Trading",M88)),"Trading Company",
        ISNUMBER(SEARCH("Al Zaehaan",M88)),"Trading Company",
        ISNUMBER(SEARCH("Ali Abdullah K Al Darwish",M88)),"Airlines",
        ISNUMBER(SEARCH("Bupa Arabia",M88)),"Health Insurance",
        ISNUMBER(SEARCH("Dar Fahoosaat",M88)),"Consultant",
        ISNUMBER(SEARCH("General Authority of Zakat",M88)),"Tax Collection",
        ISNUMBER(SEARCH("Gulf Voyager",M88)),"Travel Agency",
        ISNUMBER(SEARCH("Hopeway Trading",M88)),"Trading Company",
        ISNUMBER(SEARCH("Interhealth Medical",M88)),"Medical Services",
        ISNUMBER(SEARCH("Ishaar",M88)),"Online Payment Service",
        ISNUMBER(SEARCH("ISO Arabia",M88)),"Certification",
        ISNUMBER(SEARCH("Khalid Saad Al Otaibi",M88)),"Trading Company",
        ISNUMBER(SEARCH("MERAS for Decoration",M88)),"Decor Company",
        ISNUMBER(SEARCH("Middle East Customs Clearance",M88)),"Customs",
        ISNUMBER(SEARCH("Ministry of Human Resources",M88)),"Government",
        ISNUMBER(SEARCH("My Business Services",M88)),"Service Provider",
        ISNUMBER(SEARCH("National Water Company",M88)),"Water Company",
        ISNUMBER(SEARCH("Rania Contracting",M88)),"Contracting",
        ISNUMBER(SEARCH("Rashid Ali Sheikh",M88)),"Shareholder",
        ISNUMBER(SEARCH("Sahab United Motors",M88)),"Car Show Room",
        ISNUMBER(SEARCH("Saud Mohammed Al Tamimi",M88)),"Shareholder",
        ISNUMBER(SEARCH("Saud Mohammed Tamimi",M88)),"Shareholder",
        ISNUMBER(SEARCH("Saudi Electric Company",M88)),"Electricity Company",
        ISNUMBER(SEARCH("Saudi Vetonit",M88)),"Building Materials",
        ISNUMBER(SEARCH("Shomoul Eng",M88)),"Safety",
        ISNUMBER(SEARCH("STC",M88)),"Telecom Company",
        ISNUMBER(SEARCH("The General Organization for Social Insurance",M88)),"Social Insurance Agency",
        ISNUMBER(SEARCH("TUV Rheinland",M88)),"Certification",
        ISNUMBER(SEARCH("Al Arabia Ceramic",M88)),"Building Materials",
        ISNUMBER(SEARCH("National Company for Building and Marketing",M88)),"Parent Company",
        ISNUMBER(SEARCH("Athraa Holding",M88)),"Holding Company",
        ISNUMBER(SEARCH("Al Rasan",M88)),"Contracting",
        ISNUMBER(SEARCH("Raboua Al Haid",M88)),"Trading Company",
        ISNUMBER(SEARCH("Al Jazeera Paint",M88)),"Manufacturer",
        ISNUMBER(SEARCH("Rania Works Contracting",M88)),"Contracting",
        ISNUMBER(SEARCH("Bandar Jarallah",M88)),"Trading Establishment",
        ISNUMBER(SEARCH("RS Infratec Saudi",M88)),"Same Company",
        ISNUMBER(SEARCH("Payroll",M88)),"Bank",
        ISNUMBER(SEARCH("Expatriate",M88)),"Government",
        ISNUMBER(SEARCH("Unknown Sender",M88)),"Unknown",
        TRUE,"Unknown"
    ),
    "-"
)</f>
        <v>Electricity Company</v>
      </c>
      <c r="AA88" s="25" t="str" cm="1">
        <f t="array" ref="AA88">_xlfn.IFNA(
    _xlfn.IFS(
        Z88="Lender","Financing",
        Z88="Accounting","Accounting",
        Z88="Shareholder","Individual",
        Z88="Equipment Rental","Equipment Rental",
        Z88="Telecom Company","Telecom",
        Z88="Manufacturer","Manufacturer",
        Z88="Trading Company","Trading And Transport",
        Z88="Trading Establishment","Trading",
        Z88="Airlines","Airlines",
        Z88="Health Insurance","Insurance",
        Z88="Consultant","Consultant",
        Z88="Tax Collection","Government",
        Z88="Travel Agency","Travel Agency",
        Z88="Medical Services","Medical Center",
        Z88="Online Payment Service","Payment Facilitator",
        Z88="Certification","Safety",
        Z88="Decor Company","Design",
        Z88="Customs","Customs",
        Z88="Government","Government",
        Z88="Service Provider","Service Provider",
        Z88="Water Company","Water Company",
        Z88="Contracting","Contracting",
        Z88="Car Show Room","Car Trader",
        Z88="Electricity Company","Electricity Company",
        Z88="Building Materials","Building Materials",
        Z88="Safety","Safety",
        Z88="Social Insurance Agency","Government Fund",
        Z88="Parent Company","Holding Company",
        Z88="Holding Company","Holding Company",
        Z88="Same Company","Construction",
        Z88="Bank","Bank",
        Z88="Unknown","Unknown",
        TRUE,"-"
    ),
    "-"
)</f>
        <v>Electricity Company</v>
      </c>
      <c r="AB88" s="25" t="str">
        <f t="shared" si="5"/>
        <v>-</v>
      </c>
      <c r="AC88" s="25" t="str" cm="1">
        <f t="array" ref="AC88">_xlfn.IFNA(
    _xlfn.IFS(
        Z88="Shareholder","Shareholder",
        Z88="Same Company","Same Company",
        Z88="Bank","Bank",
        Z88="Government","Government",
        Z88="Social Insurance Agency","Government",
        Z88="Parent Company","Customer",
        Z88="Lender","Lender",
        Z88="Unknown","Unknown",
        ISNUMBER(SEARCH("Abdullah Abdulkarim",M88)),"Service Provider",
        ISNUMBER(SEARCH("Abdullah Fahad",M88)),"Service Provider",
        ISNUMBER(SEARCH("Advanced Equipments",M88)),"Supplier",
        ISNUMBER(SEARCH("Al Banuk Sana",M88)),"Supplier",
        ISNUMBER(SEARCH("Al Khaleefa Factory",M88)),"Supplier",
        ISNUMBER(SEARCH("Al Saadeh Trading",M88)),"Supplier",
        ISNUMBER(SEARCH("Al Zaehaan",M88)),"Supplier",
        ISNUMBER(SEARCH("Ali Abdullah K Al Darwish",M88)),"Service Provider",
        ISNUMBER(SEARCH("Bupa Arabia",M88)),"Insurance Company",
        ISNUMBER(SEARCH("Dar Fahoosaat",M88)),"Service Provider",
        ISNUMBER(SEARCH("General Authority of Zakat",M88)),"Tax Authority",
        ISNUMBER(SEARCH("Gulf Voyager",M88)),"Service Provider",
        ISNUMBER(SEARCH("Hopeway Trading",M88)),"Supplier",
        ISNUMBER(SEARCH("Interhealth Medical",M88)),"Customer",
        ISNUMBER(SEARCH("Ishaar",M88)),"Service Provider",
        ISNUMBER(SEARCH("ISO Arabia",M88)),"Service Provider",
        ISNUMBER(SEARCH("Khalid Saad Al Otaibi",M88)),"Supplier",
        ISNUMBER(SEARCH("MERAS for Decoration",M88)),"Supplier",
        ISNUMBER(SEARCH("Middle East Customs Clearance",M88)),"Service Provider",
        ISNUMBER(SEARCH("Ministry of Human Resources",M88)),"Regulatory Agency",
        ISNUMBER(SEARCH("My Business Services",M88)),"Service Provider",
        ISNUMBER(SEARCH("National Water Company",M88)),"Utility Provider",
        ISNUMBER(SEARCH("Rania Contracting",M88)),"Supplier",
        ISNUMBER(SEARCH("Sahab United Motors",M88)),"Supplier",
        ISNUMBER(SEARCH("Saudi Electric Company",M88)),"Utility Provider",
        ISNUMBER(SEARCH("Saudi Vetonit",M88)),"Supplier",
        ISNUMBER(SEARCH("Shomoul Eng",M88)),"Service Provider",
        ISNUMBER(SEARCH("STC",M88)),"Utility Provider",
        ISNUMBER(SEARCH("The General Organization for Social Insurance",M88)),"Social Insurance Agency",
        ISNUMBER(SEARCH("TUV Rheinland",M88)),"Service Provider",
        ISNUMBER(SEARCH("Al Arabia Ceramic",M88)),"Supplier",
        ISNUMBER(SEARCH("National Company for Building",M88)),"Customer",
        ISNUMBER(SEARCH("Athraa Holding",M88)),"Customer",
        ISNUMBER(SEARCH("Al Rasan",M88)),"Supplier",
        ISNUMBER(SEARCH("Raboua Al Haid",M88)),"Customer",
        ISNUMBER(SEARCH("Al Jazeera Paint",M88)),"Supplier",
        ISNUMBER(SEARCH("Rania Works Contracting",M88)),"Supplier",
        ISNUMBER(SEARCH("Bandar Jarallah",M88)),"Supplier",
        TRUE,"Supplier"
    ),
    "-"
)</f>
        <v>Utility Provider</v>
      </c>
      <c r="AD88" s="25" t="str" cm="1">
        <f t="array" ref="AD88">_xlfn.IFNA(
    _xlfn.IFS(
        AC88="Same Company","High",
        AC88="Shareholder","High",
        AC88="Government","High",
        AC88="Bank","High",
        AC88="Lender","High",
        AC88="Unknown","Low",
        AC88="-","Low",
        TRUE,"Medium"
    ),
    "-"
)</f>
        <v>Medium</v>
      </c>
      <c r="AE88" s="25" t="str">
        <f t="shared" si="6"/>
        <v>-</v>
      </c>
      <c r="AF88" s="25" t="str" cm="1">
        <f t="array" ref="AF88">_xlfn.IFNA(
    _xlfn.IFS(
        K88="Credit",
            _xlfn.IFS(
                OR(ISNUMBER(SEARCH("Rejected",L88)),ISNUMBER(SEARCH("Returned",L88))),"Other Income",
                TRUE,"Revenue"
            ),
        K88="Debit",
            _xlfn.IFS(
                ISNUMBER(SEARCH("Payroll",L88)),"OPEX",
                ISNUMBER(SEARCH("Expatriate",L88)),"OPEX",
                ISNUMBER(SEARCH("Zakat",M88)),"ZATCA",
                ISNUMBER(SEARCH("General Organization for Social Insurance",M88)),"OPEX",
                ISNUMBER(SEARCH("Saudi Electric",M88)),"OPEX",
                ISNUMBER(SEARCH("STC",M88)),"OPEX",
                ISNUMBER(SEARCH("National Water",M88)),"OPEX",
                ISNUMBER(SEARCH("Bupa",M88)),"OPEX",
                ISNUMBER(SEARCH("Abdullah Abdulkarim",M88)),"OPEX",
                ISNUMBER(SEARCH("Abdullah Fahad",M88)),"OPEX",
                ISNUMBER(SEARCH("ISO Arabia",M88)),"OPEX",
                ISNUMBER(SEARCH("Gulf Voyager",M88)),"OPEX",
                ISNUMBER(SEARCH("Ministry",M88)),"OPEX",
                ISNUMBER(SEARCH("General Authority of Zakat",M88)),"ZATCA",
                ISNUMBER(SEARCH("Rejected",L88)),"Other Income",
                TRUE,"COGS"
            ),
        TRUE,"-"
    ),
    "-"
)</f>
        <v>OPEX</v>
      </c>
      <c r="AG88" s="25" t="str" cm="1">
        <f t="array" ref="AG88">_xlfn.IFNA(
    _xlfn.IFS(
        ISNUMBER(SEARCH("Payroll",L88)),"Payroll",
        ISNUMBER(SEARCH("Expatriate",L88)),"Government Fees",
        ISNUMBER(SEARCH("Zakat",M88)),"Zakat",
        ISNUMBER(SEARCH("Social Insurance",M88)),"Social Insurance",
        ISNUMBER(SEARCH("Saudi Electric",M88)),"Electricity",
        ISNUMBER(SEARCH("STC",M88)),"Telecom",
        ISNUMBER(SEARCH("National Water",M88)),"Water",
        ISNUMBER(SEARCH("Bupa",M88)),"Insurance",
        ISNUMBER(SEARCH("Gulf Voyager",M88)),"Travel",
        ISNUMBER(SEARCH("Ministry",M88)),"Government Fees",
        ISNUMBER(SEARCH("Abdullah Abdulkarim",M88)),"Consulting",
        ISNUMBER(SEARCH("Abdullah Fahad",M88)),"Accounting",
        ISNUMBER(SEARCH("ISO Arabia",M88)),"Consulting",
        ISNUMBER(SEARCH("Rejected",L88)),"Refund",
        AF88="COGS","Inventory Purchase",
        AF88="Revenue","Revenue",
        AF88="OPEX","Other",
        AF88="ZATCA","Zakat",
        TRUE,"-"
    ),
    "-"
)</f>
        <v>Electricity</v>
      </c>
      <c r="AH88" s="25" t="str" cm="1">
        <f t="array" ref="AH88">_xlfn.IFNA(
    _xlfn.IFS(
        AF88="-","Low",
        AF88="Other","Low",
        TRUE,"Medium"
    ),
    "-"
)</f>
        <v>Medium</v>
      </c>
      <c r="AI88" s="25" t="str">
        <f t="shared" si="7"/>
        <v>-</v>
      </c>
    </row>
    <row r="89" spans="1:35" x14ac:dyDescent="0.25">
      <c r="A89" s="10">
        <v>5</v>
      </c>
      <c r="B89" s="10" t="s">
        <v>35</v>
      </c>
      <c r="C89" s="10" t="s">
        <v>36</v>
      </c>
      <c r="D89" s="10" t="s">
        <v>37</v>
      </c>
      <c r="E89" s="10" t="s">
        <v>38</v>
      </c>
      <c r="F89" s="11" t="s">
        <v>39</v>
      </c>
      <c r="G89" s="10" t="s">
        <v>40</v>
      </c>
      <c r="H89" s="12">
        <v>44934</v>
      </c>
      <c r="I89" s="20">
        <v>17495.919999999998</v>
      </c>
      <c r="J89" s="20">
        <v>414.28</v>
      </c>
      <c r="K89" s="10" t="s">
        <v>41</v>
      </c>
      <c r="L89" s="9" t="s">
        <v>189</v>
      </c>
      <c r="M89" s="9" t="s">
        <v>190</v>
      </c>
      <c r="N89" s="9">
        <v>30007249821</v>
      </c>
      <c r="O89" s="9" t="s">
        <v>44</v>
      </c>
      <c r="P89" s="15">
        <v>44934</v>
      </c>
      <c r="Q89" s="9" t="s">
        <v>194</v>
      </c>
      <c r="R89" s="16">
        <v>414.28</v>
      </c>
      <c r="U89" s="9" t="s">
        <v>46</v>
      </c>
      <c r="V89" s="24" t="str" cm="1">
        <f t="array" ref="V89">_xlfn.IFNA(
    _xlfn.IFS(
        ISNUMBER(SEARCH("Fast Outgoing Transfer",L89)),"Transfer",
        ISNUMBER(SEARCH("Incoming Fast Transfer",L89)),"Transfer",
        ISNUMBER(SEARCH("Outgoing International Transfer",L89)),"Transfer",
        ISNUMBER(SEARCH("Bill Payment",L89)),"SADAD",
        ISNUMBER(SEARCH("Payroll",L89)),"Payroll",
        ISNUMBER(SEARCH("Cash Deposit",L89)),"Cash",
        ISNUMBER(SEARCH("Internal Transfer",L89)),"Transfer",
        ISNUMBER(SEARCH("Expatriate Services Payment",L89)),"SADAD",
        ISNUMBER(SEARCH("Rejected",L89)),"Transfer"
    ),
    "-"
)</f>
        <v>SADAD</v>
      </c>
      <c r="W89" s="25" t="str" cm="1">
        <f t="array" ref="W89">_xlfn.IFNA(
    _xlfn.IFS(
        AND(V89="Transfer",ISNUMBER(SEARCH("RIYAD BANK",L89))),"External FI",
        AND(V89="Transfer",ISNUMBER(SEARCH("Al Ahli",L89))),"External FI",
        AND(V89="Transfer",ISNUMBER(SEARCH("CIB via",L89))),"Local Transfer",
        AND(V89="Transfer",ISNUMBER(SEARCH("CIB)",L89))),"Local Transfer",
        AND(V89="Transfer",ISNUMBER(SEARCH("SMRT",L89))),"Local Transfer",
        AND(V89="Transfer",ISNUMBER(SEARCH("Al Murabba",L89))),"Local Transfer",
        AND(V89="Transfer",ISNUMBER(SEARCH("Internal Transfer",L89))),"Same FI",
        AND(V89="Transfer",ISNUMBER(SEARCH("Rejected",L89))),"Failed",
        V89="SADAD",
            _xlfn.IFS(
                ISNUMBER(SEARCH("Expatriate",L89)),"Expat Fees",
                TRUE,"Online Payment"
            ),
        V89="Payroll","Payroll",
        V89="Cash","Deposit",
        TRUE,"-"
    ),
    "-"
)</f>
        <v>Online Payment</v>
      </c>
      <c r="X89" s="25" t="str" cm="1">
        <f t="array" ref="X89">_xlfn.IFNA(
    _xlfn.IFS(
        V89="-","Low",
        W89="-","Low",
        TRUE,"High"
    ),
    "-"
)</f>
        <v>High</v>
      </c>
      <c r="Y89" s="25" t="str">
        <f t="shared" si="4"/>
        <v>-</v>
      </c>
      <c r="Z89" s="25" t="str" cm="1">
        <f t="array" ref="Z89">_xlfn.IFNA(
    _xlfn.IFS(
        ISNUMBER(SEARCH("Abdul Latif Jameel",M89)),"Lender",
        ISNUMBER(SEARCH("Abdullah Abdulkarim Al Sudais",M89)),"Accounting",
        ISNUMBER(SEARCH("Abdullah Fahad for Accounting",M89)),"Accounting",
        ISNUMBER(SEARCH("Abdullah Rashid Shaikh",M89)),"Shareholder",
        ISNUMBER(SEARCH("Advanced Equipments",M89)),"Equipment Rental",
        ISNUMBER(SEARCH("Al Banuk Sana",M89)),"Telecom Company",
        ISNUMBER(SEARCH("Al Khaleefa Factory",M89)),"Manufacturer",
        ISNUMBER(SEARCH("Al Saadeh Trading",M89)),"Trading Company",
        ISNUMBER(SEARCH("Al Zaehaan",M89)),"Trading Company",
        ISNUMBER(SEARCH("Ali Abdullah K Al Darwish",M89)),"Airlines",
        ISNUMBER(SEARCH("Bupa Arabia",M89)),"Health Insurance",
        ISNUMBER(SEARCH("Dar Fahoosaat",M89)),"Consultant",
        ISNUMBER(SEARCH("General Authority of Zakat",M89)),"Tax Collection",
        ISNUMBER(SEARCH("Gulf Voyager",M89)),"Travel Agency",
        ISNUMBER(SEARCH("Hopeway Trading",M89)),"Trading Company",
        ISNUMBER(SEARCH("Interhealth Medical",M89)),"Medical Services",
        ISNUMBER(SEARCH("Ishaar",M89)),"Online Payment Service",
        ISNUMBER(SEARCH("ISO Arabia",M89)),"Certification",
        ISNUMBER(SEARCH("Khalid Saad Al Otaibi",M89)),"Trading Company",
        ISNUMBER(SEARCH("MERAS for Decoration",M89)),"Decor Company",
        ISNUMBER(SEARCH("Middle East Customs Clearance",M89)),"Customs",
        ISNUMBER(SEARCH("Ministry of Human Resources",M89)),"Government",
        ISNUMBER(SEARCH("My Business Services",M89)),"Service Provider",
        ISNUMBER(SEARCH("National Water Company",M89)),"Water Company",
        ISNUMBER(SEARCH("Rania Contracting",M89)),"Contracting",
        ISNUMBER(SEARCH("Rashid Ali Sheikh",M89)),"Shareholder",
        ISNUMBER(SEARCH("Sahab United Motors",M89)),"Car Show Room",
        ISNUMBER(SEARCH("Saud Mohammed Al Tamimi",M89)),"Shareholder",
        ISNUMBER(SEARCH("Saud Mohammed Tamimi",M89)),"Shareholder",
        ISNUMBER(SEARCH("Saudi Electric Company",M89)),"Electricity Company",
        ISNUMBER(SEARCH("Saudi Vetonit",M89)),"Building Materials",
        ISNUMBER(SEARCH("Shomoul Eng",M89)),"Safety",
        ISNUMBER(SEARCH("STC",M89)),"Telecom Company",
        ISNUMBER(SEARCH("The General Organization for Social Insurance",M89)),"Social Insurance Agency",
        ISNUMBER(SEARCH("TUV Rheinland",M89)),"Certification",
        ISNUMBER(SEARCH("Al Arabia Ceramic",M89)),"Building Materials",
        ISNUMBER(SEARCH("National Company for Building and Marketing",M89)),"Parent Company",
        ISNUMBER(SEARCH("Athraa Holding",M89)),"Holding Company",
        ISNUMBER(SEARCH("Al Rasan",M89)),"Contracting",
        ISNUMBER(SEARCH("Raboua Al Haid",M89)),"Trading Company",
        ISNUMBER(SEARCH("Al Jazeera Paint",M89)),"Manufacturer",
        ISNUMBER(SEARCH("Rania Works Contracting",M89)),"Contracting",
        ISNUMBER(SEARCH("Bandar Jarallah",M89)),"Trading Establishment",
        ISNUMBER(SEARCH("RS Infratec Saudi",M89)),"Same Company",
        ISNUMBER(SEARCH("Payroll",M89)),"Bank",
        ISNUMBER(SEARCH("Expatriate",M89)),"Government",
        ISNUMBER(SEARCH("Unknown Sender",M89)),"Unknown",
        TRUE,"Unknown"
    ),
    "-"
)</f>
        <v>Electricity Company</v>
      </c>
      <c r="AA89" s="25" t="str" cm="1">
        <f t="array" ref="AA89">_xlfn.IFNA(
    _xlfn.IFS(
        Z89="Lender","Financing",
        Z89="Accounting","Accounting",
        Z89="Shareholder","Individual",
        Z89="Equipment Rental","Equipment Rental",
        Z89="Telecom Company","Telecom",
        Z89="Manufacturer","Manufacturer",
        Z89="Trading Company","Trading And Transport",
        Z89="Trading Establishment","Trading",
        Z89="Airlines","Airlines",
        Z89="Health Insurance","Insurance",
        Z89="Consultant","Consultant",
        Z89="Tax Collection","Government",
        Z89="Travel Agency","Travel Agency",
        Z89="Medical Services","Medical Center",
        Z89="Online Payment Service","Payment Facilitator",
        Z89="Certification","Safety",
        Z89="Decor Company","Design",
        Z89="Customs","Customs",
        Z89="Government","Government",
        Z89="Service Provider","Service Provider",
        Z89="Water Company","Water Company",
        Z89="Contracting","Contracting",
        Z89="Car Show Room","Car Trader",
        Z89="Electricity Company","Electricity Company",
        Z89="Building Materials","Building Materials",
        Z89="Safety","Safety",
        Z89="Social Insurance Agency","Government Fund",
        Z89="Parent Company","Holding Company",
        Z89="Holding Company","Holding Company",
        Z89="Same Company","Construction",
        Z89="Bank","Bank",
        Z89="Unknown","Unknown",
        TRUE,"-"
    ),
    "-"
)</f>
        <v>Electricity Company</v>
      </c>
      <c r="AB89" s="25" t="str">
        <f t="shared" si="5"/>
        <v>-</v>
      </c>
      <c r="AC89" s="25" t="str" cm="1">
        <f t="array" ref="AC89">_xlfn.IFNA(
    _xlfn.IFS(
        Z89="Shareholder","Shareholder",
        Z89="Same Company","Same Company",
        Z89="Bank","Bank",
        Z89="Government","Government",
        Z89="Social Insurance Agency","Government",
        Z89="Parent Company","Customer",
        Z89="Lender","Lender",
        Z89="Unknown","Unknown",
        ISNUMBER(SEARCH("Abdullah Abdulkarim",M89)),"Service Provider",
        ISNUMBER(SEARCH("Abdullah Fahad",M89)),"Service Provider",
        ISNUMBER(SEARCH("Advanced Equipments",M89)),"Supplier",
        ISNUMBER(SEARCH("Al Banuk Sana",M89)),"Supplier",
        ISNUMBER(SEARCH("Al Khaleefa Factory",M89)),"Supplier",
        ISNUMBER(SEARCH("Al Saadeh Trading",M89)),"Supplier",
        ISNUMBER(SEARCH("Al Zaehaan",M89)),"Supplier",
        ISNUMBER(SEARCH("Ali Abdullah K Al Darwish",M89)),"Service Provider",
        ISNUMBER(SEARCH("Bupa Arabia",M89)),"Insurance Company",
        ISNUMBER(SEARCH("Dar Fahoosaat",M89)),"Service Provider",
        ISNUMBER(SEARCH("General Authority of Zakat",M89)),"Tax Authority",
        ISNUMBER(SEARCH("Gulf Voyager",M89)),"Service Provider",
        ISNUMBER(SEARCH("Hopeway Trading",M89)),"Supplier",
        ISNUMBER(SEARCH("Interhealth Medical",M89)),"Customer",
        ISNUMBER(SEARCH("Ishaar",M89)),"Service Provider",
        ISNUMBER(SEARCH("ISO Arabia",M89)),"Service Provider",
        ISNUMBER(SEARCH("Khalid Saad Al Otaibi",M89)),"Supplier",
        ISNUMBER(SEARCH("MERAS for Decoration",M89)),"Supplier",
        ISNUMBER(SEARCH("Middle East Customs Clearance",M89)),"Service Provider",
        ISNUMBER(SEARCH("Ministry of Human Resources",M89)),"Regulatory Agency",
        ISNUMBER(SEARCH("My Business Services",M89)),"Service Provider",
        ISNUMBER(SEARCH("National Water Company",M89)),"Utility Provider",
        ISNUMBER(SEARCH("Rania Contracting",M89)),"Supplier",
        ISNUMBER(SEARCH("Sahab United Motors",M89)),"Supplier",
        ISNUMBER(SEARCH("Saudi Electric Company",M89)),"Utility Provider",
        ISNUMBER(SEARCH("Saudi Vetonit",M89)),"Supplier",
        ISNUMBER(SEARCH("Shomoul Eng",M89)),"Service Provider",
        ISNUMBER(SEARCH("STC",M89)),"Utility Provider",
        ISNUMBER(SEARCH("The General Organization for Social Insurance",M89)),"Social Insurance Agency",
        ISNUMBER(SEARCH("TUV Rheinland",M89)),"Service Provider",
        ISNUMBER(SEARCH("Al Arabia Ceramic",M89)),"Supplier",
        ISNUMBER(SEARCH("National Company for Building",M89)),"Customer",
        ISNUMBER(SEARCH("Athraa Holding",M89)),"Customer",
        ISNUMBER(SEARCH("Al Rasan",M89)),"Supplier",
        ISNUMBER(SEARCH("Raboua Al Haid",M89)),"Customer",
        ISNUMBER(SEARCH("Al Jazeera Paint",M89)),"Supplier",
        ISNUMBER(SEARCH("Rania Works Contracting",M89)),"Supplier",
        ISNUMBER(SEARCH("Bandar Jarallah",M89)),"Supplier",
        TRUE,"Supplier"
    ),
    "-"
)</f>
        <v>Utility Provider</v>
      </c>
      <c r="AD89" s="25" t="str" cm="1">
        <f t="array" ref="AD89">_xlfn.IFNA(
    _xlfn.IFS(
        AC89="Same Company","High",
        AC89="Shareholder","High",
        AC89="Government","High",
        AC89="Bank","High",
        AC89="Lender","High",
        AC89="Unknown","Low",
        AC89="-","Low",
        TRUE,"Medium"
    ),
    "-"
)</f>
        <v>Medium</v>
      </c>
      <c r="AE89" s="25" t="str">
        <f t="shared" si="6"/>
        <v>-</v>
      </c>
      <c r="AF89" s="25" t="str" cm="1">
        <f t="array" ref="AF89">_xlfn.IFNA(
    _xlfn.IFS(
        K89="Credit",
            _xlfn.IFS(
                OR(ISNUMBER(SEARCH("Rejected",L89)),ISNUMBER(SEARCH("Returned",L89))),"Other Income",
                TRUE,"Revenue"
            ),
        K89="Debit",
            _xlfn.IFS(
                ISNUMBER(SEARCH("Payroll",L89)),"OPEX",
                ISNUMBER(SEARCH("Expatriate",L89)),"OPEX",
                ISNUMBER(SEARCH("Zakat",M89)),"ZATCA",
                ISNUMBER(SEARCH("General Organization for Social Insurance",M89)),"OPEX",
                ISNUMBER(SEARCH("Saudi Electric",M89)),"OPEX",
                ISNUMBER(SEARCH("STC",M89)),"OPEX",
                ISNUMBER(SEARCH("National Water",M89)),"OPEX",
                ISNUMBER(SEARCH("Bupa",M89)),"OPEX",
                ISNUMBER(SEARCH("Abdullah Abdulkarim",M89)),"OPEX",
                ISNUMBER(SEARCH("Abdullah Fahad",M89)),"OPEX",
                ISNUMBER(SEARCH("ISO Arabia",M89)),"OPEX",
                ISNUMBER(SEARCH("Gulf Voyager",M89)),"OPEX",
                ISNUMBER(SEARCH("Ministry",M89)),"OPEX",
                ISNUMBER(SEARCH("General Authority of Zakat",M89)),"ZATCA",
                ISNUMBER(SEARCH("Rejected",L89)),"Other Income",
                TRUE,"COGS"
            ),
        TRUE,"-"
    ),
    "-"
)</f>
        <v>OPEX</v>
      </c>
      <c r="AG89" s="25" t="str" cm="1">
        <f t="array" ref="AG89">_xlfn.IFNA(
    _xlfn.IFS(
        ISNUMBER(SEARCH("Payroll",L89)),"Payroll",
        ISNUMBER(SEARCH("Expatriate",L89)),"Government Fees",
        ISNUMBER(SEARCH("Zakat",M89)),"Zakat",
        ISNUMBER(SEARCH("Social Insurance",M89)),"Social Insurance",
        ISNUMBER(SEARCH("Saudi Electric",M89)),"Electricity",
        ISNUMBER(SEARCH("STC",M89)),"Telecom",
        ISNUMBER(SEARCH("National Water",M89)),"Water",
        ISNUMBER(SEARCH("Bupa",M89)),"Insurance",
        ISNUMBER(SEARCH("Gulf Voyager",M89)),"Travel",
        ISNUMBER(SEARCH("Ministry",M89)),"Government Fees",
        ISNUMBER(SEARCH("Abdullah Abdulkarim",M89)),"Consulting",
        ISNUMBER(SEARCH("Abdullah Fahad",M89)),"Accounting",
        ISNUMBER(SEARCH("ISO Arabia",M89)),"Consulting",
        ISNUMBER(SEARCH("Rejected",L89)),"Refund",
        AF89="COGS","Inventory Purchase",
        AF89="Revenue","Revenue",
        AF89="OPEX","Other",
        AF89="ZATCA","Zakat",
        TRUE,"-"
    ),
    "-"
)</f>
        <v>Electricity</v>
      </c>
      <c r="AH89" s="25" t="str" cm="1">
        <f t="array" ref="AH89">_xlfn.IFNA(
    _xlfn.IFS(
        AF89="-","Low",
        AF89="Other","Low",
        TRUE,"Medium"
    ),
    "-"
)</f>
        <v>Medium</v>
      </c>
      <c r="AI89" s="25" t="str">
        <f t="shared" si="7"/>
        <v>-</v>
      </c>
    </row>
    <row r="90" spans="1:35" x14ac:dyDescent="0.25">
      <c r="A90" s="10">
        <v>5</v>
      </c>
      <c r="B90" s="10" t="s">
        <v>35</v>
      </c>
      <c r="C90" s="10" t="s">
        <v>36</v>
      </c>
      <c r="D90" s="10" t="s">
        <v>37</v>
      </c>
      <c r="E90" s="10" t="s">
        <v>38</v>
      </c>
      <c r="F90" s="11" t="s">
        <v>39</v>
      </c>
      <c r="G90" s="10" t="s">
        <v>40</v>
      </c>
      <c r="H90" s="12">
        <v>44942</v>
      </c>
      <c r="I90" s="20">
        <v>169227.8</v>
      </c>
      <c r="J90" s="20">
        <v>255.34</v>
      </c>
      <c r="K90" s="10" t="s">
        <v>41</v>
      </c>
      <c r="L90" s="9" t="s">
        <v>189</v>
      </c>
      <c r="M90" s="9" t="s">
        <v>190</v>
      </c>
      <c r="N90" s="9">
        <v>30007249741</v>
      </c>
      <c r="O90" s="9" t="s">
        <v>44</v>
      </c>
      <c r="P90" s="15">
        <v>44942</v>
      </c>
      <c r="Q90" s="9" t="s">
        <v>195</v>
      </c>
      <c r="R90" s="16">
        <v>255.34</v>
      </c>
      <c r="U90" s="9" t="s">
        <v>46</v>
      </c>
      <c r="V90" s="24" t="str" cm="1">
        <f t="array" ref="V90">_xlfn.IFNA(
    _xlfn.IFS(
        ISNUMBER(SEARCH("Fast Outgoing Transfer",L90)),"Transfer",
        ISNUMBER(SEARCH("Incoming Fast Transfer",L90)),"Transfer",
        ISNUMBER(SEARCH("Outgoing International Transfer",L90)),"Transfer",
        ISNUMBER(SEARCH("Bill Payment",L90)),"SADAD",
        ISNUMBER(SEARCH("Payroll",L90)),"Payroll",
        ISNUMBER(SEARCH("Cash Deposit",L90)),"Cash",
        ISNUMBER(SEARCH("Internal Transfer",L90)),"Transfer",
        ISNUMBER(SEARCH("Expatriate Services Payment",L90)),"SADAD",
        ISNUMBER(SEARCH("Rejected",L90)),"Transfer"
    ),
    "-"
)</f>
        <v>SADAD</v>
      </c>
      <c r="W90" s="25" t="str" cm="1">
        <f t="array" ref="W90">_xlfn.IFNA(
    _xlfn.IFS(
        AND(V90="Transfer",ISNUMBER(SEARCH("RIYAD BANK",L90))),"External FI",
        AND(V90="Transfer",ISNUMBER(SEARCH("Al Ahli",L90))),"External FI",
        AND(V90="Transfer",ISNUMBER(SEARCH("CIB via",L90))),"Local Transfer",
        AND(V90="Transfer",ISNUMBER(SEARCH("CIB)",L90))),"Local Transfer",
        AND(V90="Transfer",ISNUMBER(SEARCH("SMRT",L90))),"Local Transfer",
        AND(V90="Transfer",ISNUMBER(SEARCH("Al Murabba",L90))),"Local Transfer",
        AND(V90="Transfer",ISNUMBER(SEARCH("Internal Transfer",L90))),"Same FI",
        AND(V90="Transfer",ISNUMBER(SEARCH("Rejected",L90))),"Failed",
        V90="SADAD",
            _xlfn.IFS(
                ISNUMBER(SEARCH("Expatriate",L90)),"Expat Fees",
                TRUE,"Online Payment"
            ),
        V90="Payroll","Payroll",
        V90="Cash","Deposit",
        TRUE,"-"
    ),
    "-"
)</f>
        <v>Online Payment</v>
      </c>
      <c r="X90" s="25" t="str" cm="1">
        <f t="array" ref="X90">_xlfn.IFNA(
    _xlfn.IFS(
        V90="-","Low",
        W90="-","Low",
        TRUE,"High"
    ),
    "-"
)</f>
        <v>High</v>
      </c>
      <c r="Y90" s="25" t="str">
        <f t="shared" si="4"/>
        <v>-</v>
      </c>
      <c r="Z90" s="25" t="str" cm="1">
        <f t="array" ref="Z90">_xlfn.IFNA(
    _xlfn.IFS(
        ISNUMBER(SEARCH("Abdul Latif Jameel",M90)),"Lender",
        ISNUMBER(SEARCH("Abdullah Abdulkarim Al Sudais",M90)),"Accounting",
        ISNUMBER(SEARCH("Abdullah Fahad for Accounting",M90)),"Accounting",
        ISNUMBER(SEARCH("Abdullah Rashid Shaikh",M90)),"Shareholder",
        ISNUMBER(SEARCH("Advanced Equipments",M90)),"Equipment Rental",
        ISNUMBER(SEARCH("Al Banuk Sana",M90)),"Telecom Company",
        ISNUMBER(SEARCH("Al Khaleefa Factory",M90)),"Manufacturer",
        ISNUMBER(SEARCH("Al Saadeh Trading",M90)),"Trading Company",
        ISNUMBER(SEARCH("Al Zaehaan",M90)),"Trading Company",
        ISNUMBER(SEARCH("Ali Abdullah K Al Darwish",M90)),"Airlines",
        ISNUMBER(SEARCH("Bupa Arabia",M90)),"Health Insurance",
        ISNUMBER(SEARCH("Dar Fahoosaat",M90)),"Consultant",
        ISNUMBER(SEARCH("General Authority of Zakat",M90)),"Tax Collection",
        ISNUMBER(SEARCH("Gulf Voyager",M90)),"Travel Agency",
        ISNUMBER(SEARCH("Hopeway Trading",M90)),"Trading Company",
        ISNUMBER(SEARCH("Interhealth Medical",M90)),"Medical Services",
        ISNUMBER(SEARCH("Ishaar",M90)),"Online Payment Service",
        ISNUMBER(SEARCH("ISO Arabia",M90)),"Certification",
        ISNUMBER(SEARCH("Khalid Saad Al Otaibi",M90)),"Trading Company",
        ISNUMBER(SEARCH("MERAS for Decoration",M90)),"Decor Company",
        ISNUMBER(SEARCH("Middle East Customs Clearance",M90)),"Customs",
        ISNUMBER(SEARCH("Ministry of Human Resources",M90)),"Government",
        ISNUMBER(SEARCH("My Business Services",M90)),"Service Provider",
        ISNUMBER(SEARCH("National Water Company",M90)),"Water Company",
        ISNUMBER(SEARCH("Rania Contracting",M90)),"Contracting",
        ISNUMBER(SEARCH("Rashid Ali Sheikh",M90)),"Shareholder",
        ISNUMBER(SEARCH("Sahab United Motors",M90)),"Car Show Room",
        ISNUMBER(SEARCH("Saud Mohammed Al Tamimi",M90)),"Shareholder",
        ISNUMBER(SEARCH("Saud Mohammed Tamimi",M90)),"Shareholder",
        ISNUMBER(SEARCH("Saudi Electric Company",M90)),"Electricity Company",
        ISNUMBER(SEARCH("Saudi Vetonit",M90)),"Building Materials",
        ISNUMBER(SEARCH("Shomoul Eng",M90)),"Safety",
        ISNUMBER(SEARCH("STC",M90)),"Telecom Company",
        ISNUMBER(SEARCH("The General Organization for Social Insurance",M90)),"Social Insurance Agency",
        ISNUMBER(SEARCH("TUV Rheinland",M90)),"Certification",
        ISNUMBER(SEARCH("Al Arabia Ceramic",M90)),"Building Materials",
        ISNUMBER(SEARCH("National Company for Building and Marketing",M90)),"Parent Company",
        ISNUMBER(SEARCH("Athraa Holding",M90)),"Holding Company",
        ISNUMBER(SEARCH("Al Rasan",M90)),"Contracting",
        ISNUMBER(SEARCH("Raboua Al Haid",M90)),"Trading Company",
        ISNUMBER(SEARCH("Al Jazeera Paint",M90)),"Manufacturer",
        ISNUMBER(SEARCH("Rania Works Contracting",M90)),"Contracting",
        ISNUMBER(SEARCH("Bandar Jarallah",M90)),"Trading Establishment",
        ISNUMBER(SEARCH("RS Infratec Saudi",M90)),"Same Company",
        ISNUMBER(SEARCH("Payroll",M90)),"Bank",
        ISNUMBER(SEARCH("Expatriate",M90)),"Government",
        ISNUMBER(SEARCH("Unknown Sender",M90)),"Unknown",
        TRUE,"Unknown"
    ),
    "-"
)</f>
        <v>Electricity Company</v>
      </c>
      <c r="AA90" s="25" t="str" cm="1">
        <f t="array" ref="AA90">_xlfn.IFNA(
    _xlfn.IFS(
        Z90="Lender","Financing",
        Z90="Accounting","Accounting",
        Z90="Shareholder","Individual",
        Z90="Equipment Rental","Equipment Rental",
        Z90="Telecom Company","Telecom",
        Z90="Manufacturer","Manufacturer",
        Z90="Trading Company","Trading And Transport",
        Z90="Trading Establishment","Trading",
        Z90="Airlines","Airlines",
        Z90="Health Insurance","Insurance",
        Z90="Consultant","Consultant",
        Z90="Tax Collection","Government",
        Z90="Travel Agency","Travel Agency",
        Z90="Medical Services","Medical Center",
        Z90="Online Payment Service","Payment Facilitator",
        Z90="Certification","Safety",
        Z90="Decor Company","Design",
        Z90="Customs","Customs",
        Z90="Government","Government",
        Z90="Service Provider","Service Provider",
        Z90="Water Company","Water Company",
        Z90="Contracting","Contracting",
        Z90="Car Show Room","Car Trader",
        Z90="Electricity Company","Electricity Company",
        Z90="Building Materials","Building Materials",
        Z90="Safety","Safety",
        Z90="Social Insurance Agency","Government Fund",
        Z90="Parent Company","Holding Company",
        Z90="Holding Company","Holding Company",
        Z90="Same Company","Construction",
        Z90="Bank","Bank",
        Z90="Unknown","Unknown",
        TRUE,"-"
    ),
    "-"
)</f>
        <v>Electricity Company</v>
      </c>
      <c r="AB90" s="25" t="str">
        <f t="shared" si="5"/>
        <v>-</v>
      </c>
      <c r="AC90" s="25" t="str" cm="1">
        <f t="array" ref="AC90">_xlfn.IFNA(
    _xlfn.IFS(
        Z90="Shareholder","Shareholder",
        Z90="Same Company","Same Company",
        Z90="Bank","Bank",
        Z90="Government","Government",
        Z90="Social Insurance Agency","Government",
        Z90="Parent Company","Customer",
        Z90="Lender","Lender",
        Z90="Unknown","Unknown",
        ISNUMBER(SEARCH("Abdullah Abdulkarim",M90)),"Service Provider",
        ISNUMBER(SEARCH("Abdullah Fahad",M90)),"Service Provider",
        ISNUMBER(SEARCH("Advanced Equipments",M90)),"Supplier",
        ISNUMBER(SEARCH("Al Banuk Sana",M90)),"Supplier",
        ISNUMBER(SEARCH("Al Khaleefa Factory",M90)),"Supplier",
        ISNUMBER(SEARCH("Al Saadeh Trading",M90)),"Supplier",
        ISNUMBER(SEARCH("Al Zaehaan",M90)),"Supplier",
        ISNUMBER(SEARCH("Ali Abdullah K Al Darwish",M90)),"Service Provider",
        ISNUMBER(SEARCH("Bupa Arabia",M90)),"Insurance Company",
        ISNUMBER(SEARCH("Dar Fahoosaat",M90)),"Service Provider",
        ISNUMBER(SEARCH("General Authority of Zakat",M90)),"Tax Authority",
        ISNUMBER(SEARCH("Gulf Voyager",M90)),"Service Provider",
        ISNUMBER(SEARCH("Hopeway Trading",M90)),"Supplier",
        ISNUMBER(SEARCH("Interhealth Medical",M90)),"Customer",
        ISNUMBER(SEARCH("Ishaar",M90)),"Service Provider",
        ISNUMBER(SEARCH("ISO Arabia",M90)),"Service Provider",
        ISNUMBER(SEARCH("Khalid Saad Al Otaibi",M90)),"Supplier",
        ISNUMBER(SEARCH("MERAS for Decoration",M90)),"Supplier",
        ISNUMBER(SEARCH("Middle East Customs Clearance",M90)),"Service Provider",
        ISNUMBER(SEARCH("Ministry of Human Resources",M90)),"Regulatory Agency",
        ISNUMBER(SEARCH("My Business Services",M90)),"Service Provider",
        ISNUMBER(SEARCH("National Water Company",M90)),"Utility Provider",
        ISNUMBER(SEARCH("Rania Contracting",M90)),"Supplier",
        ISNUMBER(SEARCH("Sahab United Motors",M90)),"Supplier",
        ISNUMBER(SEARCH("Saudi Electric Company",M90)),"Utility Provider",
        ISNUMBER(SEARCH("Saudi Vetonit",M90)),"Supplier",
        ISNUMBER(SEARCH("Shomoul Eng",M90)),"Service Provider",
        ISNUMBER(SEARCH("STC",M90)),"Utility Provider",
        ISNUMBER(SEARCH("The General Organization for Social Insurance",M90)),"Social Insurance Agency",
        ISNUMBER(SEARCH("TUV Rheinland",M90)),"Service Provider",
        ISNUMBER(SEARCH("Al Arabia Ceramic",M90)),"Supplier",
        ISNUMBER(SEARCH("National Company for Building",M90)),"Customer",
        ISNUMBER(SEARCH("Athraa Holding",M90)),"Customer",
        ISNUMBER(SEARCH("Al Rasan",M90)),"Supplier",
        ISNUMBER(SEARCH("Raboua Al Haid",M90)),"Customer",
        ISNUMBER(SEARCH("Al Jazeera Paint",M90)),"Supplier",
        ISNUMBER(SEARCH("Rania Works Contracting",M90)),"Supplier",
        ISNUMBER(SEARCH("Bandar Jarallah",M90)),"Supplier",
        TRUE,"Supplier"
    ),
    "-"
)</f>
        <v>Utility Provider</v>
      </c>
      <c r="AD90" s="25" t="str" cm="1">
        <f t="array" ref="AD90">_xlfn.IFNA(
    _xlfn.IFS(
        AC90="Same Company","High",
        AC90="Shareholder","High",
        AC90="Government","High",
        AC90="Bank","High",
        AC90="Lender","High",
        AC90="Unknown","Low",
        AC90="-","Low",
        TRUE,"Medium"
    ),
    "-"
)</f>
        <v>Medium</v>
      </c>
      <c r="AE90" s="25" t="str">
        <f t="shared" si="6"/>
        <v>-</v>
      </c>
      <c r="AF90" s="25" t="str" cm="1">
        <f t="array" ref="AF90">_xlfn.IFNA(
    _xlfn.IFS(
        K90="Credit",
            _xlfn.IFS(
                OR(ISNUMBER(SEARCH("Rejected",L90)),ISNUMBER(SEARCH("Returned",L90))),"Other Income",
                TRUE,"Revenue"
            ),
        K90="Debit",
            _xlfn.IFS(
                ISNUMBER(SEARCH("Payroll",L90)),"OPEX",
                ISNUMBER(SEARCH("Expatriate",L90)),"OPEX",
                ISNUMBER(SEARCH("Zakat",M90)),"ZATCA",
                ISNUMBER(SEARCH("General Organization for Social Insurance",M90)),"OPEX",
                ISNUMBER(SEARCH("Saudi Electric",M90)),"OPEX",
                ISNUMBER(SEARCH("STC",M90)),"OPEX",
                ISNUMBER(SEARCH("National Water",M90)),"OPEX",
                ISNUMBER(SEARCH("Bupa",M90)),"OPEX",
                ISNUMBER(SEARCH("Abdullah Abdulkarim",M90)),"OPEX",
                ISNUMBER(SEARCH("Abdullah Fahad",M90)),"OPEX",
                ISNUMBER(SEARCH("ISO Arabia",M90)),"OPEX",
                ISNUMBER(SEARCH("Gulf Voyager",M90)),"OPEX",
                ISNUMBER(SEARCH("Ministry",M90)),"OPEX",
                ISNUMBER(SEARCH("General Authority of Zakat",M90)),"ZATCA",
                ISNUMBER(SEARCH("Rejected",L90)),"Other Income",
                TRUE,"COGS"
            ),
        TRUE,"-"
    ),
    "-"
)</f>
        <v>OPEX</v>
      </c>
      <c r="AG90" s="25" t="str" cm="1">
        <f t="array" ref="AG90">_xlfn.IFNA(
    _xlfn.IFS(
        ISNUMBER(SEARCH("Payroll",L90)),"Payroll",
        ISNUMBER(SEARCH("Expatriate",L90)),"Government Fees",
        ISNUMBER(SEARCH("Zakat",M90)),"Zakat",
        ISNUMBER(SEARCH("Social Insurance",M90)),"Social Insurance",
        ISNUMBER(SEARCH("Saudi Electric",M90)),"Electricity",
        ISNUMBER(SEARCH("STC",M90)),"Telecom",
        ISNUMBER(SEARCH("National Water",M90)),"Water",
        ISNUMBER(SEARCH("Bupa",M90)),"Insurance",
        ISNUMBER(SEARCH("Gulf Voyager",M90)),"Travel",
        ISNUMBER(SEARCH("Ministry",M90)),"Government Fees",
        ISNUMBER(SEARCH("Abdullah Abdulkarim",M90)),"Consulting",
        ISNUMBER(SEARCH("Abdullah Fahad",M90)),"Accounting",
        ISNUMBER(SEARCH("ISO Arabia",M90)),"Consulting",
        ISNUMBER(SEARCH("Rejected",L90)),"Refund",
        AF90="COGS","Inventory Purchase",
        AF90="Revenue","Revenue",
        AF90="OPEX","Other",
        AF90="ZATCA","Zakat",
        TRUE,"-"
    ),
    "-"
)</f>
        <v>Electricity</v>
      </c>
      <c r="AH90" s="25" t="str" cm="1">
        <f t="array" ref="AH90">_xlfn.IFNA(
    _xlfn.IFS(
        AF90="-","Low",
        AF90="Other","Low",
        TRUE,"Medium"
    ),
    "-"
)</f>
        <v>Medium</v>
      </c>
      <c r="AI90" s="25" t="str">
        <f t="shared" si="7"/>
        <v>-</v>
      </c>
    </row>
    <row r="91" spans="1:35" x14ac:dyDescent="0.25">
      <c r="A91" s="10">
        <v>5</v>
      </c>
      <c r="B91" s="10" t="s">
        <v>35</v>
      </c>
      <c r="C91" s="10" t="s">
        <v>36</v>
      </c>
      <c r="D91" s="10" t="s">
        <v>37</v>
      </c>
      <c r="E91" s="10" t="s">
        <v>38</v>
      </c>
      <c r="F91" s="11" t="s">
        <v>39</v>
      </c>
      <c r="G91" s="11" t="s">
        <v>40</v>
      </c>
      <c r="H91" s="12">
        <v>44930</v>
      </c>
      <c r="I91" s="20">
        <v>201994.2</v>
      </c>
      <c r="J91" s="20">
        <v>23149</v>
      </c>
      <c r="K91" s="10" t="s">
        <v>41</v>
      </c>
      <c r="L91" s="9" t="s">
        <v>328</v>
      </c>
      <c r="M91" s="9" t="s">
        <v>329</v>
      </c>
      <c r="O91" s="9" t="s">
        <v>226</v>
      </c>
      <c r="P91" s="15">
        <v>44930</v>
      </c>
      <c r="Q91" s="9" t="s">
        <v>330</v>
      </c>
      <c r="R91" s="16">
        <v>23149</v>
      </c>
      <c r="U91" s="9" t="s">
        <v>55</v>
      </c>
      <c r="V91" s="24" t="str" cm="1">
        <f t="array" ref="V91">_xlfn.IFNA(
    _xlfn.IFS(
        ISNUMBER(SEARCH("Fast Outgoing Transfer",L91)),"Transfer",
        ISNUMBER(SEARCH("Incoming Fast Transfer",L91)),"Transfer",
        ISNUMBER(SEARCH("Outgoing International Transfer",L91)),"Transfer",
        ISNUMBER(SEARCH("Bill Payment",L91)),"SADAD",
        ISNUMBER(SEARCH("Payroll",L91)),"Payroll",
        ISNUMBER(SEARCH("Cash Deposit",L91)),"Cash",
        ISNUMBER(SEARCH("Internal Transfer",L91)),"Transfer",
        ISNUMBER(SEARCH("Expatriate Services Payment",L91)),"SADAD",
        ISNUMBER(SEARCH("Rejected",L91)),"Transfer"
    ),
    "-"
)</f>
        <v>Payroll</v>
      </c>
      <c r="W91" s="25" t="str" cm="1">
        <f t="array" ref="W91">_xlfn.IFNA(
    _xlfn.IFS(
        AND(V91="Transfer",ISNUMBER(SEARCH("RIYAD BANK",L91))),"External FI",
        AND(V91="Transfer",ISNUMBER(SEARCH("Al Ahli",L91))),"External FI",
        AND(V91="Transfer",ISNUMBER(SEARCH("CIB via",L91))),"Local Transfer",
        AND(V91="Transfer",ISNUMBER(SEARCH("CIB)",L91))),"Local Transfer",
        AND(V91="Transfer",ISNUMBER(SEARCH("SMRT",L91))),"Local Transfer",
        AND(V91="Transfer",ISNUMBER(SEARCH("Al Murabba",L91))),"Local Transfer",
        AND(V91="Transfer",ISNUMBER(SEARCH("Internal Transfer",L91))),"Same FI",
        AND(V91="Transfer",ISNUMBER(SEARCH("Rejected",L91))),"Failed",
        V91="SADAD",
            _xlfn.IFS(
                ISNUMBER(SEARCH("Expatriate",L91)),"Expat Fees",
                TRUE,"Online Payment"
            ),
        V91="Payroll","Payroll",
        V91="Cash","Deposit",
        TRUE,"-"
    ),
    "-"
)</f>
        <v>Payroll</v>
      </c>
      <c r="X91" s="25" t="str" cm="1">
        <f t="array" ref="X91">_xlfn.IFNA(
    _xlfn.IFS(
        V91="-","Low",
        W91="-","Low",
        TRUE,"High"
    ),
    "-"
)</f>
        <v>High</v>
      </c>
      <c r="Y91" s="25" t="str">
        <f t="shared" si="4"/>
        <v>-</v>
      </c>
      <c r="Z91" s="25" t="str" cm="1">
        <f t="array" ref="Z91">_xlfn.IFNA(
    _xlfn.IFS(
        ISNUMBER(SEARCH("Abdul Latif Jameel",M91)),"Lender",
        ISNUMBER(SEARCH("Abdullah Abdulkarim Al Sudais",M91)),"Accounting",
        ISNUMBER(SEARCH("Abdullah Fahad for Accounting",M91)),"Accounting",
        ISNUMBER(SEARCH("Abdullah Rashid Shaikh",M91)),"Shareholder",
        ISNUMBER(SEARCH("Advanced Equipments",M91)),"Equipment Rental",
        ISNUMBER(SEARCH("Al Banuk Sana",M91)),"Telecom Company",
        ISNUMBER(SEARCH("Al Khaleefa Factory",M91)),"Manufacturer",
        ISNUMBER(SEARCH("Al Saadeh Trading",M91)),"Trading Company",
        ISNUMBER(SEARCH("Al Zaehaan",M91)),"Trading Company",
        ISNUMBER(SEARCH("Ali Abdullah K Al Darwish",M91)),"Airlines",
        ISNUMBER(SEARCH("Bupa Arabia",M91)),"Health Insurance",
        ISNUMBER(SEARCH("Dar Fahoosaat",M91)),"Consultant",
        ISNUMBER(SEARCH("General Authority of Zakat",M91)),"Tax Collection",
        ISNUMBER(SEARCH("Gulf Voyager",M91)),"Travel Agency",
        ISNUMBER(SEARCH("Hopeway Trading",M91)),"Trading Company",
        ISNUMBER(SEARCH("Interhealth Medical",M91)),"Medical Services",
        ISNUMBER(SEARCH("Ishaar",M91)),"Online Payment Service",
        ISNUMBER(SEARCH("ISO Arabia",M91)),"Certification",
        ISNUMBER(SEARCH("Khalid Saad Al Otaibi",M91)),"Trading Company",
        ISNUMBER(SEARCH("MERAS for Decoration",M91)),"Decor Company",
        ISNUMBER(SEARCH("Middle East Customs Clearance",M91)),"Customs",
        ISNUMBER(SEARCH("Ministry of Human Resources",M91)),"Government",
        ISNUMBER(SEARCH("My Business Services",M91)),"Service Provider",
        ISNUMBER(SEARCH("National Water Company",M91)),"Water Company",
        ISNUMBER(SEARCH("Rania Contracting",M91)),"Contracting",
        ISNUMBER(SEARCH("Rashid Ali Sheikh",M91)),"Shareholder",
        ISNUMBER(SEARCH("Sahab United Motors",M91)),"Car Show Room",
        ISNUMBER(SEARCH("Saud Mohammed Al Tamimi",M91)),"Shareholder",
        ISNUMBER(SEARCH("Saud Mohammed Tamimi",M91)),"Shareholder",
        ISNUMBER(SEARCH("Saudi Electric Company",M91)),"Electricity Company",
        ISNUMBER(SEARCH("Saudi Vetonit",M91)),"Building Materials",
        ISNUMBER(SEARCH("Shomoul Eng",M91)),"Safety",
        ISNUMBER(SEARCH("STC",M91)),"Telecom Company",
        ISNUMBER(SEARCH("The General Organization for Social Insurance",M91)),"Social Insurance Agency",
        ISNUMBER(SEARCH("TUV Rheinland",M91)),"Certification",
        ISNUMBER(SEARCH("Al Arabia Ceramic",M91)),"Building Materials",
        ISNUMBER(SEARCH("National Company for Building and Marketing",M91)),"Parent Company",
        ISNUMBER(SEARCH("Athraa Holding",M91)),"Holding Company",
        ISNUMBER(SEARCH("Al Rasan",M91)),"Contracting",
        ISNUMBER(SEARCH("Raboua Al Haid",M91)),"Trading Company",
        ISNUMBER(SEARCH("Al Jazeera Paint",M91)),"Manufacturer",
        ISNUMBER(SEARCH("Rania Works Contracting",M91)),"Contracting",
        ISNUMBER(SEARCH("Bandar Jarallah",M91)),"Trading Establishment",
        ISNUMBER(SEARCH("RS Infratec Saudi",M91)),"Same Company",
        ISNUMBER(SEARCH("Payroll",M91)),"Bank",
        ISNUMBER(SEARCH("Expatriate",M91)),"Government",
        ISNUMBER(SEARCH("Unknown Sender",M91)),"Unknown",
        TRUE,"Unknown"
    ),
    "-"
)</f>
        <v>Bank</v>
      </c>
      <c r="AA91" s="25" t="str" cm="1">
        <f t="array" ref="AA91">_xlfn.IFNA(
    _xlfn.IFS(
        Z91="Lender","Financing",
        Z91="Accounting","Accounting",
        Z91="Shareholder","Individual",
        Z91="Equipment Rental","Equipment Rental",
        Z91="Telecom Company","Telecom",
        Z91="Manufacturer","Manufacturer",
        Z91="Trading Company","Trading And Transport",
        Z91="Trading Establishment","Trading",
        Z91="Airlines","Airlines",
        Z91="Health Insurance","Insurance",
        Z91="Consultant","Consultant",
        Z91="Tax Collection","Government",
        Z91="Travel Agency","Travel Agency",
        Z91="Medical Services","Medical Center",
        Z91="Online Payment Service","Payment Facilitator",
        Z91="Certification","Safety",
        Z91="Decor Company","Design",
        Z91="Customs","Customs",
        Z91="Government","Government",
        Z91="Service Provider","Service Provider",
        Z91="Water Company","Water Company",
        Z91="Contracting","Contracting",
        Z91="Car Show Room","Car Trader",
        Z91="Electricity Company","Electricity Company",
        Z91="Building Materials","Building Materials",
        Z91="Safety","Safety",
        Z91="Social Insurance Agency","Government Fund",
        Z91="Parent Company","Holding Company",
        Z91="Holding Company","Holding Company",
        Z91="Same Company","Construction",
        Z91="Bank","Bank",
        Z91="Unknown","Unknown",
        TRUE,"-"
    ),
    "-"
)</f>
        <v>Bank</v>
      </c>
      <c r="AB91" s="25" t="str">
        <f t="shared" si="5"/>
        <v>-</v>
      </c>
      <c r="AC91" s="25" t="str" cm="1">
        <f t="array" ref="AC91">_xlfn.IFNA(
    _xlfn.IFS(
        Z91="Shareholder","Shareholder",
        Z91="Same Company","Same Company",
        Z91="Bank","Bank",
        Z91="Government","Government",
        Z91="Social Insurance Agency","Government",
        Z91="Parent Company","Customer",
        Z91="Lender","Lender",
        Z91="Unknown","Unknown",
        ISNUMBER(SEARCH("Abdullah Abdulkarim",M91)),"Service Provider",
        ISNUMBER(SEARCH("Abdullah Fahad",M91)),"Service Provider",
        ISNUMBER(SEARCH("Advanced Equipments",M91)),"Supplier",
        ISNUMBER(SEARCH("Al Banuk Sana",M91)),"Supplier",
        ISNUMBER(SEARCH("Al Khaleefa Factory",M91)),"Supplier",
        ISNUMBER(SEARCH("Al Saadeh Trading",M91)),"Supplier",
        ISNUMBER(SEARCH("Al Zaehaan",M91)),"Supplier",
        ISNUMBER(SEARCH("Ali Abdullah K Al Darwish",M91)),"Service Provider",
        ISNUMBER(SEARCH("Bupa Arabia",M91)),"Insurance Company",
        ISNUMBER(SEARCH("Dar Fahoosaat",M91)),"Service Provider",
        ISNUMBER(SEARCH("General Authority of Zakat",M91)),"Tax Authority",
        ISNUMBER(SEARCH("Gulf Voyager",M91)),"Service Provider",
        ISNUMBER(SEARCH("Hopeway Trading",M91)),"Supplier",
        ISNUMBER(SEARCH("Interhealth Medical",M91)),"Customer",
        ISNUMBER(SEARCH("Ishaar",M91)),"Service Provider",
        ISNUMBER(SEARCH("ISO Arabia",M91)),"Service Provider",
        ISNUMBER(SEARCH("Khalid Saad Al Otaibi",M91)),"Supplier",
        ISNUMBER(SEARCH("MERAS for Decoration",M91)),"Supplier",
        ISNUMBER(SEARCH("Middle East Customs Clearance",M91)),"Service Provider",
        ISNUMBER(SEARCH("Ministry of Human Resources",M91)),"Regulatory Agency",
        ISNUMBER(SEARCH("My Business Services",M91)),"Service Provider",
        ISNUMBER(SEARCH("National Water Company",M91)),"Utility Provider",
        ISNUMBER(SEARCH("Rania Contracting",M91)),"Supplier",
        ISNUMBER(SEARCH("Sahab United Motors",M91)),"Supplier",
        ISNUMBER(SEARCH("Saudi Electric Company",M91)),"Utility Provider",
        ISNUMBER(SEARCH("Saudi Vetonit",M91)),"Supplier",
        ISNUMBER(SEARCH("Shomoul Eng",M91)),"Service Provider",
        ISNUMBER(SEARCH("STC",M91)),"Utility Provider",
        ISNUMBER(SEARCH("The General Organization for Social Insurance",M91)),"Social Insurance Agency",
        ISNUMBER(SEARCH("TUV Rheinland",M91)),"Service Provider",
        ISNUMBER(SEARCH("Al Arabia Ceramic",M91)),"Supplier",
        ISNUMBER(SEARCH("National Company for Building",M91)),"Customer",
        ISNUMBER(SEARCH("Athraa Holding",M91)),"Customer",
        ISNUMBER(SEARCH("Al Rasan",M91)),"Supplier",
        ISNUMBER(SEARCH("Raboua Al Haid",M91)),"Customer",
        ISNUMBER(SEARCH("Al Jazeera Paint",M91)),"Supplier",
        ISNUMBER(SEARCH("Rania Works Contracting",M91)),"Supplier",
        ISNUMBER(SEARCH("Bandar Jarallah",M91)),"Supplier",
        TRUE,"Supplier"
    ),
    "-"
)</f>
        <v>Bank</v>
      </c>
      <c r="AD91" s="25" t="str" cm="1">
        <f t="array" ref="AD91">_xlfn.IFNA(
    _xlfn.IFS(
        AC91="Same Company","High",
        AC91="Shareholder","High",
        AC91="Government","High",
        AC91="Bank","High",
        AC91="Lender","High",
        AC91="Unknown","Low",
        AC91="-","Low",
        TRUE,"Medium"
    ),
    "-"
)</f>
        <v>High</v>
      </c>
      <c r="AE91" s="25" t="str">
        <f t="shared" si="6"/>
        <v>-</v>
      </c>
      <c r="AF91" s="25" t="str" cm="1">
        <f t="array" ref="AF91">_xlfn.IFNA(
    _xlfn.IFS(
        K91="Credit",
            _xlfn.IFS(
                OR(ISNUMBER(SEARCH("Rejected",L91)),ISNUMBER(SEARCH("Returned",L91))),"Other Income",
                TRUE,"Revenue"
            ),
        K91="Debit",
            _xlfn.IFS(
                ISNUMBER(SEARCH("Payroll",L91)),"OPEX",
                ISNUMBER(SEARCH("Expatriate",L91)),"OPEX",
                ISNUMBER(SEARCH("Zakat",M91)),"ZATCA",
                ISNUMBER(SEARCH("General Organization for Social Insurance",M91)),"OPEX",
                ISNUMBER(SEARCH("Saudi Electric",M91)),"OPEX",
                ISNUMBER(SEARCH("STC",M91)),"OPEX",
                ISNUMBER(SEARCH("National Water",M91)),"OPEX",
                ISNUMBER(SEARCH("Bupa",M91)),"OPEX",
                ISNUMBER(SEARCH("Abdullah Abdulkarim",M91)),"OPEX",
                ISNUMBER(SEARCH("Abdullah Fahad",M91)),"OPEX",
                ISNUMBER(SEARCH("ISO Arabia",M91)),"OPEX",
                ISNUMBER(SEARCH("Gulf Voyager",M91)),"OPEX",
                ISNUMBER(SEARCH("Ministry",M91)),"OPEX",
                ISNUMBER(SEARCH("General Authority of Zakat",M91)),"ZATCA",
                ISNUMBER(SEARCH("Rejected",L91)),"Other Income",
                TRUE,"COGS"
            ),
        TRUE,"-"
    ),
    "-"
)</f>
        <v>OPEX</v>
      </c>
      <c r="AG91" s="25" t="str" cm="1">
        <f t="array" ref="AG91">_xlfn.IFNA(
    _xlfn.IFS(
        ISNUMBER(SEARCH("Payroll",L91)),"Payroll",
        ISNUMBER(SEARCH("Expatriate",L91)),"Government Fees",
        ISNUMBER(SEARCH("Zakat",M91)),"Zakat",
        ISNUMBER(SEARCH("Social Insurance",M91)),"Social Insurance",
        ISNUMBER(SEARCH("Saudi Electric",M91)),"Electricity",
        ISNUMBER(SEARCH("STC",M91)),"Telecom",
        ISNUMBER(SEARCH("National Water",M91)),"Water",
        ISNUMBER(SEARCH("Bupa",M91)),"Insurance",
        ISNUMBER(SEARCH("Gulf Voyager",M91)),"Travel",
        ISNUMBER(SEARCH("Ministry",M91)),"Government Fees",
        ISNUMBER(SEARCH("Abdullah Abdulkarim",M91)),"Consulting",
        ISNUMBER(SEARCH("Abdullah Fahad",M91)),"Accounting",
        ISNUMBER(SEARCH("ISO Arabia",M91)),"Consulting",
        ISNUMBER(SEARCH("Rejected",L91)),"Refund",
        AF91="COGS","Inventory Purchase",
        AF91="Revenue","Revenue",
        AF91="OPEX","Other",
        AF91="ZATCA","Zakat",
        TRUE,"-"
    ),
    "-"
)</f>
        <v>Payroll</v>
      </c>
      <c r="AH91" s="25" t="str" cm="1">
        <f t="array" ref="AH91">_xlfn.IFNA(
    _xlfn.IFS(
        AF91="-","Low",
        AF91="Other","Low",
        TRUE,"Medium"
    ),
    "-"
)</f>
        <v>Medium</v>
      </c>
      <c r="AI91" s="25" t="str">
        <f t="shared" si="7"/>
        <v>-</v>
      </c>
    </row>
    <row r="92" spans="1:35" x14ac:dyDescent="0.25">
      <c r="A92" s="10">
        <v>5</v>
      </c>
      <c r="B92" s="10" t="s">
        <v>35</v>
      </c>
      <c r="C92" s="10" t="s">
        <v>36</v>
      </c>
      <c r="D92" s="10" t="s">
        <v>37</v>
      </c>
      <c r="E92" s="10" t="s">
        <v>38</v>
      </c>
      <c r="F92" s="11" t="s">
        <v>39</v>
      </c>
      <c r="G92" s="11" t="s">
        <v>40</v>
      </c>
      <c r="H92" s="12">
        <v>44930</v>
      </c>
      <c r="I92" s="20">
        <v>187707.97</v>
      </c>
      <c r="J92" s="20">
        <v>14250</v>
      </c>
      <c r="K92" s="10" t="s">
        <v>41</v>
      </c>
      <c r="L92" s="9" t="s">
        <v>328</v>
      </c>
      <c r="M92" s="9" t="s">
        <v>329</v>
      </c>
      <c r="O92" s="9" t="s">
        <v>226</v>
      </c>
      <c r="P92" s="15">
        <v>44930</v>
      </c>
      <c r="Q92" s="9" t="s">
        <v>331</v>
      </c>
      <c r="R92" s="16">
        <v>14250</v>
      </c>
      <c r="U92" s="9" t="s">
        <v>55</v>
      </c>
      <c r="V92" s="24" t="str" cm="1">
        <f t="array" ref="V92">_xlfn.IFNA(
    _xlfn.IFS(
        ISNUMBER(SEARCH("Fast Outgoing Transfer",L92)),"Transfer",
        ISNUMBER(SEARCH("Incoming Fast Transfer",L92)),"Transfer",
        ISNUMBER(SEARCH("Outgoing International Transfer",L92)),"Transfer",
        ISNUMBER(SEARCH("Bill Payment",L92)),"SADAD",
        ISNUMBER(SEARCH("Payroll",L92)),"Payroll",
        ISNUMBER(SEARCH("Cash Deposit",L92)),"Cash",
        ISNUMBER(SEARCH("Internal Transfer",L92)),"Transfer",
        ISNUMBER(SEARCH("Expatriate Services Payment",L92)),"SADAD",
        ISNUMBER(SEARCH("Rejected",L92)),"Transfer"
    ),
    "-"
)</f>
        <v>Payroll</v>
      </c>
      <c r="W92" s="25" t="str" cm="1">
        <f t="array" ref="W92">_xlfn.IFNA(
    _xlfn.IFS(
        AND(V92="Transfer",ISNUMBER(SEARCH("RIYAD BANK",L92))),"External FI",
        AND(V92="Transfer",ISNUMBER(SEARCH("Al Ahli",L92))),"External FI",
        AND(V92="Transfer",ISNUMBER(SEARCH("CIB via",L92))),"Local Transfer",
        AND(V92="Transfer",ISNUMBER(SEARCH("CIB)",L92))),"Local Transfer",
        AND(V92="Transfer",ISNUMBER(SEARCH("SMRT",L92))),"Local Transfer",
        AND(V92="Transfer",ISNUMBER(SEARCH("Al Murabba",L92))),"Local Transfer",
        AND(V92="Transfer",ISNUMBER(SEARCH("Internal Transfer",L92))),"Same FI",
        AND(V92="Transfer",ISNUMBER(SEARCH("Rejected",L92))),"Failed",
        V92="SADAD",
            _xlfn.IFS(
                ISNUMBER(SEARCH("Expatriate",L92)),"Expat Fees",
                TRUE,"Online Payment"
            ),
        V92="Payroll","Payroll",
        V92="Cash","Deposit",
        TRUE,"-"
    ),
    "-"
)</f>
        <v>Payroll</v>
      </c>
      <c r="X92" s="25" t="str" cm="1">
        <f t="array" ref="X92">_xlfn.IFNA(
    _xlfn.IFS(
        V92="-","Low",
        W92="-","Low",
        TRUE,"High"
    ),
    "-"
)</f>
        <v>High</v>
      </c>
      <c r="Y92" s="25" t="str">
        <f t="shared" si="4"/>
        <v>-</v>
      </c>
      <c r="Z92" s="25" t="str" cm="1">
        <f t="array" ref="Z92">_xlfn.IFNA(
    _xlfn.IFS(
        ISNUMBER(SEARCH("Abdul Latif Jameel",M92)),"Lender",
        ISNUMBER(SEARCH("Abdullah Abdulkarim Al Sudais",M92)),"Accounting",
        ISNUMBER(SEARCH("Abdullah Fahad for Accounting",M92)),"Accounting",
        ISNUMBER(SEARCH("Abdullah Rashid Shaikh",M92)),"Shareholder",
        ISNUMBER(SEARCH("Advanced Equipments",M92)),"Equipment Rental",
        ISNUMBER(SEARCH("Al Banuk Sana",M92)),"Telecom Company",
        ISNUMBER(SEARCH("Al Khaleefa Factory",M92)),"Manufacturer",
        ISNUMBER(SEARCH("Al Saadeh Trading",M92)),"Trading Company",
        ISNUMBER(SEARCH("Al Zaehaan",M92)),"Trading Company",
        ISNUMBER(SEARCH("Ali Abdullah K Al Darwish",M92)),"Airlines",
        ISNUMBER(SEARCH("Bupa Arabia",M92)),"Health Insurance",
        ISNUMBER(SEARCH("Dar Fahoosaat",M92)),"Consultant",
        ISNUMBER(SEARCH("General Authority of Zakat",M92)),"Tax Collection",
        ISNUMBER(SEARCH("Gulf Voyager",M92)),"Travel Agency",
        ISNUMBER(SEARCH("Hopeway Trading",M92)),"Trading Company",
        ISNUMBER(SEARCH("Interhealth Medical",M92)),"Medical Services",
        ISNUMBER(SEARCH("Ishaar",M92)),"Online Payment Service",
        ISNUMBER(SEARCH("ISO Arabia",M92)),"Certification",
        ISNUMBER(SEARCH("Khalid Saad Al Otaibi",M92)),"Trading Company",
        ISNUMBER(SEARCH("MERAS for Decoration",M92)),"Decor Company",
        ISNUMBER(SEARCH("Middle East Customs Clearance",M92)),"Customs",
        ISNUMBER(SEARCH("Ministry of Human Resources",M92)),"Government",
        ISNUMBER(SEARCH("My Business Services",M92)),"Service Provider",
        ISNUMBER(SEARCH("National Water Company",M92)),"Water Company",
        ISNUMBER(SEARCH("Rania Contracting",M92)),"Contracting",
        ISNUMBER(SEARCH("Rashid Ali Sheikh",M92)),"Shareholder",
        ISNUMBER(SEARCH("Sahab United Motors",M92)),"Car Show Room",
        ISNUMBER(SEARCH("Saud Mohammed Al Tamimi",M92)),"Shareholder",
        ISNUMBER(SEARCH("Saud Mohammed Tamimi",M92)),"Shareholder",
        ISNUMBER(SEARCH("Saudi Electric Company",M92)),"Electricity Company",
        ISNUMBER(SEARCH("Saudi Vetonit",M92)),"Building Materials",
        ISNUMBER(SEARCH("Shomoul Eng",M92)),"Safety",
        ISNUMBER(SEARCH("STC",M92)),"Telecom Company",
        ISNUMBER(SEARCH("The General Organization for Social Insurance",M92)),"Social Insurance Agency",
        ISNUMBER(SEARCH("TUV Rheinland",M92)),"Certification",
        ISNUMBER(SEARCH("Al Arabia Ceramic",M92)),"Building Materials",
        ISNUMBER(SEARCH("National Company for Building and Marketing",M92)),"Parent Company",
        ISNUMBER(SEARCH("Athraa Holding",M92)),"Holding Company",
        ISNUMBER(SEARCH("Al Rasan",M92)),"Contracting",
        ISNUMBER(SEARCH("Raboua Al Haid",M92)),"Trading Company",
        ISNUMBER(SEARCH("Al Jazeera Paint",M92)),"Manufacturer",
        ISNUMBER(SEARCH("Rania Works Contracting",M92)),"Contracting",
        ISNUMBER(SEARCH("Bandar Jarallah",M92)),"Trading Establishment",
        ISNUMBER(SEARCH("RS Infratec Saudi",M92)),"Same Company",
        ISNUMBER(SEARCH("Payroll",M92)),"Bank",
        ISNUMBER(SEARCH("Expatriate",M92)),"Government",
        ISNUMBER(SEARCH("Unknown Sender",M92)),"Unknown",
        TRUE,"Unknown"
    ),
    "-"
)</f>
        <v>Bank</v>
      </c>
      <c r="AA92" s="25" t="str" cm="1">
        <f t="array" ref="AA92">_xlfn.IFNA(
    _xlfn.IFS(
        Z92="Lender","Financing",
        Z92="Accounting","Accounting",
        Z92="Shareholder","Individual",
        Z92="Equipment Rental","Equipment Rental",
        Z92="Telecom Company","Telecom",
        Z92="Manufacturer","Manufacturer",
        Z92="Trading Company","Trading And Transport",
        Z92="Trading Establishment","Trading",
        Z92="Airlines","Airlines",
        Z92="Health Insurance","Insurance",
        Z92="Consultant","Consultant",
        Z92="Tax Collection","Government",
        Z92="Travel Agency","Travel Agency",
        Z92="Medical Services","Medical Center",
        Z92="Online Payment Service","Payment Facilitator",
        Z92="Certification","Safety",
        Z92="Decor Company","Design",
        Z92="Customs","Customs",
        Z92="Government","Government",
        Z92="Service Provider","Service Provider",
        Z92="Water Company","Water Company",
        Z92="Contracting","Contracting",
        Z92="Car Show Room","Car Trader",
        Z92="Electricity Company","Electricity Company",
        Z92="Building Materials","Building Materials",
        Z92="Safety","Safety",
        Z92="Social Insurance Agency","Government Fund",
        Z92="Parent Company","Holding Company",
        Z92="Holding Company","Holding Company",
        Z92="Same Company","Construction",
        Z92="Bank","Bank",
        Z92="Unknown","Unknown",
        TRUE,"-"
    ),
    "-"
)</f>
        <v>Bank</v>
      </c>
      <c r="AB92" s="25" t="str">
        <f t="shared" si="5"/>
        <v>-</v>
      </c>
      <c r="AC92" s="25" t="str" cm="1">
        <f t="array" ref="AC92">_xlfn.IFNA(
    _xlfn.IFS(
        Z92="Shareholder","Shareholder",
        Z92="Same Company","Same Company",
        Z92="Bank","Bank",
        Z92="Government","Government",
        Z92="Social Insurance Agency","Government",
        Z92="Parent Company","Customer",
        Z92="Lender","Lender",
        Z92="Unknown","Unknown",
        ISNUMBER(SEARCH("Abdullah Abdulkarim",M92)),"Service Provider",
        ISNUMBER(SEARCH("Abdullah Fahad",M92)),"Service Provider",
        ISNUMBER(SEARCH("Advanced Equipments",M92)),"Supplier",
        ISNUMBER(SEARCH("Al Banuk Sana",M92)),"Supplier",
        ISNUMBER(SEARCH("Al Khaleefa Factory",M92)),"Supplier",
        ISNUMBER(SEARCH("Al Saadeh Trading",M92)),"Supplier",
        ISNUMBER(SEARCH("Al Zaehaan",M92)),"Supplier",
        ISNUMBER(SEARCH("Ali Abdullah K Al Darwish",M92)),"Service Provider",
        ISNUMBER(SEARCH("Bupa Arabia",M92)),"Insurance Company",
        ISNUMBER(SEARCH("Dar Fahoosaat",M92)),"Service Provider",
        ISNUMBER(SEARCH("General Authority of Zakat",M92)),"Tax Authority",
        ISNUMBER(SEARCH("Gulf Voyager",M92)),"Service Provider",
        ISNUMBER(SEARCH("Hopeway Trading",M92)),"Supplier",
        ISNUMBER(SEARCH("Interhealth Medical",M92)),"Customer",
        ISNUMBER(SEARCH("Ishaar",M92)),"Service Provider",
        ISNUMBER(SEARCH("ISO Arabia",M92)),"Service Provider",
        ISNUMBER(SEARCH("Khalid Saad Al Otaibi",M92)),"Supplier",
        ISNUMBER(SEARCH("MERAS for Decoration",M92)),"Supplier",
        ISNUMBER(SEARCH("Middle East Customs Clearance",M92)),"Service Provider",
        ISNUMBER(SEARCH("Ministry of Human Resources",M92)),"Regulatory Agency",
        ISNUMBER(SEARCH("My Business Services",M92)),"Service Provider",
        ISNUMBER(SEARCH("National Water Company",M92)),"Utility Provider",
        ISNUMBER(SEARCH("Rania Contracting",M92)),"Supplier",
        ISNUMBER(SEARCH("Sahab United Motors",M92)),"Supplier",
        ISNUMBER(SEARCH("Saudi Electric Company",M92)),"Utility Provider",
        ISNUMBER(SEARCH("Saudi Vetonit",M92)),"Supplier",
        ISNUMBER(SEARCH("Shomoul Eng",M92)),"Service Provider",
        ISNUMBER(SEARCH("STC",M92)),"Utility Provider",
        ISNUMBER(SEARCH("The General Organization for Social Insurance",M92)),"Social Insurance Agency",
        ISNUMBER(SEARCH("TUV Rheinland",M92)),"Service Provider",
        ISNUMBER(SEARCH("Al Arabia Ceramic",M92)),"Supplier",
        ISNUMBER(SEARCH("National Company for Building",M92)),"Customer",
        ISNUMBER(SEARCH("Athraa Holding",M92)),"Customer",
        ISNUMBER(SEARCH("Al Rasan",M92)),"Supplier",
        ISNUMBER(SEARCH("Raboua Al Haid",M92)),"Customer",
        ISNUMBER(SEARCH("Al Jazeera Paint",M92)),"Supplier",
        ISNUMBER(SEARCH("Rania Works Contracting",M92)),"Supplier",
        ISNUMBER(SEARCH("Bandar Jarallah",M92)),"Supplier",
        TRUE,"Supplier"
    ),
    "-"
)</f>
        <v>Bank</v>
      </c>
      <c r="AD92" s="25" t="str" cm="1">
        <f t="array" ref="AD92">_xlfn.IFNA(
    _xlfn.IFS(
        AC92="Same Company","High",
        AC92="Shareholder","High",
        AC92="Government","High",
        AC92="Bank","High",
        AC92="Lender","High",
        AC92="Unknown","Low",
        AC92="-","Low",
        TRUE,"Medium"
    ),
    "-"
)</f>
        <v>High</v>
      </c>
      <c r="AE92" s="25" t="str">
        <f t="shared" si="6"/>
        <v>-</v>
      </c>
      <c r="AF92" s="25" t="str" cm="1">
        <f t="array" ref="AF92">_xlfn.IFNA(
    _xlfn.IFS(
        K92="Credit",
            _xlfn.IFS(
                OR(ISNUMBER(SEARCH("Rejected",L92)),ISNUMBER(SEARCH("Returned",L92))),"Other Income",
                TRUE,"Revenue"
            ),
        K92="Debit",
            _xlfn.IFS(
                ISNUMBER(SEARCH("Payroll",L92)),"OPEX",
                ISNUMBER(SEARCH("Expatriate",L92)),"OPEX",
                ISNUMBER(SEARCH("Zakat",M92)),"ZATCA",
                ISNUMBER(SEARCH("General Organization for Social Insurance",M92)),"OPEX",
                ISNUMBER(SEARCH("Saudi Electric",M92)),"OPEX",
                ISNUMBER(SEARCH("STC",M92)),"OPEX",
                ISNUMBER(SEARCH("National Water",M92)),"OPEX",
                ISNUMBER(SEARCH("Bupa",M92)),"OPEX",
                ISNUMBER(SEARCH("Abdullah Abdulkarim",M92)),"OPEX",
                ISNUMBER(SEARCH("Abdullah Fahad",M92)),"OPEX",
                ISNUMBER(SEARCH("ISO Arabia",M92)),"OPEX",
                ISNUMBER(SEARCH("Gulf Voyager",M92)),"OPEX",
                ISNUMBER(SEARCH("Ministry",M92)),"OPEX",
                ISNUMBER(SEARCH("General Authority of Zakat",M92)),"ZATCA",
                ISNUMBER(SEARCH("Rejected",L92)),"Other Income",
                TRUE,"COGS"
            ),
        TRUE,"-"
    ),
    "-"
)</f>
        <v>OPEX</v>
      </c>
      <c r="AG92" s="25" t="str" cm="1">
        <f t="array" ref="AG92">_xlfn.IFNA(
    _xlfn.IFS(
        ISNUMBER(SEARCH("Payroll",L92)),"Payroll",
        ISNUMBER(SEARCH("Expatriate",L92)),"Government Fees",
        ISNUMBER(SEARCH("Zakat",M92)),"Zakat",
        ISNUMBER(SEARCH("Social Insurance",M92)),"Social Insurance",
        ISNUMBER(SEARCH("Saudi Electric",M92)),"Electricity",
        ISNUMBER(SEARCH("STC",M92)),"Telecom",
        ISNUMBER(SEARCH("National Water",M92)),"Water",
        ISNUMBER(SEARCH("Bupa",M92)),"Insurance",
        ISNUMBER(SEARCH("Gulf Voyager",M92)),"Travel",
        ISNUMBER(SEARCH("Ministry",M92)),"Government Fees",
        ISNUMBER(SEARCH("Abdullah Abdulkarim",M92)),"Consulting",
        ISNUMBER(SEARCH("Abdullah Fahad",M92)),"Accounting",
        ISNUMBER(SEARCH("ISO Arabia",M92)),"Consulting",
        ISNUMBER(SEARCH("Rejected",L92)),"Refund",
        AF92="COGS","Inventory Purchase",
        AF92="Revenue","Revenue",
        AF92="OPEX","Other",
        AF92="ZATCA","Zakat",
        TRUE,"-"
    ),
    "-"
)</f>
        <v>Payroll</v>
      </c>
      <c r="AH92" s="25" t="str" cm="1">
        <f t="array" ref="AH92">_xlfn.IFNA(
    _xlfn.IFS(
        AF92="-","Low",
        AF92="Other","Low",
        TRUE,"Medium"
    ),
    "-"
)</f>
        <v>Medium</v>
      </c>
      <c r="AI92" s="25" t="str">
        <f t="shared" si="7"/>
        <v>-</v>
      </c>
    </row>
    <row r="93" spans="1:35" x14ac:dyDescent="0.25">
      <c r="A93" s="10">
        <v>5</v>
      </c>
      <c r="B93" s="10" t="s">
        <v>35</v>
      </c>
      <c r="C93" s="10" t="s">
        <v>36</v>
      </c>
      <c r="D93" s="10" t="s">
        <v>37</v>
      </c>
      <c r="E93" s="10" t="s">
        <v>38</v>
      </c>
      <c r="F93" s="11" t="s">
        <v>39</v>
      </c>
      <c r="G93" s="10" t="s">
        <v>40</v>
      </c>
      <c r="H93" s="12">
        <v>44930</v>
      </c>
      <c r="I93" s="20">
        <v>132134.74</v>
      </c>
      <c r="J93" s="20">
        <v>55537</v>
      </c>
      <c r="K93" s="10" t="s">
        <v>41</v>
      </c>
      <c r="L93" s="9" t="s">
        <v>328</v>
      </c>
      <c r="M93" s="9" t="s">
        <v>329</v>
      </c>
      <c r="O93" s="9" t="s">
        <v>226</v>
      </c>
      <c r="P93" s="15">
        <v>44930</v>
      </c>
      <c r="Q93" s="9" t="s">
        <v>332</v>
      </c>
      <c r="R93" s="16">
        <v>55537</v>
      </c>
      <c r="U93" s="9" t="s">
        <v>55</v>
      </c>
      <c r="V93" s="24" t="str" cm="1">
        <f t="array" ref="V93">_xlfn.IFNA(
    _xlfn.IFS(
        ISNUMBER(SEARCH("Fast Outgoing Transfer",L93)),"Transfer",
        ISNUMBER(SEARCH("Incoming Fast Transfer",L93)),"Transfer",
        ISNUMBER(SEARCH("Outgoing International Transfer",L93)),"Transfer",
        ISNUMBER(SEARCH("Bill Payment",L93)),"SADAD",
        ISNUMBER(SEARCH("Payroll",L93)),"Payroll",
        ISNUMBER(SEARCH("Cash Deposit",L93)),"Cash",
        ISNUMBER(SEARCH("Internal Transfer",L93)),"Transfer",
        ISNUMBER(SEARCH("Expatriate Services Payment",L93)),"SADAD",
        ISNUMBER(SEARCH("Rejected",L93)),"Transfer"
    ),
    "-"
)</f>
        <v>Payroll</v>
      </c>
      <c r="W93" s="25" t="str" cm="1">
        <f t="array" ref="W93">_xlfn.IFNA(
    _xlfn.IFS(
        AND(V93="Transfer",ISNUMBER(SEARCH("RIYAD BANK",L93))),"External FI",
        AND(V93="Transfer",ISNUMBER(SEARCH("Al Ahli",L93))),"External FI",
        AND(V93="Transfer",ISNUMBER(SEARCH("CIB via",L93))),"Local Transfer",
        AND(V93="Transfer",ISNUMBER(SEARCH("CIB)",L93))),"Local Transfer",
        AND(V93="Transfer",ISNUMBER(SEARCH("SMRT",L93))),"Local Transfer",
        AND(V93="Transfer",ISNUMBER(SEARCH("Al Murabba",L93))),"Local Transfer",
        AND(V93="Transfer",ISNUMBER(SEARCH("Internal Transfer",L93))),"Same FI",
        AND(V93="Transfer",ISNUMBER(SEARCH("Rejected",L93))),"Failed",
        V93="SADAD",
            _xlfn.IFS(
                ISNUMBER(SEARCH("Expatriate",L93)),"Expat Fees",
                TRUE,"Online Payment"
            ),
        V93="Payroll","Payroll",
        V93="Cash","Deposit",
        TRUE,"-"
    ),
    "-"
)</f>
        <v>Payroll</v>
      </c>
      <c r="X93" s="25" t="str" cm="1">
        <f t="array" ref="X93">_xlfn.IFNA(
    _xlfn.IFS(
        V93="-","Low",
        W93="-","Low",
        TRUE,"High"
    ),
    "-"
)</f>
        <v>High</v>
      </c>
      <c r="Y93" s="25" t="str">
        <f t="shared" si="4"/>
        <v>-</v>
      </c>
      <c r="Z93" s="25" t="str" cm="1">
        <f t="array" ref="Z93">_xlfn.IFNA(
    _xlfn.IFS(
        ISNUMBER(SEARCH("Abdul Latif Jameel",M93)),"Lender",
        ISNUMBER(SEARCH("Abdullah Abdulkarim Al Sudais",M93)),"Accounting",
        ISNUMBER(SEARCH("Abdullah Fahad for Accounting",M93)),"Accounting",
        ISNUMBER(SEARCH("Abdullah Rashid Shaikh",M93)),"Shareholder",
        ISNUMBER(SEARCH("Advanced Equipments",M93)),"Equipment Rental",
        ISNUMBER(SEARCH("Al Banuk Sana",M93)),"Telecom Company",
        ISNUMBER(SEARCH("Al Khaleefa Factory",M93)),"Manufacturer",
        ISNUMBER(SEARCH("Al Saadeh Trading",M93)),"Trading Company",
        ISNUMBER(SEARCH("Al Zaehaan",M93)),"Trading Company",
        ISNUMBER(SEARCH("Ali Abdullah K Al Darwish",M93)),"Airlines",
        ISNUMBER(SEARCH("Bupa Arabia",M93)),"Health Insurance",
        ISNUMBER(SEARCH("Dar Fahoosaat",M93)),"Consultant",
        ISNUMBER(SEARCH("General Authority of Zakat",M93)),"Tax Collection",
        ISNUMBER(SEARCH("Gulf Voyager",M93)),"Travel Agency",
        ISNUMBER(SEARCH("Hopeway Trading",M93)),"Trading Company",
        ISNUMBER(SEARCH("Interhealth Medical",M93)),"Medical Services",
        ISNUMBER(SEARCH("Ishaar",M93)),"Online Payment Service",
        ISNUMBER(SEARCH("ISO Arabia",M93)),"Certification",
        ISNUMBER(SEARCH("Khalid Saad Al Otaibi",M93)),"Trading Company",
        ISNUMBER(SEARCH("MERAS for Decoration",M93)),"Decor Company",
        ISNUMBER(SEARCH("Middle East Customs Clearance",M93)),"Customs",
        ISNUMBER(SEARCH("Ministry of Human Resources",M93)),"Government",
        ISNUMBER(SEARCH("My Business Services",M93)),"Service Provider",
        ISNUMBER(SEARCH("National Water Company",M93)),"Water Company",
        ISNUMBER(SEARCH("Rania Contracting",M93)),"Contracting",
        ISNUMBER(SEARCH("Rashid Ali Sheikh",M93)),"Shareholder",
        ISNUMBER(SEARCH("Sahab United Motors",M93)),"Car Show Room",
        ISNUMBER(SEARCH("Saud Mohammed Al Tamimi",M93)),"Shareholder",
        ISNUMBER(SEARCH("Saud Mohammed Tamimi",M93)),"Shareholder",
        ISNUMBER(SEARCH("Saudi Electric Company",M93)),"Electricity Company",
        ISNUMBER(SEARCH("Saudi Vetonit",M93)),"Building Materials",
        ISNUMBER(SEARCH("Shomoul Eng",M93)),"Safety",
        ISNUMBER(SEARCH("STC",M93)),"Telecom Company",
        ISNUMBER(SEARCH("The General Organization for Social Insurance",M93)),"Social Insurance Agency",
        ISNUMBER(SEARCH("TUV Rheinland",M93)),"Certification",
        ISNUMBER(SEARCH("Al Arabia Ceramic",M93)),"Building Materials",
        ISNUMBER(SEARCH("National Company for Building and Marketing",M93)),"Parent Company",
        ISNUMBER(SEARCH("Athraa Holding",M93)),"Holding Company",
        ISNUMBER(SEARCH("Al Rasan",M93)),"Contracting",
        ISNUMBER(SEARCH("Raboua Al Haid",M93)),"Trading Company",
        ISNUMBER(SEARCH("Al Jazeera Paint",M93)),"Manufacturer",
        ISNUMBER(SEARCH("Rania Works Contracting",M93)),"Contracting",
        ISNUMBER(SEARCH("Bandar Jarallah",M93)),"Trading Establishment",
        ISNUMBER(SEARCH("RS Infratec Saudi",M93)),"Same Company",
        ISNUMBER(SEARCH("Payroll",M93)),"Bank",
        ISNUMBER(SEARCH("Expatriate",M93)),"Government",
        ISNUMBER(SEARCH("Unknown Sender",M93)),"Unknown",
        TRUE,"Unknown"
    ),
    "-"
)</f>
        <v>Bank</v>
      </c>
      <c r="AA93" s="25" t="str" cm="1">
        <f t="array" ref="AA93">_xlfn.IFNA(
    _xlfn.IFS(
        Z93="Lender","Financing",
        Z93="Accounting","Accounting",
        Z93="Shareholder","Individual",
        Z93="Equipment Rental","Equipment Rental",
        Z93="Telecom Company","Telecom",
        Z93="Manufacturer","Manufacturer",
        Z93="Trading Company","Trading And Transport",
        Z93="Trading Establishment","Trading",
        Z93="Airlines","Airlines",
        Z93="Health Insurance","Insurance",
        Z93="Consultant","Consultant",
        Z93="Tax Collection","Government",
        Z93="Travel Agency","Travel Agency",
        Z93="Medical Services","Medical Center",
        Z93="Online Payment Service","Payment Facilitator",
        Z93="Certification","Safety",
        Z93="Decor Company","Design",
        Z93="Customs","Customs",
        Z93="Government","Government",
        Z93="Service Provider","Service Provider",
        Z93="Water Company","Water Company",
        Z93="Contracting","Contracting",
        Z93="Car Show Room","Car Trader",
        Z93="Electricity Company","Electricity Company",
        Z93="Building Materials","Building Materials",
        Z93="Safety","Safety",
        Z93="Social Insurance Agency","Government Fund",
        Z93="Parent Company","Holding Company",
        Z93="Holding Company","Holding Company",
        Z93="Same Company","Construction",
        Z93="Bank","Bank",
        Z93="Unknown","Unknown",
        TRUE,"-"
    ),
    "-"
)</f>
        <v>Bank</v>
      </c>
      <c r="AB93" s="25" t="str">
        <f t="shared" si="5"/>
        <v>-</v>
      </c>
      <c r="AC93" s="25" t="str" cm="1">
        <f t="array" ref="AC93">_xlfn.IFNA(
    _xlfn.IFS(
        Z93="Shareholder","Shareholder",
        Z93="Same Company","Same Company",
        Z93="Bank","Bank",
        Z93="Government","Government",
        Z93="Social Insurance Agency","Government",
        Z93="Parent Company","Customer",
        Z93="Lender","Lender",
        Z93="Unknown","Unknown",
        ISNUMBER(SEARCH("Abdullah Abdulkarim",M93)),"Service Provider",
        ISNUMBER(SEARCH("Abdullah Fahad",M93)),"Service Provider",
        ISNUMBER(SEARCH("Advanced Equipments",M93)),"Supplier",
        ISNUMBER(SEARCH("Al Banuk Sana",M93)),"Supplier",
        ISNUMBER(SEARCH("Al Khaleefa Factory",M93)),"Supplier",
        ISNUMBER(SEARCH("Al Saadeh Trading",M93)),"Supplier",
        ISNUMBER(SEARCH("Al Zaehaan",M93)),"Supplier",
        ISNUMBER(SEARCH("Ali Abdullah K Al Darwish",M93)),"Service Provider",
        ISNUMBER(SEARCH("Bupa Arabia",M93)),"Insurance Company",
        ISNUMBER(SEARCH("Dar Fahoosaat",M93)),"Service Provider",
        ISNUMBER(SEARCH("General Authority of Zakat",M93)),"Tax Authority",
        ISNUMBER(SEARCH("Gulf Voyager",M93)),"Service Provider",
        ISNUMBER(SEARCH("Hopeway Trading",M93)),"Supplier",
        ISNUMBER(SEARCH("Interhealth Medical",M93)),"Customer",
        ISNUMBER(SEARCH("Ishaar",M93)),"Service Provider",
        ISNUMBER(SEARCH("ISO Arabia",M93)),"Service Provider",
        ISNUMBER(SEARCH("Khalid Saad Al Otaibi",M93)),"Supplier",
        ISNUMBER(SEARCH("MERAS for Decoration",M93)),"Supplier",
        ISNUMBER(SEARCH("Middle East Customs Clearance",M93)),"Service Provider",
        ISNUMBER(SEARCH("Ministry of Human Resources",M93)),"Regulatory Agency",
        ISNUMBER(SEARCH("My Business Services",M93)),"Service Provider",
        ISNUMBER(SEARCH("National Water Company",M93)),"Utility Provider",
        ISNUMBER(SEARCH("Rania Contracting",M93)),"Supplier",
        ISNUMBER(SEARCH("Sahab United Motors",M93)),"Supplier",
        ISNUMBER(SEARCH("Saudi Electric Company",M93)),"Utility Provider",
        ISNUMBER(SEARCH("Saudi Vetonit",M93)),"Supplier",
        ISNUMBER(SEARCH("Shomoul Eng",M93)),"Service Provider",
        ISNUMBER(SEARCH("STC",M93)),"Utility Provider",
        ISNUMBER(SEARCH("The General Organization for Social Insurance",M93)),"Social Insurance Agency",
        ISNUMBER(SEARCH("TUV Rheinland",M93)),"Service Provider",
        ISNUMBER(SEARCH("Al Arabia Ceramic",M93)),"Supplier",
        ISNUMBER(SEARCH("National Company for Building",M93)),"Customer",
        ISNUMBER(SEARCH("Athraa Holding",M93)),"Customer",
        ISNUMBER(SEARCH("Al Rasan",M93)),"Supplier",
        ISNUMBER(SEARCH("Raboua Al Haid",M93)),"Customer",
        ISNUMBER(SEARCH("Al Jazeera Paint",M93)),"Supplier",
        ISNUMBER(SEARCH("Rania Works Contracting",M93)),"Supplier",
        ISNUMBER(SEARCH("Bandar Jarallah",M93)),"Supplier",
        TRUE,"Supplier"
    ),
    "-"
)</f>
        <v>Bank</v>
      </c>
      <c r="AD93" s="25" t="str" cm="1">
        <f t="array" ref="AD93">_xlfn.IFNA(
    _xlfn.IFS(
        AC93="Same Company","High",
        AC93="Shareholder","High",
        AC93="Government","High",
        AC93="Bank","High",
        AC93="Lender","High",
        AC93="Unknown","Low",
        AC93="-","Low",
        TRUE,"Medium"
    ),
    "-"
)</f>
        <v>High</v>
      </c>
      <c r="AE93" s="25" t="str">
        <f t="shared" si="6"/>
        <v>-</v>
      </c>
      <c r="AF93" s="25" t="str" cm="1">
        <f t="array" ref="AF93">_xlfn.IFNA(
    _xlfn.IFS(
        K93="Credit",
            _xlfn.IFS(
                OR(ISNUMBER(SEARCH("Rejected",L93)),ISNUMBER(SEARCH("Returned",L93))),"Other Income",
                TRUE,"Revenue"
            ),
        K93="Debit",
            _xlfn.IFS(
                ISNUMBER(SEARCH("Payroll",L93)),"OPEX",
                ISNUMBER(SEARCH("Expatriate",L93)),"OPEX",
                ISNUMBER(SEARCH("Zakat",M93)),"ZATCA",
                ISNUMBER(SEARCH("General Organization for Social Insurance",M93)),"OPEX",
                ISNUMBER(SEARCH("Saudi Electric",M93)),"OPEX",
                ISNUMBER(SEARCH("STC",M93)),"OPEX",
                ISNUMBER(SEARCH("National Water",M93)),"OPEX",
                ISNUMBER(SEARCH("Bupa",M93)),"OPEX",
                ISNUMBER(SEARCH("Abdullah Abdulkarim",M93)),"OPEX",
                ISNUMBER(SEARCH("Abdullah Fahad",M93)),"OPEX",
                ISNUMBER(SEARCH("ISO Arabia",M93)),"OPEX",
                ISNUMBER(SEARCH("Gulf Voyager",M93)),"OPEX",
                ISNUMBER(SEARCH("Ministry",M93)),"OPEX",
                ISNUMBER(SEARCH("General Authority of Zakat",M93)),"ZATCA",
                ISNUMBER(SEARCH("Rejected",L93)),"Other Income",
                TRUE,"COGS"
            ),
        TRUE,"-"
    ),
    "-"
)</f>
        <v>OPEX</v>
      </c>
      <c r="AG93" s="25" t="str" cm="1">
        <f t="array" ref="AG93">_xlfn.IFNA(
    _xlfn.IFS(
        ISNUMBER(SEARCH("Payroll",L93)),"Payroll",
        ISNUMBER(SEARCH("Expatriate",L93)),"Government Fees",
        ISNUMBER(SEARCH("Zakat",M93)),"Zakat",
        ISNUMBER(SEARCH("Social Insurance",M93)),"Social Insurance",
        ISNUMBER(SEARCH("Saudi Electric",M93)),"Electricity",
        ISNUMBER(SEARCH("STC",M93)),"Telecom",
        ISNUMBER(SEARCH("National Water",M93)),"Water",
        ISNUMBER(SEARCH("Bupa",M93)),"Insurance",
        ISNUMBER(SEARCH("Gulf Voyager",M93)),"Travel",
        ISNUMBER(SEARCH("Ministry",M93)),"Government Fees",
        ISNUMBER(SEARCH("Abdullah Abdulkarim",M93)),"Consulting",
        ISNUMBER(SEARCH("Abdullah Fahad",M93)),"Accounting",
        ISNUMBER(SEARCH("ISO Arabia",M93)),"Consulting",
        ISNUMBER(SEARCH("Rejected",L93)),"Refund",
        AF93="COGS","Inventory Purchase",
        AF93="Revenue","Revenue",
        AF93="OPEX","Other",
        AF93="ZATCA","Zakat",
        TRUE,"-"
    ),
    "-"
)</f>
        <v>Payroll</v>
      </c>
      <c r="AH93" s="25" t="str" cm="1">
        <f t="array" ref="AH93">_xlfn.IFNA(
    _xlfn.IFS(
        AF93="-","Low",
        AF93="Other","Low",
        TRUE,"Medium"
    ),
    "-"
)</f>
        <v>Medium</v>
      </c>
      <c r="AI93" s="25" t="str">
        <f t="shared" si="7"/>
        <v>-</v>
      </c>
    </row>
    <row r="94" spans="1:35" x14ac:dyDescent="0.25">
      <c r="A94" s="10">
        <v>5</v>
      </c>
      <c r="B94" s="10" t="s">
        <v>35</v>
      </c>
      <c r="C94" s="10" t="s">
        <v>36</v>
      </c>
      <c r="D94" s="10" t="s">
        <v>37</v>
      </c>
      <c r="E94" s="10" t="s">
        <v>38</v>
      </c>
      <c r="F94" s="11" t="s">
        <v>39</v>
      </c>
      <c r="G94" s="11" t="s">
        <v>40</v>
      </c>
      <c r="H94" s="12">
        <v>44931</v>
      </c>
      <c r="I94" s="20">
        <v>98231.21</v>
      </c>
      <c r="J94" s="20">
        <v>38875.5</v>
      </c>
      <c r="K94" s="10" t="s">
        <v>41</v>
      </c>
      <c r="L94" s="9" t="s">
        <v>328</v>
      </c>
      <c r="M94" s="9" t="s">
        <v>329</v>
      </c>
      <c r="O94" s="9" t="s">
        <v>226</v>
      </c>
      <c r="P94" s="15">
        <v>44931</v>
      </c>
      <c r="Q94" s="9" t="s">
        <v>333</v>
      </c>
      <c r="R94" s="16">
        <v>38875.5</v>
      </c>
      <c r="U94" s="9" t="s">
        <v>55</v>
      </c>
      <c r="V94" s="24" t="str" cm="1">
        <f t="array" ref="V94">_xlfn.IFNA(
    _xlfn.IFS(
        ISNUMBER(SEARCH("Fast Outgoing Transfer",L94)),"Transfer",
        ISNUMBER(SEARCH("Incoming Fast Transfer",L94)),"Transfer",
        ISNUMBER(SEARCH("Outgoing International Transfer",L94)),"Transfer",
        ISNUMBER(SEARCH("Bill Payment",L94)),"SADAD",
        ISNUMBER(SEARCH("Payroll",L94)),"Payroll",
        ISNUMBER(SEARCH("Cash Deposit",L94)),"Cash",
        ISNUMBER(SEARCH("Internal Transfer",L94)),"Transfer",
        ISNUMBER(SEARCH("Expatriate Services Payment",L94)),"SADAD",
        ISNUMBER(SEARCH("Rejected",L94)),"Transfer"
    ),
    "-"
)</f>
        <v>Payroll</v>
      </c>
      <c r="W94" s="25" t="str" cm="1">
        <f t="array" ref="W94">_xlfn.IFNA(
    _xlfn.IFS(
        AND(V94="Transfer",ISNUMBER(SEARCH("RIYAD BANK",L94))),"External FI",
        AND(V94="Transfer",ISNUMBER(SEARCH("Al Ahli",L94))),"External FI",
        AND(V94="Transfer",ISNUMBER(SEARCH("CIB via",L94))),"Local Transfer",
        AND(V94="Transfer",ISNUMBER(SEARCH("CIB)",L94))),"Local Transfer",
        AND(V94="Transfer",ISNUMBER(SEARCH("SMRT",L94))),"Local Transfer",
        AND(V94="Transfer",ISNUMBER(SEARCH("Al Murabba",L94))),"Local Transfer",
        AND(V94="Transfer",ISNUMBER(SEARCH("Internal Transfer",L94))),"Same FI",
        AND(V94="Transfer",ISNUMBER(SEARCH("Rejected",L94))),"Failed",
        V94="SADAD",
            _xlfn.IFS(
                ISNUMBER(SEARCH("Expatriate",L94)),"Expat Fees",
                TRUE,"Online Payment"
            ),
        V94="Payroll","Payroll",
        V94="Cash","Deposit",
        TRUE,"-"
    ),
    "-"
)</f>
        <v>Payroll</v>
      </c>
      <c r="X94" s="25" t="str" cm="1">
        <f t="array" ref="X94">_xlfn.IFNA(
    _xlfn.IFS(
        V94="-","Low",
        W94="-","Low",
        TRUE,"High"
    ),
    "-"
)</f>
        <v>High</v>
      </c>
      <c r="Y94" s="25" t="str">
        <f t="shared" si="4"/>
        <v>-</v>
      </c>
      <c r="Z94" s="25" t="str" cm="1">
        <f t="array" ref="Z94">_xlfn.IFNA(
    _xlfn.IFS(
        ISNUMBER(SEARCH("Abdul Latif Jameel",M94)),"Lender",
        ISNUMBER(SEARCH("Abdullah Abdulkarim Al Sudais",M94)),"Accounting",
        ISNUMBER(SEARCH("Abdullah Fahad for Accounting",M94)),"Accounting",
        ISNUMBER(SEARCH("Abdullah Rashid Shaikh",M94)),"Shareholder",
        ISNUMBER(SEARCH("Advanced Equipments",M94)),"Equipment Rental",
        ISNUMBER(SEARCH("Al Banuk Sana",M94)),"Telecom Company",
        ISNUMBER(SEARCH("Al Khaleefa Factory",M94)),"Manufacturer",
        ISNUMBER(SEARCH("Al Saadeh Trading",M94)),"Trading Company",
        ISNUMBER(SEARCH("Al Zaehaan",M94)),"Trading Company",
        ISNUMBER(SEARCH("Ali Abdullah K Al Darwish",M94)),"Airlines",
        ISNUMBER(SEARCH("Bupa Arabia",M94)),"Health Insurance",
        ISNUMBER(SEARCH("Dar Fahoosaat",M94)),"Consultant",
        ISNUMBER(SEARCH("General Authority of Zakat",M94)),"Tax Collection",
        ISNUMBER(SEARCH("Gulf Voyager",M94)),"Travel Agency",
        ISNUMBER(SEARCH("Hopeway Trading",M94)),"Trading Company",
        ISNUMBER(SEARCH("Interhealth Medical",M94)),"Medical Services",
        ISNUMBER(SEARCH("Ishaar",M94)),"Online Payment Service",
        ISNUMBER(SEARCH("ISO Arabia",M94)),"Certification",
        ISNUMBER(SEARCH("Khalid Saad Al Otaibi",M94)),"Trading Company",
        ISNUMBER(SEARCH("MERAS for Decoration",M94)),"Decor Company",
        ISNUMBER(SEARCH("Middle East Customs Clearance",M94)),"Customs",
        ISNUMBER(SEARCH("Ministry of Human Resources",M94)),"Government",
        ISNUMBER(SEARCH("My Business Services",M94)),"Service Provider",
        ISNUMBER(SEARCH("National Water Company",M94)),"Water Company",
        ISNUMBER(SEARCH("Rania Contracting",M94)),"Contracting",
        ISNUMBER(SEARCH("Rashid Ali Sheikh",M94)),"Shareholder",
        ISNUMBER(SEARCH("Sahab United Motors",M94)),"Car Show Room",
        ISNUMBER(SEARCH("Saud Mohammed Al Tamimi",M94)),"Shareholder",
        ISNUMBER(SEARCH("Saud Mohammed Tamimi",M94)),"Shareholder",
        ISNUMBER(SEARCH("Saudi Electric Company",M94)),"Electricity Company",
        ISNUMBER(SEARCH("Saudi Vetonit",M94)),"Building Materials",
        ISNUMBER(SEARCH("Shomoul Eng",M94)),"Safety",
        ISNUMBER(SEARCH("STC",M94)),"Telecom Company",
        ISNUMBER(SEARCH("The General Organization for Social Insurance",M94)),"Social Insurance Agency",
        ISNUMBER(SEARCH("TUV Rheinland",M94)),"Certification",
        ISNUMBER(SEARCH("Al Arabia Ceramic",M94)),"Building Materials",
        ISNUMBER(SEARCH("National Company for Building and Marketing",M94)),"Parent Company",
        ISNUMBER(SEARCH("Athraa Holding",M94)),"Holding Company",
        ISNUMBER(SEARCH("Al Rasan",M94)),"Contracting",
        ISNUMBER(SEARCH("Raboua Al Haid",M94)),"Trading Company",
        ISNUMBER(SEARCH("Al Jazeera Paint",M94)),"Manufacturer",
        ISNUMBER(SEARCH("Rania Works Contracting",M94)),"Contracting",
        ISNUMBER(SEARCH("Bandar Jarallah",M94)),"Trading Establishment",
        ISNUMBER(SEARCH("RS Infratec Saudi",M94)),"Same Company",
        ISNUMBER(SEARCH("Payroll",M94)),"Bank",
        ISNUMBER(SEARCH("Expatriate",M94)),"Government",
        ISNUMBER(SEARCH("Unknown Sender",M94)),"Unknown",
        TRUE,"Unknown"
    ),
    "-"
)</f>
        <v>Bank</v>
      </c>
      <c r="AA94" s="25" t="str" cm="1">
        <f t="array" ref="AA94">_xlfn.IFNA(
    _xlfn.IFS(
        Z94="Lender","Financing",
        Z94="Accounting","Accounting",
        Z94="Shareholder","Individual",
        Z94="Equipment Rental","Equipment Rental",
        Z94="Telecom Company","Telecom",
        Z94="Manufacturer","Manufacturer",
        Z94="Trading Company","Trading And Transport",
        Z94="Trading Establishment","Trading",
        Z94="Airlines","Airlines",
        Z94="Health Insurance","Insurance",
        Z94="Consultant","Consultant",
        Z94="Tax Collection","Government",
        Z94="Travel Agency","Travel Agency",
        Z94="Medical Services","Medical Center",
        Z94="Online Payment Service","Payment Facilitator",
        Z94="Certification","Safety",
        Z94="Decor Company","Design",
        Z94="Customs","Customs",
        Z94="Government","Government",
        Z94="Service Provider","Service Provider",
        Z94="Water Company","Water Company",
        Z94="Contracting","Contracting",
        Z94="Car Show Room","Car Trader",
        Z94="Electricity Company","Electricity Company",
        Z94="Building Materials","Building Materials",
        Z94="Safety","Safety",
        Z94="Social Insurance Agency","Government Fund",
        Z94="Parent Company","Holding Company",
        Z94="Holding Company","Holding Company",
        Z94="Same Company","Construction",
        Z94="Bank","Bank",
        Z94="Unknown","Unknown",
        TRUE,"-"
    ),
    "-"
)</f>
        <v>Bank</v>
      </c>
      <c r="AB94" s="25" t="str">
        <f t="shared" si="5"/>
        <v>-</v>
      </c>
      <c r="AC94" s="25" t="str" cm="1">
        <f t="array" ref="AC94">_xlfn.IFNA(
    _xlfn.IFS(
        Z94="Shareholder","Shareholder",
        Z94="Same Company","Same Company",
        Z94="Bank","Bank",
        Z94="Government","Government",
        Z94="Social Insurance Agency","Government",
        Z94="Parent Company","Customer",
        Z94="Lender","Lender",
        Z94="Unknown","Unknown",
        ISNUMBER(SEARCH("Abdullah Abdulkarim",M94)),"Service Provider",
        ISNUMBER(SEARCH("Abdullah Fahad",M94)),"Service Provider",
        ISNUMBER(SEARCH("Advanced Equipments",M94)),"Supplier",
        ISNUMBER(SEARCH("Al Banuk Sana",M94)),"Supplier",
        ISNUMBER(SEARCH("Al Khaleefa Factory",M94)),"Supplier",
        ISNUMBER(SEARCH("Al Saadeh Trading",M94)),"Supplier",
        ISNUMBER(SEARCH("Al Zaehaan",M94)),"Supplier",
        ISNUMBER(SEARCH("Ali Abdullah K Al Darwish",M94)),"Service Provider",
        ISNUMBER(SEARCH("Bupa Arabia",M94)),"Insurance Company",
        ISNUMBER(SEARCH("Dar Fahoosaat",M94)),"Service Provider",
        ISNUMBER(SEARCH("General Authority of Zakat",M94)),"Tax Authority",
        ISNUMBER(SEARCH("Gulf Voyager",M94)),"Service Provider",
        ISNUMBER(SEARCH("Hopeway Trading",M94)),"Supplier",
        ISNUMBER(SEARCH("Interhealth Medical",M94)),"Customer",
        ISNUMBER(SEARCH("Ishaar",M94)),"Service Provider",
        ISNUMBER(SEARCH("ISO Arabia",M94)),"Service Provider",
        ISNUMBER(SEARCH("Khalid Saad Al Otaibi",M94)),"Supplier",
        ISNUMBER(SEARCH("MERAS for Decoration",M94)),"Supplier",
        ISNUMBER(SEARCH("Middle East Customs Clearance",M94)),"Service Provider",
        ISNUMBER(SEARCH("Ministry of Human Resources",M94)),"Regulatory Agency",
        ISNUMBER(SEARCH("My Business Services",M94)),"Service Provider",
        ISNUMBER(SEARCH("National Water Company",M94)),"Utility Provider",
        ISNUMBER(SEARCH("Rania Contracting",M94)),"Supplier",
        ISNUMBER(SEARCH("Sahab United Motors",M94)),"Supplier",
        ISNUMBER(SEARCH("Saudi Electric Company",M94)),"Utility Provider",
        ISNUMBER(SEARCH("Saudi Vetonit",M94)),"Supplier",
        ISNUMBER(SEARCH("Shomoul Eng",M94)),"Service Provider",
        ISNUMBER(SEARCH("STC",M94)),"Utility Provider",
        ISNUMBER(SEARCH("The General Organization for Social Insurance",M94)),"Social Insurance Agency",
        ISNUMBER(SEARCH("TUV Rheinland",M94)),"Service Provider",
        ISNUMBER(SEARCH("Al Arabia Ceramic",M94)),"Supplier",
        ISNUMBER(SEARCH("National Company for Building",M94)),"Customer",
        ISNUMBER(SEARCH("Athraa Holding",M94)),"Customer",
        ISNUMBER(SEARCH("Al Rasan",M94)),"Supplier",
        ISNUMBER(SEARCH("Raboua Al Haid",M94)),"Customer",
        ISNUMBER(SEARCH("Al Jazeera Paint",M94)),"Supplier",
        ISNUMBER(SEARCH("Rania Works Contracting",M94)),"Supplier",
        ISNUMBER(SEARCH("Bandar Jarallah",M94)),"Supplier",
        TRUE,"Supplier"
    ),
    "-"
)</f>
        <v>Bank</v>
      </c>
      <c r="AD94" s="25" t="str" cm="1">
        <f t="array" ref="AD94">_xlfn.IFNA(
    _xlfn.IFS(
        AC94="Same Company","High",
        AC94="Shareholder","High",
        AC94="Government","High",
        AC94="Bank","High",
        AC94="Lender","High",
        AC94="Unknown","Low",
        AC94="-","Low",
        TRUE,"Medium"
    ),
    "-"
)</f>
        <v>High</v>
      </c>
      <c r="AE94" s="25" t="str">
        <f t="shared" si="6"/>
        <v>-</v>
      </c>
      <c r="AF94" s="25" t="str" cm="1">
        <f t="array" ref="AF94">_xlfn.IFNA(
    _xlfn.IFS(
        K94="Credit",
            _xlfn.IFS(
                OR(ISNUMBER(SEARCH("Rejected",L94)),ISNUMBER(SEARCH("Returned",L94))),"Other Income",
                TRUE,"Revenue"
            ),
        K94="Debit",
            _xlfn.IFS(
                ISNUMBER(SEARCH("Payroll",L94)),"OPEX",
                ISNUMBER(SEARCH("Expatriate",L94)),"OPEX",
                ISNUMBER(SEARCH("Zakat",M94)),"ZATCA",
                ISNUMBER(SEARCH("General Organization for Social Insurance",M94)),"OPEX",
                ISNUMBER(SEARCH("Saudi Electric",M94)),"OPEX",
                ISNUMBER(SEARCH("STC",M94)),"OPEX",
                ISNUMBER(SEARCH("National Water",M94)),"OPEX",
                ISNUMBER(SEARCH("Bupa",M94)),"OPEX",
                ISNUMBER(SEARCH("Abdullah Abdulkarim",M94)),"OPEX",
                ISNUMBER(SEARCH("Abdullah Fahad",M94)),"OPEX",
                ISNUMBER(SEARCH("ISO Arabia",M94)),"OPEX",
                ISNUMBER(SEARCH("Gulf Voyager",M94)),"OPEX",
                ISNUMBER(SEARCH("Ministry",M94)),"OPEX",
                ISNUMBER(SEARCH("General Authority of Zakat",M94)),"ZATCA",
                ISNUMBER(SEARCH("Rejected",L94)),"Other Income",
                TRUE,"COGS"
            ),
        TRUE,"-"
    ),
    "-"
)</f>
        <v>OPEX</v>
      </c>
      <c r="AG94" s="25" t="str" cm="1">
        <f t="array" ref="AG94">_xlfn.IFNA(
    _xlfn.IFS(
        ISNUMBER(SEARCH("Payroll",L94)),"Payroll",
        ISNUMBER(SEARCH("Expatriate",L94)),"Government Fees",
        ISNUMBER(SEARCH("Zakat",M94)),"Zakat",
        ISNUMBER(SEARCH("Social Insurance",M94)),"Social Insurance",
        ISNUMBER(SEARCH("Saudi Electric",M94)),"Electricity",
        ISNUMBER(SEARCH("STC",M94)),"Telecom",
        ISNUMBER(SEARCH("National Water",M94)),"Water",
        ISNUMBER(SEARCH("Bupa",M94)),"Insurance",
        ISNUMBER(SEARCH("Gulf Voyager",M94)),"Travel",
        ISNUMBER(SEARCH("Ministry",M94)),"Government Fees",
        ISNUMBER(SEARCH("Abdullah Abdulkarim",M94)),"Consulting",
        ISNUMBER(SEARCH("Abdullah Fahad",M94)),"Accounting",
        ISNUMBER(SEARCH("ISO Arabia",M94)),"Consulting",
        ISNUMBER(SEARCH("Rejected",L94)),"Refund",
        AF94="COGS","Inventory Purchase",
        AF94="Revenue","Revenue",
        AF94="OPEX","Other",
        AF94="ZATCA","Zakat",
        TRUE,"-"
    ),
    "-"
)</f>
        <v>Payroll</v>
      </c>
      <c r="AH94" s="25" t="str" cm="1">
        <f t="array" ref="AH94">_xlfn.IFNA(
    _xlfn.IFS(
        AF94="-","Low",
        AF94="Other","Low",
        TRUE,"Medium"
    ),
    "-"
)</f>
        <v>Medium</v>
      </c>
      <c r="AI94" s="25" t="str">
        <f t="shared" si="7"/>
        <v>-</v>
      </c>
    </row>
    <row r="95" spans="1:35" x14ac:dyDescent="0.25">
      <c r="A95" s="10">
        <v>5</v>
      </c>
      <c r="B95" s="10" t="s">
        <v>35</v>
      </c>
      <c r="C95" s="10" t="s">
        <v>36</v>
      </c>
      <c r="D95" s="10" t="s">
        <v>37</v>
      </c>
      <c r="E95" s="10" t="s">
        <v>38</v>
      </c>
      <c r="F95" s="11" t="s">
        <v>39</v>
      </c>
      <c r="G95" s="11" t="s">
        <v>40</v>
      </c>
      <c r="H95" s="12">
        <v>44931</v>
      </c>
      <c r="I95" s="20">
        <v>70012.78</v>
      </c>
      <c r="J95" s="20">
        <v>28150</v>
      </c>
      <c r="K95" s="10" t="s">
        <v>41</v>
      </c>
      <c r="L95" s="9" t="s">
        <v>328</v>
      </c>
      <c r="M95" s="9" t="s">
        <v>329</v>
      </c>
      <c r="O95" s="9" t="s">
        <v>226</v>
      </c>
      <c r="P95" s="15">
        <v>44931</v>
      </c>
      <c r="Q95" s="9" t="s">
        <v>334</v>
      </c>
      <c r="R95" s="16">
        <v>28150</v>
      </c>
      <c r="U95" s="9" t="s">
        <v>55</v>
      </c>
      <c r="V95" s="24" t="str" cm="1">
        <f t="array" ref="V95">_xlfn.IFNA(
    _xlfn.IFS(
        ISNUMBER(SEARCH("Fast Outgoing Transfer",L95)),"Transfer",
        ISNUMBER(SEARCH("Incoming Fast Transfer",L95)),"Transfer",
        ISNUMBER(SEARCH("Outgoing International Transfer",L95)),"Transfer",
        ISNUMBER(SEARCH("Bill Payment",L95)),"SADAD",
        ISNUMBER(SEARCH("Payroll",L95)),"Payroll",
        ISNUMBER(SEARCH("Cash Deposit",L95)),"Cash",
        ISNUMBER(SEARCH("Internal Transfer",L95)),"Transfer",
        ISNUMBER(SEARCH("Expatriate Services Payment",L95)),"SADAD",
        ISNUMBER(SEARCH("Rejected",L95)),"Transfer"
    ),
    "-"
)</f>
        <v>Payroll</v>
      </c>
      <c r="W95" s="25" t="str" cm="1">
        <f t="array" ref="W95">_xlfn.IFNA(
    _xlfn.IFS(
        AND(V95="Transfer",ISNUMBER(SEARCH("RIYAD BANK",L95))),"External FI",
        AND(V95="Transfer",ISNUMBER(SEARCH("Al Ahli",L95))),"External FI",
        AND(V95="Transfer",ISNUMBER(SEARCH("CIB via",L95))),"Local Transfer",
        AND(V95="Transfer",ISNUMBER(SEARCH("CIB)",L95))),"Local Transfer",
        AND(V95="Transfer",ISNUMBER(SEARCH("SMRT",L95))),"Local Transfer",
        AND(V95="Transfer",ISNUMBER(SEARCH("Al Murabba",L95))),"Local Transfer",
        AND(V95="Transfer",ISNUMBER(SEARCH("Internal Transfer",L95))),"Same FI",
        AND(V95="Transfer",ISNUMBER(SEARCH("Rejected",L95))),"Failed",
        V95="SADAD",
            _xlfn.IFS(
                ISNUMBER(SEARCH("Expatriate",L95)),"Expat Fees",
                TRUE,"Online Payment"
            ),
        V95="Payroll","Payroll",
        V95="Cash","Deposit",
        TRUE,"-"
    ),
    "-"
)</f>
        <v>Payroll</v>
      </c>
      <c r="X95" s="25" t="str" cm="1">
        <f t="array" ref="X95">_xlfn.IFNA(
    _xlfn.IFS(
        V95="-","Low",
        W95="-","Low",
        TRUE,"High"
    ),
    "-"
)</f>
        <v>High</v>
      </c>
      <c r="Y95" s="25" t="str">
        <f t="shared" si="4"/>
        <v>-</v>
      </c>
      <c r="Z95" s="25" t="str" cm="1">
        <f t="array" ref="Z95">_xlfn.IFNA(
    _xlfn.IFS(
        ISNUMBER(SEARCH("Abdul Latif Jameel",M95)),"Lender",
        ISNUMBER(SEARCH("Abdullah Abdulkarim Al Sudais",M95)),"Accounting",
        ISNUMBER(SEARCH("Abdullah Fahad for Accounting",M95)),"Accounting",
        ISNUMBER(SEARCH("Abdullah Rashid Shaikh",M95)),"Shareholder",
        ISNUMBER(SEARCH("Advanced Equipments",M95)),"Equipment Rental",
        ISNUMBER(SEARCH("Al Banuk Sana",M95)),"Telecom Company",
        ISNUMBER(SEARCH("Al Khaleefa Factory",M95)),"Manufacturer",
        ISNUMBER(SEARCH("Al Saadeh Trading",M95)),"Trading Company",
        ISNUMBER(SEARCH("Al Zaehaan",M95)),"Trading Company",
        ISNUMBER(SEARCH("Ali Abdullah K Al Darwish",M95)),"Airlines",
        ISNUMBER(SEARCH("Bupa Arabia",M95)),"Health Insurance",
        ISNUMBER(SEARCH("Dar Fahoosaat",M95)),"Consultant",
        ISNUMBER(SEARCH("General Authority of Zakat",M95)),"Tax Collection",
        ISNUMBER(SEARCH("Gulf Voyager",M95)),"Travel Agency",
        ISNUMBER(SEARCH("Hopeway Trading",M95)),"Trading Company",
        ISNUMBER(SEARCH("Interhealth Medical",M95)),"Medical Services",
        ISNUMBER(SEARCH("Ishaar",M95)),"Online Payment Service",
        ISNUMBER(SEARCH("ISO Arabia",M95)),"Certification",
        ISNUMBER(SEARCH("Khalid Saad Al Otaibi",M95)),"Trading Company",
        ISNUMBER(SEARCH("MERAS for Decoration",M95)),"Decor Company",
        ISNUMBER(SEARCH("Middle East Customs Clearance",M95)),"Customs",
        ISNUMBER(SEARCH("Ministry of Human Resources",M95)),"Government",
        ISNUMBER(SEARCH("My Business Services",M95)),"Service Provider",
        ISNUMBER(SEARCH("National Water Company",M95)),"Water Company",
        ISNUMBER(SEARCH("Rania Contracting",M95)),"Contracting",
        ISNUMBER(SEARCH("Rashid Ali Sheikh",M95)),"Shareholder",
        ISNUMBER(SEARCH("Sahab United Motors",M95)),"Car Show Room",
        ISNUMBER(SEARCH("Saud Mohammed Al Tamimi",M95)),"Shareholder",
        ISNUMBER(SEARCH("Saud Mohammed Tamimi",M95)),"Shareholder",
        ISNUMBER(SEARCH("Saudi Electric Company",M95)),"Electricity Company",
        ISNUMBER(SEARCH("Saudi Vetonit",M95)),"Building Materials",
        ISNUMBER(SEARCH("Shomoul Eng",M95)),"Safety",
        ISNUMBER(SEARCH("STC",M95)),"Telecom Company",
        ISNUMBER(SEARCH("The General Organization for Social Insurance",M95)),"Social Insurance Agency",
        ISNUMBER(SEARCH("TUV Rheinland",M95)),"Certification",
        ISNUMBER(SEARCH("Al Arabia Ceramic",M95)),"Building Materials",
        ISNUMBER(SEARCH("National Company for Building and Marketing",M95)),"Parent Company",
        ISNUMBER(SEARCH("Athraa Holding",M95)),"Holding Company",
        ISNUMBER(SEARCH("Al Rasan",M95)),"Contracting",
        ISNUMBER(SEARCH("Raboua Al Haid",M95)),"Trading Company",
        ISNUMBER(SEARCH("Al Jazeera Paint",M95)),"Manufacturer",
        ISNUMBER(SEARCH("Rania Works Contracting",M95)),"Contracting",
        ISNUMBER(SEARCH("Bandar Jarallah",M95)),"Trading Establishment",
        ISNUMBER(SEARCH("RS Infratec Saudi",M95)),"Same Company",
        ISNUMBER(SEARCH("Payroll",M95)),"Bank",
        ISNUMBER(SEARCH("Expatriate",M95)),"Government",
        ISNUMBER(SEARCH("Unknown Sender",M95)),"Unknown",
        TRUE,"Unknown"
    ),
    "-"
)</f>
        <v>Bank</v>
      </c>
      <c r="AA95" s="25" t="str" cm="1">
        <f t="array" ref="AA95">_xlfn.IFNA(
    _xlfn.IFS(
        Z95="Lender","Financing",
        Z95="Accounting","Accounting",
        Z95="Shareholder","Individual",
        Z95="Equipment Rental","Equipment Rental",
        Z95="Telecom Company","Telecom",
        Z95="Manufacturer","Manufacturer",
        Z95="Trading Company","Trading And Transport",
        Z95="Trading Establishment","Trading",
        Z95="Airlines","Airlines",
        Z95="Health Insurance","Insurance",
        Z95="Consultant","Consultant",
        Z95="Tax Collection","Government",
        Z95="Travel Agency","Travel Agency",
        Z95="Medical Services","Medical Center",
        Z95="Online Payment Service","Payment Facilitator",
        Z95="Certification","Safety",
        Z95="Decor Company","Design",
        Z95="Customs","Customs",
        Z95="Government","Government",
        Z95="Service Provider","Service Provider",
        Z95="Water Company","Water Company",
        Z95="Contracting","Contracting",
        Z95="Car Show Room","Car Trader",
        Z95="Electricity Company","Electricity Company",
        Z95="Building Materials","Building Materials",
        Z95="Safety","Safety",
        Z95="Social Insurance Agency","Government Fund",
        Z95="Parent Company","Holding Company",
        Z95="Holding Company","Holding Company",
        Z95="Same Company","Construction",
        Z95="Bank","Bank",
        Z95="Unknown","Unknown",
        TRUE,"-"
    ),
    "-"
)</f>
        <v>Bank</v>
      </c>
      <c r="AB95" s="25" t="str">
        <f t="shared" si="5"/>
        <v>-</v>
      </c>
      <c r="AC95" s="25" t="str" cm="1">
        <f t="array" ref="AC95">_xlfn.IFNA(
    _xlfn.IFS(
        Z95="Shareholder","Shareholder",
        Z95="Same Company","Same Company",
        Z95="Bank","Bank",
        Z95="Government","Government",
        Z95="Social Insurance Agency","Government",
        Z95="Parent Company","Customer",
        Z95="Lender","Lender",
        Z95="Unknown","Unknown",
        ISNUMBER(SEARCH("Abdullah Abdulkarim",M95)),"Service Provider",
        ISNUMBER(SEARCH("Abdullah Fahad",M95)),"Service Provider",
        ISNUMBER(SEARCH("Advanced Equipments",M95)),"Supplier",
        ISNUMBER(SEARCH("Al Banuk Sana",M95)),"Supplier",
        ISNUMBER(SEARCH("Al Khaleefa Factory",M95)),"Supplier",
        ISNUMBER(SEARCH("Al Saadeh Trading",M95)),"Supplier",
        ISNUMBER(SEARCH("Al Zaehaan",M95)),"Supplier",
        ISNUMBER(SEARCH("Ali Abdullah K Al Darwish",M95)),"Service Provider",
        ISNUMBER(SEARCH("Bupa Arabia",M95)),"Insurance Company",
        ISNUMBER(SEARCH("Dar Fahoosaat",M95)),"Service Provider",
        ISNUMBER(SEARCH("General Authority of Zakat",M95)),"Tax Authority",
        ISNUMBER(SEARCH("Gulf Voyager",M95)),"Service Provider",
        ISNUMBER(SEARCH("Hopeway Trading",M95)),"Supplier",
        ISNUMBER(SEARCH("Interhealth Medical",M95)),"Customer",
        ISNUMBER(SEARCH("Ishaar",M95)),"Service Provider",
        ISNUMBER(SEARCH("ISO Arabia",M95)),"Service Provider",
        ISNUMBER(SEARCH("Khalid Saad Al Otaibi",M95)),"Supplier",
        ISNUMBER(SEARCH("MERAS for Decoration",M95)),"Supplier",
        ISNUMBER(SEARCH("Middle East Customs Clearance",M95)),"Service Provider",
        ISNUMBER(SEARCH("Ministry of Human Resources",M95)),"Regulatory Agency",
        ISNUMBER(SEARCH("My Business Services",M95)),"Service Provider",
        ISNUMBER(SEARCH("National Water Company",M95)),"Utility Provider",
        ISNUMBER(SEARCH("Rania Contracting",M95)),"Supplier",
        ISNUMBER(SEARCH("Sahab United Motors",M95)),"Supplier",
        ISNUMBER(SEARCH("Saudi Electric Company",M95)),"Utility Provider",
        ISNUMBER(SEARCH("Saudi Vetonit",M95)),"Supplier",
        ISNUMBER(SEARCH("Shomoul Eng",M95)),"Service Provider",
        ISNUMBER(SEARCH("STC",M95)),"Utility Provider",
        ISNUMBER(SEARCH("The General Organization for Social Insurance",M95)),"Social Insurance Agency",
        ISNUMBER(SEARCH("TUV Rheinland",M95)),"Service Provider",
        ISNUMBER(SEARCH("Al Arabia Ceramic",M95)),"Supplier",
        ISNUMBER(SEARCH("National Company for Building",M95)),"Customer",
        ISNUMBER(SEARCH("Athraa Holding",M95)),"Customer",
        ISNUMBER(SEARCH("Al Rasan",M95)),"Supplier",
        ISNUMBER(SEARCH("Raboua Al Haid",M95)),"Customer",
        ISNUMBER(SEARCH("Al Jazeera Paint",M95)),"Supplier",
        ISNUMBER(SEARCH("Rania Works Contracting",M95)),"Supplier",
        ISNUMBER(SEARCH("Bandar Jarallah",M95)),"Supplier",
        TRUE,"Supplier"
    ),
    "-"
)</f>
        <v>Bank</v>
      </c>
      <c r="AD95" s="25" t="str" cm="1">
        <f t="array" ref="AD95">_xlfn.IFNA(
    _xlfn.IFS(
        AC95="Same Company","High",
        AC95="Shareholder","High",
        AC95="Government","High",
        AC95="Bank","High",
        AC95="Lender","High",
        AC95="Unknown","Low",
        AC95="-","Low",
        TRUE,"Medium"
    ),
    "-"
)</f>
        <v>High</v>
      </c>
      <c r="AE95" s="25" t="str">
        <f t="shared" si="6"/>
        <v>-</v>
      </c>
      <c r="AF95" s="25" t="str" cm="1">
        <f t="array" ref="AF95">_xlfn.IFNA(
    _xlfn.IFS(
        K95="Credit",
            _xlfn.IFS(
                OR(ISNUMBER(SEARCH("Rejected",L95)),ISNUMBER(SEARCH("Returned",L95))),"Other Income",
                TRUE,"Revenue"
            ),
        K95="Debit",
            _xlfn.IFS(
                ISNUMBER(SEARCH("Payroll",L95)),"OPEX",
                ISNUMBER(SEARCH("Expatriate",L95)),"OPEX",
                ISNUMBER(SEARCH("Zakat",M95)),"ZATCA",
                ISNUMBER(SEARCH("General Organization for Social Insurance",M95)),"OPEX",
                ISNUMBER(SEARCH("Saudi Electric",M95)),"OPEX",
                ISNUMBER(SEARCH("STC",M95)),"OPEX",
                ISNUMBER(SEARCH("National Water",M95)),"OPEX",
                ISNUMBER(SEARCH("Bupa",M95)),"OPEX",
                ISNUMBER(SEARCH("Abdullah Abdulkarim",M95)),"OPEX",
                ISNUMBER(SEARCH("Abdullah Fahad",M95)),"OPEX",
                ISNUMBER(SEARCH("ISO Arabia",M95)),"OPEX",
                ISNUMBER(SEARCH("Gulf Voyager",M95)),"OPEX",
                ISNUMBER(SEARCH("Ministry",M95)),"OPEX",
                ISNUMBER(SEARCH("General Authority of Zakat",M95)),"ZATCA",
                ISNUMBER(SEARCH("Rejected",L95)),"Other Income",
                TRUE,"COGS"
            ),
        TRUE,"-"
    ),
    "-"
)</f>
        <v>OPEX</v>
      </c>
      <c r="AG95" s="25" t="str" cm="1">
        <f t="array" ref="AG95">_xlfn.IFNA(
    _xlfn.IFS(
        ISNUMBER(SEARCH("Payroll",L95)),"Payroll",
        ISNUMBER(SEARCH("Expatriate",L95)),"Government Fees",
        ISNUMBER(SEARCH("Zakat",M95)),"Zakat",
        ISNUMBER(SEARCH("Social Insurance",M95)),"Social Insurance",
        ISNUMBER(SEARCH("Saudi Electric",M95)),"Electricity",
        ISNUMBER(SEARCH("STC",M95)),"Telecom",
        ISNUMBER(SEARCH("National Water",M95)),"Water",
        ISNUMBER(SEARCH("Bupa",M95)),"Insurance",
        ISNUMBER(SEARCH("Gulf Voyager",M95)),"Travel",
        ISNUMBER(SEARCH("Ministry",M95)),"Government Fees",
        ISNUMBER(SEARCH("Abdullah Abdulkarim",M95)),"Consulting",
        ISNUMBER(SEARCH("Abdullah Fahad",M95)),"Accounting",
        ISNUMBER(SEARCH("ISO Arabia",M95)),"Consulting",
        ISNUMBER(SEARCH("Rejected",L95)),"Refund",
        AF95="COGS","Inventory Purchase",
        AF95="Revenue","Revenue",
        AF95="OPEX","Other",
        AF95="ZATCA","Zakat",
        TRUE,"-"
    ),
    "-"
)</f>
        <v>Payroll</v>
      </c>
      <c r="AH95" s="25" t="str" cm="1">
        <f t="array" ref="AH95">_xlfn.IFNA(
    _xlfn.IFS(
        AF95="-","Low",
        AF95="Other","Low",
        TRUE,"Medium"
    ),
    "-"
)</f>
        <v>Medium</v>
      </c>
      <c r="AI95" s="25" t="str">
        <f t="shared" si="7"/>
        <v>-</v>
      </c>
    </row>
    <row r="96" spans="1:35" x14ac:dyDescent="0.25">
      <c r="A96" s="10">
        <v>5</v>
      </c>
      <c r="B96" s="10" t="s">
        <v>35</v>
      </c>
      <c r="C96" s="10" t="s">
        <v>36</v>
      </c>
      <c r="D96" s="10" t="s">
        <v>37</v>
      </c>
      <c r="E96" s="10" t="s">
        <v>38</v>
      </c>
      <c r="F96" s="11" t="s">
        <v>39</v>
      </c>
      <c r="G96" s="10" t="s">
        <v>40</v>
      </c>
      <c r="H96" s="12">
        <v>44930</v>
      </c>
      <c r="I96" s="20">
        <v>201957.97</v>
      </c>
      <c r="J96" s="20">
        <v>36.229999999999997</v>
      </c>
      <c r="K96" s="10" t="s">
        <v>41</v>
      </c>
      <c r="L96" s="9" t="s">
        <v>335</v>
      </c>
      <c r="M96" s="9" t="s">
        <v>335</v>
      </c>
      <c r="O96" s="9" t="s">
        <v>226</v>
      </c>
      <c r="P96" s="15">
        <v>44930</v>
      </c>
      <c r="R96" s="16">
        <v>36.229999999999997</v>
      </c>
      <c r="U96" s="9" t="s">
        <v>55</v>
      </c>
      <c r="V96" s="24" t="str" cm="1">
        <f t="array" ref="V96">_xlfn.IFNA(
    _xlfn.IFS(
        ISNUMBER(SEARCH("Fast Outgoing Transfer",L96)),"Transfer",
        ISNUMBER(SEARCH("Incoming Fast Transfer",L96)),"Transfer",
        ISNUMBER(SEARCH("Outgoing International Transfer",L96)),"Transfer",
        ISNUMBER(SEARCH("Bill Payment",L96)),"SADAD",
        ISNUMBER(SEARCH("Payroll",L96)),"Payroll",
        ISNUMBER(SEARCH("Cash Deposit",L96)),"Cash",
        ISNUMBER(SEARCH("Internal Transfer",L96)),"Transfer",
        ISNUMBER(SEARCH("Expatriate Services Payment",L96)),"SADAD",
        ISNUMBER(SEARCH("Rejected",L96)),"Transfer"
    ),
    "-"
)</f>
        <v>Payroll</v>
      </c>
      <c r="W96" s="25" t="str" cm="1">
        <f t="array" ref="W96">_xlfn.IFNA(
    _xlfn.IFS(
        AND(V96="Transfer",ISNUMBER(SEARCH("RIYAD BANK",L96))),"External FI",
        AND(V96="Transfer",ISNUMBER(SEARCH("Al Ahli",L96))),"External FI",
        AND(V96="Transfer",ISNUMBER(SEARCH("CIB via",L96))),"Local Transfer",
        AND(V96="Transfer",ISNUMBER(SEARCH("CIB)",L96))),"Local Transfer",
        AND(V96="Transfer",ISNUMBER(SEARCH("SMRT",L96))),"Local Transfer",
        AND(V96="Transfer",ISNUMBER(SEARCH("Al Murabba",L96))),"Local Transfer",
        AND(V96="Transfer",ISNUMBER(SEARCH("Internal Transfer",L96))),"Same FI",
        AND(V96="Transfer",ISNUMBER(SEARCH("Rejected",L96))),"Failed",
        V96="SADAD",
            _xlfn.IFS(
                ISNUMBER(SEARCH("Expatriate",L96)),"Expat Fees",
                TRUE,"Online Payment"
            ),
        V96="Payroll","Payroll",
        V96="Cash","Deposit",
        TRUE,"-"
    ),
    "-"
)</f>
        <v>Payroll</v>
      </c>
      <c r="X96" s="25" t="str" cm="1">
        <f t="array" ref="X96">_xlfn.IFNA(
    _xlfn.IFS(
        V96="-","Low",
        W96="-","Low",
        TRUE,"High"
    ),
    "-"
)</f>
        <v>High</v>
      </c>
      <c r="Y96" s="25" t="str">
        <f t="shared" si="4"/>
        <v>-</v>
      </c>
      <c r="Z96" s="25" t="str" cm="1">
        <f t="array" ref="Z96">_xlfn.IFNA(
    _xlfn.IFS(
        ISNUMBER(SEARCH("Abdul Latif Jameel",M96)),"Lender",
        ISNUMBER(SEARCH("Abdullah Abdulkarim Al Sudais",M96)),"Accounting",
        ISNUMBER(SEARCH("Abdullah Fahad for Accounting",M96)),"Accounting",
        ISNUMBER(SEARCH("Abdullah Rashid Shaikh",M96)),"Shareholder",
        ISNUMBER(SEARCH("Advanced Equipments",M96)),"Equipment Rental",
        ISNUMBER(SEARCH("Al Banuk Sana",M96)),"Telecom Company",
        ISNUMBER(SEARCH("Al Khaleefa Factory",M96)),"Manufacturer",
        ISNUMBER(SEARCH("Al Saadeh Trading",M96)),"Trading Company",
        ISNUMBER(SEARCH("Al Zaehaan",M96)),"Trading Company",
        ISNUMBER(SEARCH("Ali Abdullah K Al Darwish",M96)),"Airlines",
        ISNUMBER(SEARCH("Bupa Arabia",M96)),"Health Insurance",
        ISNUMBER(SEARCH("Dar Fahoosaat",M96)),"Consultant",
        ISNUMBER(SEARCH("General Authority of Zakat",M96)),"Tax Collection",
        ISNUMBER(SEARCH("Gulf Voyager",M96)),"Travel Agency",
        ISNUMBER(SEARCH("Hopeway Trading",M96)),"Trading Company",
        ISNUMBER(SEARCH("Interhealth Medical",M96)),"Medical Services",
        ISNUMBER(SEARCH("Ishaar",M96)),"Online Payment Service",
        ISNUMBER(SEARCH("ISO Arabia",M96)),"Certification",
        ISNUMBER(SEARCH("Khalid Saad Al Otaibi",M96)),"Trading Company",
        ISNUMBER(SEARCH("MERAS for Decoration",M96)),"Decor Company",
        ISNUMBER(SEARCH("Middle East Customs Clearance",M96)),"Customs",
        ISNUMBER(SEARCH("Ministry of Human Resources",M96)),"Government",
        ISNUMBER(SEARCH("My Business Services",M96)),"Service Provider",
        ISNUMBER(SEARCH("National Water Company",M96)),"Water Company",
        ISNUMBER(SEARCH("Rania Contracting",M96)),"Contracting",
        ISNUMBER(SEARCH("Rashid Ali Sheikh",M96)),"Shareholder",
        ISNUMBER(SEARCH("Sahab United Motors",M96)),"Car Show Room",
        ISNUMBER(SEARCH("Saud Mohammed Al Tamimi",M96)),"Shareholder",
        ISNUMBER(SEARCH("Saud Mohammed Tamimi",M96)),"Shareholder",
        ISNUMBER(SEARCH("Saudi Electric Company",M96)),"Electricity Company",
        ISNUMBER(SEARCH("Saudi Vetonit",M96)),"Building Materials",
        ISNUMBER(SEARCH("Shomoul Eng",M96)),"Safety",
        ISNUMBER(SEARCH("STC",M96)),"Telecom Company",
        ISNUMBER(SEARCH("The General Organization for Social Insurance",M96)),"Social Insurance Agency",
        ISNUMBER(SEARCH("TUV Rheinland",M96)),"Certification",
        ISNUMBER(SEARCH("Al Arabia Ceramic",M96)),"Building Materials",
        ISNUMBER(SEARCH("National Company for Building and Marketing",M96)),"Parent Company",
        ISNUMBER(SEARCH("Athraa Holding",M96)),"Holding Company",
        ISNUMBER(SEARCH("Al Rasan",M96)),"Contracting",
        ISNUMBER(SEARCH("Raboua Al Haid",M96)),"Trading Company",
        ISNUMBER(SEARCH("Al Jazeera Paint",M96)),"Manufacturer",
        ISNUMBER(SEARCH("Rania Works Contracting",M96)),"Contracting",
        ISNUMBER(SEARCH("Bandar Jarallah",M96)),"Trading Establishment",
        ISNUMBER(SEARCH("RS Infratec Saudi",M96)),"Same Company",
        ISNUMBER(SEARCH("Payroll",M96)),"Bank",
        ISNUMBER(SEARCH("Expatriate",M96)),"Government",
        ISNUMBER(SEARCH("Unknown Sender",M96)),"Unknown",
        TRUE,"Unknown"
    ),
    "-"
)</f>
        <v>Bank</v>
      </c>
      <c r="AA96" s="25" t="str" cm="1">
        <f t="array" ref="AA96">_xlfn.IFNA(
    _xlfn.IFS(
        Z96="Lender","Financing",
        Z96="Accounting","Accounting",
        Z96="Shareholder","Individual",
        Z96="Equipment Rental","Equipment Rental",
        Z96="Telecom Company","Telecom",
        Z96="Manufacturer","Manufacturer",
        Z96="Trading Company","Trading And Transport",
        Z96="Trading Establishment","Trading",
        Z96="Airlines","Airlines",
        Z96="Health Insurance","Insurance",
        Z96="Consultant","Consultant",
        Z96="Tax Collection","Government",
        Z96="Travel Agency","Travel Agency",
        Z96="Medical Services","Medical Center",
        Z96="Online Payment Service","Payment Facilitator",
        Z96="Certification","Safety",
        Z96="Decor Company","Design",
        Z96="Customs","Customs",
        Z96="Government","Government",
        Z96="Service Provider","Service Provider",
        Z96="Water Company","Water Company",
        Z96="Contracting","Contracting",
        Z96="Car Show Room","Car Trader",
        Z96="Electricity Company","Electricity Company",
        Z96="Building Materials","Building Materials",
        Z96="Safety","Safety",
        Z96="Social Insurance Agency","Government Fund",
        Z96="Parent Company","Holding Company",
        Z96="Holding Company","Holding Company",
        Z96="Same Company","Construction",
        Z96="Bank","Bank",
        Z96="Unknown","Unknown",
        TRUE,"-"
    ),
    "-"
)</f>
        <v>Bank</v>
      </c>
      <c r="AB96" s="25" t="str">
        <f t="shared" si="5"/>
        <v>-</v>
      </c>
      <c r="AC96" s="25" t="str" cm="1">
        <f t="array" ref="AC96">_xlfn.IFNA(
    _xlfn.IFS(
        Z96="Shareholder","Shareholder",
        Z96="Same Company","Same Company",
        Z96="Bank","Bank",
        Z96="Government","Government",
        Z96="Social Insurance Agency","Government",
        Z96="Parent Company","Customer",
        Z96="Lender","Lender",
        Z96="Unknown","Unknown",
        ISNUMBER(SEARCH("Abdullah Abdulkarim",M96)),"Service Provider",
        ISNUMBER(SEARCH("Abdullah Fahad",M96)),"Service Provider",
        ISNUMBER(SEARCH("Advanced Equipments",M96)),"Supplier",
        ISNUMBER(SEARCH("Al Banuk Sana",M96)),"Supplier",
        ISNUMBER(SEARCH("Al Khaleefa Factory",M96)),"Supplier",
        ISNUMBER(SEARCH("Al Saadeh Trading",M96)),"Supplier",
        ISNUMBER(SEARCH("Al Zaehaan",M96)),"Supplier",
        ISNUMBER(SEARCH("Ali Abdullah K Al Darwish",M96)),"Service Provider",
        ISNUMBER(SEARCH("Bupa Arabia",M96)),"Insurance Company",
        ISNUMBER(SEARCH("Dar Fahoosaat",M96)),"Service Provider",
        ISNUMBER(SEARCH("General Authority of Zakat",M96)),"Tax Authority",
        ISNUMBER(SEARCH("Gulf Voyager",M96)),"Service Provider",
        ISNUMBER(SEARCH("Hopeway Trading",M96)),"Supplier",
        ISNUMBER(SEARCH("Interhealth Medical",M96)),"Customer",
        ISNUMBER(SEARCH("Ishaar",M96)),"Service Provider",
        ISNUMBER(SEARCH("ISO Arabia",M96)),"Service Provider",
        ISNUMBER(SEARCH("Khalid Saad Al Otaibi",M96)),"Supplier",
        ISNUMBER(SEARCH("MERAS for Decoration",M96)),"Supplier",
        ISNUMBER(SEARCH("Middle East Customs Clearance",M96)),"Service Provider",
        ISNUMBER(SEARCH("Ministry of Human Resources",M96)),"Regulatory Agency",
        ISNUMBER(SEARCH("My Business Services",M96)),"Service Provider",
        ISNUMBER(SEARCH("National Water Company",M96)),"Utility Provider",
        ISNUMBER(SEARCH("Rania Contracting",M96)),"Supplier",
        ISNUMBER(SEARCH("Sahab United Motors",M96)),"Supplier",
        ISNUMBER(SEARCH("Saudi Electric Company",M96)),"Utility Provider",
        ISNUMBER(SEARCH("Saudi Vetonit",M96)),"Supplier",
        ISNUMBER(SEARCH("Shomoul Eng",M96)),"Service Provider",
        ISNUMBER(SEARCH("STC",M96)),"Utility Provider",
        ISNUMBER(SEARCH("The General Organization for Social Insurance",M96)),"Social Insurance Agency",
        ISNUMBER(SEARCH("TUV Rheinland",M96)),"Service Provider",
        ISNUMBER(SEARCH("Al Arabia Ceramic",M96)),"Supplier",
        ISNUMBER(SEARCH("National Company for Building",M96)),"Customer",
        ISNUMBER(SEARCH("Athraa Holding",M96)),"Customer",
        ISNUMBER(SEARCH("Al Rasan",M96)),"Supplier",
        ISNUMBER(SEARCH("Raboua Al Haid",M96)),"Customer",
        ISNUMBER(SEARCH("Al Jazeera Paint",M96)),"Supplier",
        ISNUMBER(SEARCH("Rania Works Contracting",M96)),"Supplier",
        ISNUMBER(SEARCH("Bandar Jarallah",M96)),"Supplier",
        TRUE,"Supplier"
    ),
    "-"
)</f>
        <v>Bank</v>
      </c>
      <c r="AD96" s="25" t="str" cm="1">
        <f t="array" ref="AD96">_xlfn.IFNA(
    _xlfn.IFS(
        AC96="Same Company","High",
        AC96="Shareholder","High",
        AC96="Government","High",
        AC96="Bank","High",
        AC96="Lender","High",
        AC96="Unknown","Low",
        AC96="-","Low",
        TRUE,"Medium"
    ),
    "-"
)</f>
        <v>High</v>
      </c>
      <c r="AE96" s="25" t="str">
        <f t="shared" si="6"/>
        <v>-</v>
      </c>
      <c r="AF96" s="25" t="str" cm="1">
        <f t="array" ref="AF96">_xlfn.IFNA(
    _xlfn.IFS(
        K96="Credit",
            _xlfn.IFS(
                OR(ISNUMBER(SEARCH("Rejected",L96)),ISNUMBER(SEARCH("Returned",L96))),"Other Income",
                TRUE,"Revenue"
            ),
        K96="Debit",
            _xlfn.IFS(
                ISNUMBER(SEARCH("Payroll",L96)),"OPEX",
                ISNUMBER(SEARCH("Expatriate",L96)),"OPEX",
                ISNUMBER(SEARCH("Zakat",M96)),"ZATCA",
                ISNUMBER(SEARCH("General Organization for Social Insurance",M96)),"OPEX",
                ISNUMBER(SEARCH("Saudi Electric",M96)),"OPEX",
                ISNUMBER(SEARCH("STC",M96)),"OPEX",
                ISNUMBER(SEARCH("National Water",M96)),"OPEX",
                ISNUMBER(SEARCH("Bupa",M96)),"OPEX",
                ISNUMBER(SEARCH("Abdullah Abdulkarim",M96)),"OPEX",
                ISNUMBER(SEARCH("Abdullah Fahad",M96)),"OPEX",
                ISNUMBER(SEARCH("ISO Arabia",M96)),"OPEX",
                ISNUMBER(SEARCH("Gulf Voyager",M96)),"OPEX",
                ISNUMBER(SEARCH("Ministry",M96)),"OPEX",
                ISNUMBER(SEARCH("General Authority of Zakat",M96)),"ZATCA",
                ISNUMBER(SEARCH("Rejected",L96)),"Other Income",
                TRUE,"COGS"
            ),
        TRUE,"-"
    ),
    "-"
)</f>
        <v>OPEX</v>
      </c>
      <c r="AG96" s="25" t="str" cm="1">
        <f t="array" ref="AG96">_xlfn.IFNA(
    _xlfn.IFS(
        ISNUMBER(SEARCH("Payroll",L96)),"Payroll",
        ISNUMBER(SEARCH("Expatriate",L96)),"Government Fees",
        ISNUMBER(SEARCH("Zakat",M96)),"Zakat",
        ISNUMBER(SEARCH("Social Insurance",M96)),"Social Insurance",
        ISNUMBER(SEARCH("Saudi Electric",M96)),"Electricity",
        ISNUMBER(SEARCH("STC",M96)),"Telecom",
        ISNUMBER(SEARCH("National Water",M96)),"Water",
        ISNUMBER(SEARCH("Bupa",M96)),"Insurance",
        ISNUMBER(SEARCH("Gulf Voyager",M96)),"Travel",
        ISNUMBER(SEARCH("Ministry",M96)),"Government Fees",
        ISNUMBER(SEARCH("Abdullah Abdulkarim",M96)),"Consulting",
        ISNUMBER(SEARCH("Abdullah Fahad",M96)),"Accounting",
        ISNUMBER(SEARCH("ISO Arabia",M96)),"Consulting",
        ISNUMBER(SEARCH("Rejected",L96)),"Refund",
        AF96="COGS","Inventory Purchase",
        AF96="Revenue","Revenue",
        AF96="OPEX","Other",
        AF96="ZATCA","Zakat",
        TRUE,"-"
    ),
    "-"
)</f>
        <v>Payroll</v>
      </c>
      <c r="AH96" s="25" t="str" cm="1">
        <f t="array" ref="AH96">_xlfn.IFNA(
    _xlfn.IFS(
        AF96="-","Low",
        AF96="Other","Low",
        TRUE,"Medium"
    ),
    "-"
)</f>
        <v>Medium</v>
      </c>
      <c r="AI96" s="25" t="str">
        <f t="shared" si="7"/>
        <v>-</v>
      </c>
    </row>
    <row r="97" spans="1:35" x14ac:dyDescent="0.25">
      <c r="A97" s="10">
        <v>5</v>
      </c>
      <c r="B97" s="10" t="s">
        <v>35</v>
      </c>
      <c r="C97" s="10" t="s">
        <v>36</v>
      </c>
      <c r="D97" s="10" t="s">
        <v>37</v>
      </c>
      <c r="E97" s="10" t="s">
        <v>38</v>
      </c>
      <c r="F97" s="11" t="s">
        <v>39</v>
      </c>
      <c r="G97" s="11" t="s">
        <v>40</v>
      </c>
      <c r="H97" s="12">
        <v>44930</v>
      </c>
      <c r="I97" s="20">
        <v>187671.74</v>
      </c>
      <c r="J97" s="20">
        <v>36.229999999999997</v>
      </c>
      <c r="K97" s="10" t="s">
        <v>41</v>
      </c>
      <c r="L97" s="9" t="s">
        <v>335</v>
      </c>
      <c r="M97" s="9" t="s">
        <v>335</v>
      </c>
      <c r="O97" s="9" t="s">
        <v>226</v>
      </c>
      <c r="P97" s="15">
        <v>44930</v>
      </c>
      <c r="R97" s="16">
        <v>36.229999999999997</v>
      </c>
      <c r="U97" s="9" t="s">
        <v>55</v>
      </c>
      <c r="V97" s="24" t="str" cm="1">
        <f t="array" ref="V97">_xlfn.IFNA(
    _xlfn.IFS(
        ISNUMBER(SEARCH("Fast Outgoing Transfer",L97)),"Transfer",
        ISNUMBER(SEARCH("Incoming Fast Transfer",L97)),"Transfer",
        ISNUMBER(SEARCH("Outgoing International Transfer",L97)),"Transfer",
        ISNUMBER(SEARCH("Bill Payment",L97)),"SADAD",
        ISNUMBER(SEARCH("Payroll",L97)),"Payroll",
        ISNUMBER(SEARCH("Cash Deposit",L97)),"Cash",
        ISNUMBER(SEARCH("Internal Transfer",L97)),"Transfer",
        ISNUMBER(SEARCH("Expatriate Services Payment",L97)),"SADAD",
        ISNUMBER(SEARCH("Rejected",L97)),"Transfer"
    ),
    "-"
)</f>
        <v>Payroll</v>
      </c>
      <c r="W97" s="25" t="str" cm="1">
        <f t="array" ref="W97">_xlfn.IFNA(
    _xlfn.IFS(
        AND(V97="Transfer",ISNUMBER(SEARCH("RIYAD BANK",L97))),"External FI",
        AND(V97="Transfer",ISNUMBER(SEARCH("Al Ahli",L97))),"External FI",
        AND(V97="Transfer",ISNUMBER(SEARCH("CIB via",L97))),"Local Transfer",
        AND(V97="Transfer",ISNUMBER(SEARCH("CIB)",L97))),"Local Transfer",
        AND(V97="Transfer",ISNUMBER(SEARCH("SMRT",L97))),"Local Transfer",
        AND(V97="Transfer",ISNUMBER(SEARCH("Al Murabba",L97))),"Local Transfer",
        AND(V97="Transfer",ISNUMBER(SEARCH("Internal Transfer",L97))),"Same FI",
        AND(V97="Transfer",ISNUMBER(SEARCH("Rejected",L97))),"Failed",
        V97="SADAD",
            _xlfn.IFS(
                ISNUMBER(SEARCH("Expatriate",L97)),"Expat Fees",
                TRUE,"Online Payment"
            ),
        V97="Payroll","Payroll",
        V97="Cash","Deposit",
        TRUE,"-"
    ),
    "-"
)</f>
        <v>Payroll</v>
      </c>
      <c r="X97" s="25" t="str" cm="1">
        <f t="array" ref="X97">_xlfn.IFNA(
    _xlfn.IFS(
        V97="-","Low",
        W97="-","Low",
        TRUE,"High"
    ),
    "-"
)</f>
        <v>High</v>
      </c>
      <c r="Y97" s="25" t="str">
        <f t="shared" si="4"/>
        <v>-</v>
      </c>
      <c r="Z97" s="25" t="str" cm="1">
        <f t="array" ref="Z97">_xlfn.IFNA(
    _xlfn.IFS(
        ISNUMBER(SEARCH("Abdul Latif Jameel",M97)),"Lender",
        ISNUMBER(SEARCH("Abdullah Abdulkarim Al Sudais",M97)),"Accounting",
        ISNUMBER(SEARCH("Abdullah Fahad for Accounting",M97)),"Accounting",
        ISNUMBER(SEARCH("Abdullah Rashid Shaikh",M97)),"Shareholder",
        ISNUMBER(SEARCH("Advanced Equipments",M97)),"Equipment Rental",
        ISNUMBER(SEARCH("Al Banuk Sana",M97)),"Telecom Company",
        ISNUMBER(SEARCH("Al Khaleefa Factory",M97)),"Manufacturer",
        ISNUMBER(SEARCH("Al Saadeh Trading",M97)),"Trading Company",
        ISNUMBER(SEARCH("Al Zaehaan",M97)),"Trading Company",
        ISNUMBER(SEARCH("Ali Abdullah K Al Darwish",M97)),"Airlines",
        ISNUMBER(SEARCH("Bupa Arabia",M97)),"Health Insurance",
        ISNUMBER(SEARCH("Dar Fahoosaat",M97)),"Consultant",
        ISNUMBER(SEARCH("General Authority of Zakat",M97)),"Tax Collection",
        ISNUMBER(SEARCH("Gulf Voyager",M97)),"Travel Agency",
        ISNUMBER(SEARCH("Hopeway Trading",M97)),"Trading Company",
        ISNUMBER(SEARCH("Interhealth Medical",M97)),"Medical Services",
        ISNUMBER(SEARCH("Ishaar",M97)),"Online Payment Service",
        ISNUMBER(SEARCH("ISO Arabia",M97)),"Certification",
        ISNUMBER(SEARCH("Khalid Saad Al Otaibi",M97)),"Trading Company",
        ISNUMBER(SEARCH("MERAS for Decoration",M97)),"Decor Company",
        ISNUMBER(SEARCH("Middle East Customs Clearance",M97)),"Customs",
        ISNUMBER(SEARCH("Ministry of Human Resources",M97)),"Government",
        ISNUMBER(SEARCH("My Business Services",M97)),"Service Provider",
        ISNUMBER(SEARCH("National Water Company",M97)),"Water Company",
        ISNUMBER(SEARCH("Rania Contracting",M97)),"Contracting",
        ISNUMBER(SEARCH("Rashid Ali Sheikh",M97)),"Shareholder",
        ISNUMBER(SEARCH("Sahab United Motors",M97)),"Car Show Room",
        ISNUMBER(SEARCH("Saud Mohammed Al Tamimi",M97)),"Shareholder",
        ISNUMBER(SEARCH("Saud Mohammed Tamimi",M97)),"Shareholder",
        ISNUMBER(SEARCH("Saudi Electric Company",M97)),"Electricity Company",
        ISNUMBER(SEARCH("Saudi Vetonit",M97)),"Building Materials",
        ISNUMBER(SEARCH("Shomoul Eng",M97)),"Safety",
        ISNUMBER(SEARCH("STC",M97)),"Telecom Company",
        ISNUMBER(SEARCH("The General Organization for Social Insurance",M97)),"Social Insurance Agency",
        ISNUMBER(SEARCH("TUV Rheinland",M97)),"Certification",
        ISNUMBER(SEARCH("Al Arabia Ceramic",M97)),"Building Materials",
        ISNUMBER(SEARCH("National Company for Building and Marketing",M97)),"Parent Company",
        ISNUMBER(SEARCH("Athraa Holding",M97)),"Holding Company",
        ISNUMBER(SEARCH("Al Rasan",M97)),"Contracting",
        ISNUMBER(SEARCH("Raboua Al Haid",M97)),"Trading Company",
        ISNUMBER(SEARCH("Al Jazeera Paint",M97)),"Manufacturer",
        ISNUMBER(SEARCH("Rania Works Contracting",M97)),"Contracting",
        ISNUMBER(SEARCH("Bandar Jarallah",M97)),"Trading Establishment",
        ISNUMBER(SEARCH("RS Infratec Saudi",M97)),"Same Company",
        ISNUMBER(SEARCH("Payroll",M97)),"Bank",
        ISNUMBER(SEARCH("Expatriate",M97)),"Government",
        ISNUMBER(SEARCH("Unknown Sender",M97)),"Unknown",
        TRUE,"Unknown"
    ),
    "-"
)</f>
        <v>Bank</v>
      </c>
      <c r="AA97" s="25" t="str" cm="1">
        <f t="array" ref="AA97">_xlfn.IFNA(
    _xlfn.IFS(
        Z97="Lender","Financing",
        Z97="Accounting","Accounting",
        Z97="Shareholder","Individual",
        Z97="Equipment Rental","Equipment Rental",
        Z97="Telecom Company","Telecom",
        Z97="Manufacturer","Manufacturer",
        Z97="Trading Company","Trading And Transport",
        Z97="Trading Establishment","Trading",
        Z97="Airlines","Airlines",
        Z97="Health Insurance","Insurance",
        Z97="Consultant","Consultant",
        Z97="Tax Collection","Government",
        Z97="Travel Agency","Travel Agency",
        Z97="Medical Services","Medical Center",
        Z97="Online Payment Service","Payment Facilitator",
        Z97="Certification","Safety",
        Z97="Decor Company","Design",
        Z97="Customs","Customs",
        Z97="Government","Government",
        Z97="Service Provider","Service Provider",
        Z97="Water Company","Water Company",
        Z97="Contracting","Contracting",
        Z97="Car Show Room","Car Trader",
        Z97="Electricity Company","Electricity Company",
        Z97="Building Materials","Building Materials",
        Z97="Safety","Safety",
        Z97="Social Insurance Agency","Government Fund",
        Z97="Parent Company","Holding Company",
        Z97="Holding Company","Holding Company",
        Z97="Same Company","Construction",
        Z97="Bank","Bank",
        Z97="Unknown","Unknown",
        TRUE,"-"
    ),
    "-"
)</f>
        <v>Bank</v>
      </c>
      <c r="AB97" s="25" t="str">
        <f t="shared" si="5"/>
        <v>-</v>
      </c>
      <c r="AC97" s="25" t="str" cm="1">
        <f t="array" ref="AC97">_xlfn.IFNA(
    _xlfn.IFS(
        Z97="Shareholder","Shareholder",
        Z97="Same Company","Same Company",
        Z97="Bank","Bank",
        Z97="Government","Government",
        Z97="Social Insurance Agency","Government",
        Z97="Parent Company","Customer",
        Z97="Lender","Lender",
        Z97="Unknown","Unknown",
        ISNUMBER(SEARCH("Abdullah Abdulkarim",M97)),"Service Provider",
        ISNUMBER(SEARCH("Abdullah Fahad",M97)),"Service Provider",
        ISNUMBER(SEARCH("Advanced Equipments",M97)),"Supplier",
        ISNUMBER(SEARCH("Al Banuk Sana",M97)),"Supplier",
        ISNUMBER(SEARCH("Al Khaleefa Factory",M97)),"Supplier",
        ISNUMBER(SEARCH("Al Saadeh Trading",M97)),"Supplier",
        ISNUMBER(SEARCH("Al Zaehaan",M97)),"Supplier",
        ISNUMBER(SEARCH("Ali Abdullah K Al Darwish",M97)),"Service Provider",
        ISNUMBER(SEARCH("Bupa Arabia",M97)),"Insurance Company",
        ISNUMBER(SEARCH("Dar Fahoosaat",M97)),"Service Provider",
        ISNUMBER(SEARCH("General Authority of Zakat",M97)),"Tax Authority",
        ISNUMBER(SEARCH("Gulf Voyager",M97)),"Service Provider",
        ISNUMBER(SEARCH("Hopeway Trading",M97)),"Supplier",
        ISNUMBER(SEARCH("Interhealth Medical",M97)),"Customer",
        ISNUMBER(SEARCH("Ishaar",M97)),"Service Provider",
        ISNUMBER(SEARCH("ISO Arabia",M97)),"Service Provider",
        ISNUMBER(SEARCH("Khalid Saad Al Otaibi",M97)),"Supplier",
        ISNUMBER(SEARCH("MERAS for Decoration",M97)),"Supplier",
        ISNUMBER(SEARCH("Middle East Customs Clearance",M97)),"Service Provider",
        ISNUMBER(SEARCH("Ministry of Human Resources",M97)),"Regulatory Agency",
        ISNUMBER(SEARCH("My Business Services",M97)),"Service Provider",
        ISNUMBER(SEARCH("National Water Company",M97)),"Utility Provider",
        ISNUMBER(SEARCH("Rania Contracting",M97)),"Supplier",
        ISNUMBER(SEARCH("Sahab United Motors",M97)),"Supplier",
        ISNUMBER(SEARCH("Saudi Electric Company",M97)),"Utility Provider",
        ISNUMBER(SEARCH("Saudi Vetonit",M97)),"Supplier",
        ISNUMBER(SEARCH("Shomoul Eng",M97)),"Service Provider",
        ISNUMBER(SEARCH("STC",M97)),"Utility Provider",
        ISNUMBER(SEARCH("The General Organization for Social Insurance",M97)),"Social Insurance Agency",
        ISNUMBER(SEARCH("TUV Rheinland",M97)),"Service Provider",
        ISNUMBER(SEARCH("Al Arabia Ceramic",M97)),"Supplier",
        ISNUMBER(SEARCH("National Company for Building",M97)),"Customer",
        ISNUMBER(SEARCH("Athraa Holding",M97)),"Customer",
        ISNUMBER(SEARCH("Al Rasan",M97)),"Supplier",
        ISNUMBER(SEARCH("Raboua Al Haid",M97)),"Customer",
        ISNUMBER(SEARCH("Al Jazeera Paint",M97)),"Supplier",
        ISNUMBER(SEARCH("Rania Works Contracting",M97)),"Supplier",
        ISNUMBER(SEARCH("Bandar Jarallah",M97)),"Supplier",
        TRUE,"Supplier"
    ),
    "-"
)</f>
        <v>Bank</v>
      </c>
      <c r="AD97" s="25" t="str" cm="1">
        <f t="array" ref="AD97">_xlfn.IFNA(
    _xlfn.IFS(
        AC97="Same Company","High",
        AC97="Shareholder","High",
        AC97="Government","High",
        AC97="Bank","High",
        AC97="Lender","High",
        AC97="Unknown","Low",
        AC97="-","Low",
        TRUE,"Medium"
    ),
    "-"
)</f>
        <v>High</v>
      </c>
      <c r="AE97" s="25" t="str">
        <f t="shared" si="6"/>
        <v>-</v>
      </c>
      <c r="AF97" s="25" t="str" cm="1">
        <f t="array" ref="AF97">_xlfn.IFNA(
    _xlfn.IFS(
        K97="Credit",
            _xlfn.IFS(
                OR(ISNUMBER(SEARCH("Rejected",L97)),ISNUMBER(SEARCH("Returned",L97))),"Other Income",
                TRUE,"Revenue"
            ),
        K97="Debit",
            _xlfn.IFS(
                ISNUMBER(SEARCH("Payroll",L97)),"OPEX",
                ISNUMBER(SEARCH("Expatriate",L97)),"OPEX",
                ISNUMBER(SEARCH("Zakat",M97)),"ZATCA",
                ISNUMBER(SEARCH("General Organization for Social Insurance",M97)),"OPEX",
                ISNUMBER(SEARCH("Saudi Electric",M97)),"OPEX",
                ISNUMBER(SEARCH("STC",M97)),"OPEX",
                ISNUMBER(SEARCH("National Water",M97)),"OPEX",
                ISNUMBER(SEARCH("Bupa",M97)),"OPEX",
                ISNUMBER(SEARCH("Abdullah Abdulkarim",M97)),"OPEX",
                ISNUMBER(SEARCH("Abdullah Fahad",M97)),"OPEX",
                ISNUMBER(SEARCH("ISO Arabia",M97)),"OPEX",
                ISNUMBER(SEARCH("Gulf Voyager",M97)),"OPEX",
                ISNUMBER(SEARCH("Ministry",M97)),"OPEX",
                ISNUMBER(SEARCH("General Authority of Zakat",M97)),"ZATCA",
                ISNUMBER(SEARCH("Rejected",L97)),"Other Income",
                TRUE,"COGS"
            ),
        TRUE,"-"
    ),
    "-"
)</f>
        <v>OPEX</v>
      </c>
      <c r="AG97" s="25" t="str" cm="1">
        <f t="array" ref="AG97">_xlfn.IFNA(
    _xlfn.IFS(
        ISNUMBER(SEARCH("Payroll",L97)),"Payroll",
        ISNUMBER(SEARCH("Expatriate",L97)),"Government Fees",
        ISNUMBER(SEARCH("Zakat",M97)),"Zakat",
        ISNUMBER(SEARCH("Social Insurance",M97)),"Social Insurance",
        ISNUMBER(SEARCH("Saudi Electric",M97)),"Electricity",
        ISNUMBER(SEARCH("STC",M97)),"Telecom",
        ISNUMBER(SEARCH("National Water",M97)),"Water",
        ISNUMBER(SEARCH("Bupa",M97)),"Insurance",
        ISNUMBER(SEARCH("Gulf Voyager",M97)),"Travel",
        ISNUMBER(SEARCH("Ministry",M97)),"Government Fees",
        ISNUMBER(SEARCH("Abdullah Abdulkarim",M97)),"Consulting",
        ISNUMBER(SEARCH("Abdullah Fahad",M97)),"Accounting",
        ISNUMBER(SEARCH("ISO Arabia",M97)),"Consulting",
        ISNUMBER(SEARCH("Rejected",L97)),"Refund",
        AF97="COGS","Inventory Purchase",
        AF97="Revenue","Revenue",
        AF97="OPEX","Other",
        AF97="ZATCA","Zakat",
        TRUE,"-"
    ),
    "-"
)</f>
        <v>Payroll</v>
      </c>
      <c r="AH97" s="25" t="str" cm="1">
        <f t="array" ref="AH97">_xlfn.IFNA(
    _xlfn.IFS(
        AF97="-","Low",
        AF97="Other","Low",
        TRUE,"Medium"
    ),
    "-"
)</f>
        <v>Medium</v>
      </c>
      <c r="AI97" s="25" t="str">
        <f t="shared" si="7"/>
        <v>-</v>
      </c>
    </row>
    <row r="98" spans="1:35" x14ac:dyDescent="0.25">
      <c r="A98" s="10">
        <v>5</v>
      </c>
      <c r="B98" s="10" t="s">
        <v>35</v>
      </c>
      <c r="C98" s="10" t="s">
        <v>36</v>
      </c>
      <c r="D98" s="10" t="s">
        <v>37</v>
      </c>
      <c r="E98" s="10" t="s">
        <v>38</v>
      </c>
      <c r="F98" s="11" t="s">
        <v>39</v>
      </c>
      <c r="G98" s="11" t="s">
        <v>40</v>
      </c>
      <c r="H98" s="12">
        <v>44930</v>
      </c>
      <c r="I98" s="20">
        <v>131687.96</v>
      </c>
      <c r="J98" s="20">
        <v>446.78</v>
      </c>
      <c r="K98" s="10" t="s">
        <v>41</v>
      </c>
      <c r="L98" s="9" t="s">
        <v>335</v>
      </c>
      <c r="M98" s="9" t="s">
        <v>335</v>
      </c>
      <c r="O98" s="9" t="s">
        <v>226</v>
      </c>
      <c r="P98" s="15">
        <v>44930</v>
      </c>
      <c r="R98" s="16">
        <v>446.78</v>
      </c>
      <c r="U98" s="9" t="s">
        <v>55</v>
      </c>
      <c r="V98" s="24" t="str" cm="1">
        <f t="array" ref="V98">_xlfn.IFNA(
    _xlfn.IFS(
        ISNUMBER(SEARCH("Fast Outgoing Transfer",L98)),"Transfer",
        ISNUMBER(SEARCH("Incoming Fast Transfer",L98)),"Transfer",
        ISNUMBER(SEARCH("Outgoing International Transfer",L98)),"Transfer",
        ISNUMBER(SEARCH("Bill Payment",L98)),"SADAD",
        ISNUMBER(SEARCH("Payroll",L98)),"Payroll",
        ISNUMBER(SEARCH("Cash Deposit",L98)),"Cash",
        ISNUMBER(SEARCH("Internal Transfer",L98)),"Transfer",
        ISNUMBER(SEARCH("Expatriate Services Payment",L98)),"SADAD",
        ISNUMBER(SEARCH("Rejected",L98)),"Transfer"
    ),
    "-"
)</f>
        <v>Payroll</v>
      </c>
      <c r="W98" s="25" t="str" cm="1">
        <f t="array" ref="W98">_xlfn.IFNA(
    _xlfn.IFS(
        AND(V98="Transfer",ISNUMBER(SEARCH("RIYAD BANK",L98))),"External FI",
        AND(V98="Transfer",ISNUMBER(SEARCH("Al Ahli",L98))),"External FI",
        AND(V98="Transfer",ISNUMBER(SEARCH("CIB via",L98))),"Local Transfer",
        AND(V98="Transfer",ISNUMBER(SEARCH("CIB)",L98))),"Local Transfer",
        AND(V98="Transfer",ISNUMBER(SEARCH("SMRT",L98))),"Local Transfer",
        AND(V98="Transfer",ISNUMBER(SEARCH("Al Murabba",L98))),"Local Transfer",
        AND(V98="Transfer",ISNUMBER(SEARCH("Internal Transfer",L98))),"Same FI",
        AND(V98="Transfer",ISNUMBER(SEARCH("Rejected",L98))),"Failed",
        V98="SADAD",
            _xlfn.IFS(
                ISNUMBER(SEARCH("Expatriate",L98)),"Expat Fees",
                TRUE,"Online Payment"
            ),
        V98="Payroll","Payroll",
        V98="Cash","Deposit",
        TRUE,"-"
    ),
    "-"
)</f>
        <v>Payroll</v>
      </c>
      <c r="X98" s="25" t="str" cm="1">
        <f t="array" ref="X98">_xlfn.IFNA(
    _xlfn.IFS(
        V98="-","Low",
        W98="-","Low",
        TRUE,"High"
    ),
    "-"
)</f>
        <v>High</v>
      </c>
      <c r="Y98" s="25" t="str">
        <f t="shared" si="4"/>
        <v>-</v>
      </c>
      <c r="Z98" s="25" t="str" cm="1">
        <f t="array" ref="Z98">_xlfn.IFNA(
    _xlfn.IFS(
        ISNUMBER(SEARCH("Abdul Latif Jameel",M98)),"Lender",
        ISNUMBER(SEARCH("Abdullah Abdulkarim Al Sudais",M98)),"Accounting",
        ISNUMBER(SEARCH("Abdullah Fahad for Accounting",M98)),"Accounting",
        ISNUMBER(SEARCH("Abdullah Rashid Shaikh",M98)),"Shareholder",
        ISNUMBER(SEARCH("Advanced Equipments",M98)),"Equipment Rental",
        ISNUMBER(SEARCH("Al Banuk Sana",M98)),"Telecom Company",
        ISNUMBER(SEARCH("Al Khaleefa Factory",M98)),"Manufacturer",
        ISNUMBER(SEARCH("Al Saadeh Trading",M98)),"Trading Company",
        ISNUMBER(SEARCH("Al Zaehaan",M98)),"Trading Company",
        ISNUMBER(SEARCH("Ali Abdullah K Al Darwish",M98)),"Airlines",
        ISNUMBER(SEARCH("Bupa Arabia",M98)),"Health Insurance",
        ISNUMBER(SEARCH("Dar Fahoosaat",M98)),"Consultant",
        ISNUMBER(SEARCH("General Authority of Zakat",M98)),"Tax Collection",
        ISNUMBER(SEARCH("Gulf Voyager",M98)),"Travel Agency",
        ISNUMBER(SEARCH("Hopeway Trading",M98)),"Trading Company",
        ISNUMBER(SEARCH("Interhealth Medical",M98)),"Medical Services",
        ISNUMBER(SEARCH("Ishaar",M98)),"Online Payment Service",
        ISNUMBER(SEARCH("ISO Arabia",M98)),"Certification",
        ISNUMBER(SEARCH("Khalid Saad Al Otaibi",M98)),"Trading Company",
        ISNUMBER(SEARCH("MERAS for Decoration",M98)),"Decor Company",
        ISNUMBER(SEARCH("Middle East Customs Clearance",M98)),"Customs",
        ISNUMBER(SEARCH("Ministry of Human Resources",M98)),"Government",
        ISNUMBER(SEARCH("My Business Services",M98)),"Service Provider",
        ISNUMBER(SEARCH("National Water Company",M98)),"Water Company",
        ISNUMBER(SEARCH("Rania Contracting",M98)),"Contracting",
        ISNUMBER(SEARCH("Rashid Ali Sheikh",M98)),"Shareholder",
        ISNUMBER(SEARCH("Sahab United Motors",M98)),"Car Show Room",
        ISNUMBER(SEARCH("Saud Mohammed Al Tamimi",M98)),"Shareholder",
        ISNUMBER(SEARCH("Saud Mohammed Tamimi",M98)),"Shareholder",
        ISNUMBER(SEARCH("Saudi Electric Company",M98)),"Electricity Company",
        ISNUMBER(SEARCH("Saudi Vetonit",M98)),"Building Materials",
        ISNUMBER(SEARCH("Shomoul Eng",M98)),"Safety",
        ISNUMBER(SEARCH("STC",M98)),"Telecom Company",
        ISNUMBER(SEARCH("The General Organization for Social Insurance",M98)),"Social Insurance Agency",
        ISNUMBER(SEARCH("TUV Rheinland",M98)),"Certification",
        ISNUMBER(SEARCH("Al Arabia Ceramic",M98)),"Building Materials",
        ISNUMBER(SEARCH("National Company for Building and Marketing",M98)),"Parent Company",
        ISNUMBER(SEARCH("Athraa Holding",M98)),"Holding Company",
        ISNUMBER(SEARCH("Al Rasan",M98)),"Contracting",
        ISNUMBER(SEARCH("Raboua Al Haid",M98)),"Trading Company",
        ISNUMBER(SEARCH("Al Jazeera Paint",M98)),"Manufacturer",
        ISNUMBER(SEARCH("Rania Works Contracting",M98)),"Contracting",
        ISNUMBER(SEARCH("Bandar Jarallah",M98)),"Trading Establishment",
        ISNUMBER(SEARCH("RS Infratec Saudi",M98)),"Same Company",
        ISNUMBER(SEARCH("Payroll",M98)),"Bank",
        ISNUMBER(SEARCH("Expatriate",M98)),"Government",
        ISNUMBER(SEARCH("Unknown Sender",M98)),"Unknown",
        TRUE,"Unknown"
    ),
    "-"
)</f>
        <v>Bank</v>
      </c>
      <c r="AA98" s="25" t="str" cm="1">
        <f t="array" ref="AA98">_xlfn.IFNA(
    _xlfn.IFS(
        Z98="Lender","Financing",
        Z98="Accounting","Accounting",
        Z98="Shareholder","Individual",
        Z98="Equipment Rental","Equipment Rental",
        Z98="Telecom Company","Telecom",
        Z98="Manufacturer","Manufacturer",
        Z98="Trading Company","Trading And Transport",
        Z98="Trading Establishment","Trading",
        Z98="Airlines","Airlines",
        Z98="Health Insurance","Insurance",
        Z98="Consultant","Consultant",
        Z98="Tax Collection","Government",
        Z98="Travel Agency","Travel Agency",
        Z98="Medical Services","Medical Center",
        Z98="Online Payment Service","Payment Facilitator",
        Z98="Certification","Safety",
        Z98="Decor Company","Design",
        Z98="Customs","Customs",
        Z98="Government","Government",
        Z98="Service Provider","Service Provider",
        Z98="Water Company","Water Company",
        Z98="Contracting","Contracting",
        Z98="Car Show Room","Car Trader",
        Z98="Electricity Company","Electricity Company",
        Z98="Building Materials","Building Materials",
        Z98="Safety","Safety",
        Z98="Social Insurance Agency","Government Fund",
        Z98="Parent Company","Holding Company",
        Z98="Holding Company","Holding Company",
        Z98="Same Company","Construction",
        Z98="Bank","Bank",
        Z98="Unknown","Unknown",
        TRUE,"-"
    ),
    "-"
)</f>
        <v>Bank</v>
      </c>
      <c r="AB98" s="25" t="str">
        <f t="shared" si="5"/>
        <v>-</v>
      </c>
      <c r="AC98" s="25" t="str" cm="1">
        <f t="array" ref="AC98">_xlfn.IFNA(
    _xlfn.IFS(
        Z98="Shareholder","Shareholder",
        Z98="Same Company","Same Company",
        Z98="Bank","Bank",
        Z98="Government","Government",
        Z98="Social Insurance Agency","Government",
        Z98="Parent Company","Customer",
        Z98="Lender","Lender",
        Z98="Unknown","Unknown",
        ISNUMBER(SEARCH("Abdullah Abdulkarim",M98)),"Service Provider",
        ISNUMBER(SEARCH("Abdullah Fahad",M98)),"Service Provider",
        ISNUMBER(SEARCH("Advanced Equipments",M98)),"Supplier",
        ISNUMBER(SEARCH("Al Banuk Sana",M98)),"Supplier",
        ISNUMBER(SEARCH("Al Khaleefa Factory",M98)),"Supplier",
        ISNUMBER(SEARCH("Al Saadeh Trading",M98)),"Supplier",
        ISNUMBER(SEARCH("Al Zaehaan",M98)),"Supplier",
        ISNUMBER(SEARCH("Ali Abdullah K Al Darwish",M98)),"Service Provider",
        ISNUMBER(SEARCH("Bupa Arabia",M98)),"Insurance Company",
        ISNUMBER(SEARCH("Dar Fahoosaat",M98)),"Service Provider",
        ISNUMBER(SEARCH("General Authority of Zakat",M98)),"Tax Authority",
        ISNUMBER(SEARCH("Gulf Voyager",M98)),"Service Provider",
        ISNUMBER(SEARCH("Hopeway Trading",M98)),"Supplier",
        ISNUMBER(SEARCH("Interhealth Medical",M98)),"Customer",
        ISNUMBER(SEARCH("Ishaar",M98)),"Service Provider",
        ISNUMBER(SEARCH("ISO Arabia",M98)),"Service Provider",
        ISNUMBER(SEARCH("Khalid Saad Al Otaibi",M98)),"Supplier",
        ISNUMBER(SEARCH("MERAS for Decoration",M98)),"Supplier",
        ISNUMBER(SEARCH("Middle East Customs Clearance",M98)),"Service Provider",
        ISNUMBER(SEARCH("Ministry of Human Resources",M98)),"Regulatory Agency",
        ISNUMBER(SEARCH("My Business Services",M98)),"Service Provider",
        ISNUMBER(SEARCH("National Water Company",M98)),"Utility Provider",
        ISNUMBER(SEARCH("Rania Contracting",M98)),"Supplier",
        ISNUMBER(SEARCH("Sahab United Motors",M98)),"Supplier",
        ISNUMBER(SEARCH("Saudi Electric Company",M98)),"Utility Provider",
        ISNUMBER(SEARCH("Saudi Vetonit",M98)),"Supplier",
        ISNUMBER(SEARCH("Shomoul Eng",M98)),"Service Provider",
        ISNUMBER(SEARCH("STC",M98)),"Utility Provider",
        ISNUMBER(SEARCH("The General Organization for Social Insurance",M98)),"Social Insurance Agency",
        ISNUMBER(SEARCH("TUV Rheinland",M98)),"Service Provider",
        ISNUMBER(SEARCH("Al Arabia Ceramic",M98)),"Supplier",
        ISNUMBER(SEARCH("National Company for Building",M98)),"Customer",
        ISNUMBER(SEARCH("Athraa Holding",M98)),"Customer",
        ISNUMBER(SEARCH("Al Rasan",M98)),"Supplier",
        ISNUMBER(SEARCH("Raboua Al Haid",M98)),"Customer",
        ISNUMBER(SEARCH("Al Jazeera Paint",M98)),"Supplier",
        ISNUMBER(SEARCH("Rania Works Contracting",M98)),"Supplier",
        ISNUMBER(SEARCH("Bandar Jarallah",M98)),"Supplier",
        TRUE,"Supplier"
    ),
    "-"
)</f>
        <v>Bank</v>
      </c>
      <c r="AD98" s="25" t="str" cm="1">
        <f t="array" ref="AD98">_xlfn.IFNA(
    _xlfn.IFS(
        AC98="Same Company","High",
        AC98="Shareholder","High",
        AC98="Government","High",
        AC98="Bank","High",
        AC98="Lender","High",
        AC98="Unknown","Low",
        AC98="-","Low",
        TRUE,"Medium"
    ),
    "-"
)</f>
        <v>High</v>
      </c>
      <c r="AE98" s="25" t="str">
        <f t="shared" si="6"/>
        <v>-</v>
      </c>
      <c r="AF98" s="25" t="str" cm="1">
        <f t="array" ref="AF98">_xlfn.IFNA(
    _xlfn.IFS(
        K98="Credit",
            _xlfn.IFS(
                OR(ISNUMBER(SEARCH("Rejected",L98)),ISNUMBER(SEARCH("Returned",L98))),"Other Income",
                TRUE,"Revenue"
            ),
        K98="Debit",
            _xlfn.IFS(
                ISNUMBER(SEARCH("Payroll",L98)),"OPEX",
                ISNUMBER(SEARCH("Expatriate",L98)),"OPEX",
                ISNUMBER(SEARCH("Zakat",M98)),"ZATCA",
                ISNUMBER(SEARCH("General Organization for Social Insurance",M98)),"OPEX",
                ISNUMBER(SEARCH("Saudi Electric",M98)),"OPEX",
                ISNUMBER(SEARCH("STC",M98)),"OPEX",
                ISNUMBER(SEARCH("National Water",M98)),"OPEX",
                ISNUMBER(SEARCH("Bupa",M98)),"OPEX",
                ISNUMBER(SEARCH("Abdullah Abdulkarim",M98)),"OPEX",
                ISNUMBER(SEARCH("Abdullah Fahad",M98)),"OPEX",
                ISNUMBER(SEARCH("ISO Arabia",M98)),"OPEX",
                ISNUMBER(SEARCH("Gulf Voyager",M98)),"OPEX",
                ISNUMBER(SEARCH("Ministry",M98)),"OPEX",
                ISNUMBER(SEARCH("General Authority of Zakat",M98)),"ZATCA",
                ISNUMBER(SEARCH("Rejected",L98)),"Other Income",
                TRUE,"COGS"
            ),
        TRUE,"-"
    ),
    "-"
)</f>
        <v>OPEX</v>
      </c>
      <c r="AG98" s="25" t="str" cm="1">
        <f t="array" ref="AG98">_xlfn.IFNA(
    _xlfn.IFS(
        ISNUMBER(SEARCH("Payroll",L98)),"Payroll",
        ISNUMBER(SEARCH("Expatriate",L98)),"Government Fees",
        ISNUMBER(SEARCH("Zakat",M98)),"Zakat",
        ISNUMBER(SEARCH("Social Insurance",M98)),"Social Insurance",
        ISNUMBER(SEARCH("Saudi Electric",M98)),"Electricity",
        ISNUMBER(SEARCH("STC",M98)),"Telecom",
        ISNUMBER(SEARCH("National Water",M98)),"Water",
        ISNUMBER(SEARCH("Bupa",M98)),"Insurance",
        ISNUMBER(SEARCH("Gulf Voyager",M98)),"Travel",
        ISNUMBER(SEARCH("Ministry",M98)),"Government Fees",
        ISNUMBER(SEARCH("Abdullah Abdulkarim",M98)),"Consulting",
        ISNUMBER(SEARCH("Abdullah Fahad",M98)),"Accounting",
        ISNUMBER(SEARCH("ISO Arabia",M98)),"Consulting",
        ISNUMBER(SEARCH("Rejected",L98)),"Refund",
        AF98="COGS","Inventory Purchase",
        AF98="Revenue","Revenue",
        AF98="OPEX","Other",
        AF98="ZATCA","Zakat",
        TRUE,"-"
    ),
    "-"
)</f>
        <v>Payroll</v>
      </c>
      <c r="AH98" s="25" t="str" cm="1">
        <f t="array" ref="AH98">_xlfn.IFNA(
    _xlfn.IFS(
        AF98="-","Low",
        AF98="Other","Low",
        TRUE,"Medium"
    ),
    "-"
)</f>
        <v>Medium</v>
      </c>
      <c r="AI98" s="25" t="str">
        <f t="shared" si="7"/>
        <v>-</v>
      </c>
    </row>
    <row r="99" spans="1:35" x14ac:dyDescent="0.25">
      <c r="A99" s="10">
        <v>5</v>
      </c>
      <c r="B99" s="10" t="s">
        <v>35</v>
      </c>
      <c r="C99" s="10" t="s">
        <v>36</v>
      </c>
      <c r="D99" s="10" t="s">
        <v>37</v>
      </c>
      <c r="E99" s="10" t="s">
        <v>38</v>
      </c>
      <c r="F99" s="11" t="s">
        <v>39</v>
      </c>
      <c r="G99" s="11" t="s">
        <v>40</v>
      </c>
      <c r="H99" s="12">
        <v>44931</v>
      </c>
      <c r="I99" s="20">
        <v>98162.78</v>
      </c>
      <c r="J99" s="20">
        <v>68.430000000000007</v>
      </c>
      <c r="K99" s="10" t="s">
        <v>41</v>
      </c>
      <c r="L99" s="9" t="s">
        <v>335</v>
      </c>
      <c r="M99" s="9" t="s">
        <v>335</v>
      </c>
      <c r="O99" s="9" t="s">
        <v>226</v>
      </c>
      <c r="P99" s="15">
        <v>44931</v>
      </c>
      <c r="R99" s="16">
        <v>68.430000000000007</v>
      </c>
      <c r="U99" s="9" t="s">
        <v>55</v>
      </c>
      <c r="V99" s="24" t="str" cm="1">
        <f t="array" ref="V99">_xlfn.IFNA(
    _xlfn.IFS(
        ISNUMBER(SEARCH("Fast Outgoing Transfer",L99)),"Transfer",
        ISNUMBER(SEARCH("Incoming Fast Transfer",L99)),"Transfer",
        ISNUMBER(SEARCH("Outgoing International Transfer",L99)),"Transfer",
        ISNUMBER(SEARCH("Bill Payment",L99)),"SADAD",
        ISNUMBER(SEARCH("Payroll",L99)),"Payroll",
        ISNUMBER(SEARCH("Cash Deposit",L99)),"Cash",
        ISNUMBER(SEARCH("Internal Transfer",L99)),"Transfer",
        ISNUMBER(SEARCH("Expatriate Services Payment",L99)),"SADAD",
        ISNUMBER(SEARCH("Rejected",L99)),"Transfer"
    ),
    "-"
)</f>
        <v>Payroll</v>
      </c>
      <c r="W99" s="25" t="str" cm="1">
        <f t="array" ref="W99">_xlfn.IFNA(
    _xlfn.IFS(
        AND(V99="Transfer",ISNUMBER(SEARCH("RIYAD BANK",L99))),"External FI",
        AND(V99="Transfer",ISNUMBER(SEARCH("Al Ahli",L99))),"External FI",
        AND(V99="Transfer",ISNUMBER(SEARCH("CIB via",L99))),"Local Transfer",
        AND(V99="Transfer",ISNUMBER(SEARCH("CIB)",L99))),"Local Transfer",
        AND(V99="Transfer",ISNUMBER(SEARCH("SMRT",L99))),"Local Transfer",
        AND(V99="Transfer",ISNUMBER(SEARCH("Al Murabba",L99))),"Local Transfer",
        AND(V99="Transfer",ISNUMBER(SEARCH("Internal Transfer",L99))),"Same FI",
        AND(V99="Transfer",ISNUMBER(SEARCH("Rejected",L99))),"Failed",
        V99="SADAD",
            _xlfn.IFS(
                ISNUMBER(SEARCH("Expatriate",L99)),"Expat Fees",
                TRUE,"Online Payment"
            ),
        V99="Payroll","Payroll",
        V99="Cash","Deposit",
        TRUE,"-"
    ),
    "-"
)</f>
        <v>Payroll</v>
      </c>
      <c r="X99" s="25" t="str" cm="1">
        <f t="array" ref="X99">_xlfn.IFNA(
    _xlfn.IFS(
        V99="-","Low",
        W99="-","Low",
        TRUE,"High"
    ),
    "-"
)</f>
        <v>High</v>
      </c>
      <c r="Y99" s="25" t="str">
        <f t="shared" si="4"/>
        <v>-</v>
      </c>
      <c r="Z99" s="25" t="str" cm="1">
        <f t="array" ref="Z99">_xlfn.IFNA(
    _xlfn.IFS(
        ISNUMBER(SEARCH("Abdul Latif Jameel",M99)),"Lender",
        ISNUMBER(SEARCH("Abdullah Abdulkarim Al Sudais",M99)),"Accounting",
        ISNUMBER(SEARCH("Abdullah Fahad for Accounting",M99)),"Accounting",
        ISNUMBER(SEARCH("Abdullah Rashid Shaikh",M99)),"Shareholder",
        ISNUMBER(SEARCH("Advanced Equipments",M99)),"Equipment Rental",
        ISNUMBER(SEARCH("Al Banuk Sana",M99)),"Telecom Company",
        ISNUMBER(SEARCH("Al Khaleefa Factory",M99)),"Manufacturer",
        ISNUMBER(SEARCH("Al Saadeh Trading",M99)),"Trading Company",
        ISNUMBER(SEARCH("Al Zaehaan",M99)),"Trading Company",
        ISNUMBER(SEARCH("Ali Abdullah K Al Darwish",M99)),"Airlines",
        ISNUMBER(SEARCH("Bupa Arabia",M99)),"Health Insurance",
        ISNUMBER(SEARCH("Dar Fahoosaat",M99)),"Consultant",
        ISNUMBER(SEARCH("General Authority of Zakat",M99)),"Tax Collection",
        ISNUMBER(SEARCH("Gulf Voyager",M99)),"Travel Agency",
        ISNUMBER(SEARCH("Hopeway Trading",M99)),"Trading Company",
        ISNUMBER(SEARCH("Interhealth Medical",M99)),"Medical Services",
        ISNUMBER(SEARCH("Ishaar",M99)),"Online Payment Service",
        ISNUMBER(SEARCH("ISO Arabia",M99)),"Certification",
        ISNUMBER(SEARCH("Khalid Saad Al Otaibi",M99)),"Trading Company",
        ISNUMBER(SEARCH("MERAS for Decoration",M99)),"Decor Company",
        ISNUMBER(SEARCH("Middle East Customs Clearance",M99)),"Customs",
        ISNUMBER(SEARCH("Ministry of Human Resources",M99)),"Government",
        ISNUMBER(SEARCH("My Business Services",M99)),"Service Provider",
        ISNUMBER(SEARCH("National Water Company",M99)),"Water Company",
        ISNUMBER(SEARCH("Rania Contracting",M99)),"Contracting",
        ISNUMBER(SEARCH("Rashid Ali Sheikh",M99)),"Shareholder",
        ISNUMBER(SEARCH("Sahab United Motors",M99)),"Car Show Room",
        ISNUMBER(SEARCH("Saud Mohammed Al Tamimi",M99)),"Shareholder",
        ISNUMBER(SEARCH("Saud Mohammed Tamimi",M99)),"Shareholder",
        ISNUMBER(SEARCH("Saudi Electric Company",M99)),"Electricity Company",
        ISNUMBER(SEARCH("Saudi Vetonit",M99)),"Building Materials",
        ISNUMBER(SEARCH("Shomoul Eng",M99)),"Safety",
        ISNUMBER(SEARCH("STC",M99)),"Telecom Company",
        ISNUMBER(SEARCH("The General Organization for Social Insurance",M99)),"Social Insurance Agency",
        ISNUMBER(SEARCH("TUV Rheinland",M99)),"Certification",
        ISNUMBER(SEARCH("Al Arabia Ceramic",M99)),"Building Materials",
        ISNUMBER(SEARCH("National Company for Building and Marketing",M99)),"Parent Company",
        ISNUMBER(SEARCH("Athraa Holding",M99)),"Holding Company",
        ISNUMBER(SEARCH("Al Rasan",M99)),"Contracting",
        ISNUMBER(SEARCH("Raboua Al Haid",M99)),"Trading Company",
        ISNUMBER(SEARCH("Al Jazeera Paint",M99)),"Manufacturer",
        ISNUMBER(SEARCH("Rania Works Contracting",M99)),"Contracting",
        ISNUMBER(SEARCH("Bandar Jarallah",M99)),"Trading Establishment",
        ISNUMBER(SEARCH("RS Infratec Saudi",M99)),"Same Company",
        ISNUMBER(SEARCH("Payroll",M99)),"Bank",
        ISNUMBER(SEARCH("Expatriate",M99)),"Government",
        ISNUMBER(SEARCH("Unknown Sender",M99)),"Unknown",
        TRUE,"Unknown"
    ),
    "-"
)</f>
        <v>Bank</v>
      </c>
      <c r="AA99" s="25" t="str" cm="1">
        <f t="array" ref="AA99">_xlfn.IFNA(
    _xlfn.IFS(
        Z99="Lender","Financing",
        Z99="Accounting","Accounting",
        Z99="Shareholder","Individual",
        Z99="Equipment Rental","Equipment Rental",
        Z99="Telecom Company","Telecom",
        Z99="Manufacturer","Manufacturer",
        Z99="Trading Company","Trading And Transport",
        Z99="Trading Establishment","Trading",
        Z99="Airlines","Airlines",
        Z99="Health Insurance","Insurance",
        Z99="Consultant","Consultant",
        Z99="Tax Collection","Government",
        Z99="Travel Agency","Travel Agency",
        Z99="Medical Services","Medical Center",
        Z99="Online Payment Service","Payment Facilitator",
        Z99="Certification","Safety",
        Z99="Decor Company","Design",
        Z99="Customs","Customs",
        Z99="Government","Government",
        Z99="Service Provider","Service Provider",
        Z99="Water Company","Water Company",
        Z99="Contracting","Contracting",
        Z99="Car Show Room","Car Trader",
        Z99="Electricity Company","Electricity Company",
        Z99="Building Materials","Building Materials",
        Z99="Safety","Safety",
        Z99="Social Insurance Agency","Government Fund",
        Z99="Parent Company","Holding Company",
        Z99="Holding Company","Holding Company",
        Z99="Same Company","Construction",
        Z99="Bank","Bank",
        Z99="Unknown","Unknown",
        TRUE,"-"
    ),
    "-"
)</f>
        <v>Bank</v>
      </c>
      <c r="AB99" s="25" t="str">
        <f t="shared" si="5"/>
        <v>-</v>
      </c>
      <c r="AC99" s="25" t="str" cm="1">
        <f t="array" ref="AC99">_xlfn.IFNA(
    _xlfn.IFS(
        Z99="Shareholder","Shareholder",
        Z99="Same Company","Same Company",
        Z99="Bank","Bank",
        Z99="Government","Government",
        Z99="Social Insurance Agency","Government",
        Z99="Parent Company","Customer",
        Z99="Lender","Lender",
        Z99="Unknown","Unknown",
        ISNUMBER(SEARCH("Abdullah Abdulkarim",M99)),"Service Provider",
        ISNUMBER(SEARCH("Abdullah Fahad",M99)),"Service Provider",
        ISNUMBER(SEARCH("Advanced Equipments",M99)),"Supplier",
        ISNUMBER(SEARCH("Al Banuk Sana",M99)),"Supplier",
        ISNUMBER(SEARCH("Al Khaleefa Factory",M99)),"Supplier",
        ISNUMBER(SEARCH("Al Saadeh Trading",M99)),"Supplier",
        ISNUMBER(SEARCH("Al Zaehaan",M99)),"Supplier",
        ISNUMBER(SEARCH("Ali Abdullah K Al Darwish",M99)),"Service Provider",
        ISNUMBER(SEARCH("Bupa Arabia",M99)),"Insurance Company",
        ISNUMBER(SEARCH("Dar Fahoosaat",M99)),"Service Provider",
        ISNUMBER(SEARCH("General Authority of Zakat",M99)),"Tax Authority",
        ISNUMBER(SEARCH("Gulf Voyager",M99)),"Service Provider",
        ISNUMBER(SEARCH("Hopeway Trading",M99)),"Supplier",
        ISNUMBER(SEARCH("Interhealth Medical",M99)),"Customer",
        ISNUMBER(SEARCH("Ishaar",M99)),"Service Provider",
        ISNUMBER(SEARCH("ISO Arabia",M99)),"Service Provider",
        ISNUMBER(SEARCH("Khalid Saad Al Otaibi",M99)),"Supplier",
        ISNUMBER(SEARCH("MERAS for Decoration",M99)),"Supplier",
        ISNUMBER(SEARCH("Middle East Customs Clearance",M99)),"Service Provider",
        ISNUMBER(SEARCH("Ministry of Human Resources",M99)),"Regulatory Agency",
        ISNUMBER(SEARCH("My Business Services",M99)),"Service Provider",
        ISNUMBER(SEARCH("National Water Company",M99)),"Utility Provider",
        ISNUMBER(SEARCH("Rania Contracting",M99)),"Supplier",
        ISNUMBER(SEARCH("Sahab United Motors",M99)),"Supplier",
        ISNUMBER(SEARCH("Saudi Electric Company",M99)),"Utility Provider",
        ISNUMBER(SEARCH("Saudi Vetonit",M99)),"Supplier",
        ISNUMBER(SEARCH("Shomoul Eng",M99)),"Service Provider",
        ISNUMBER(SEARCH("STC",M99)),"Utility Provider",
        ISNUMBER(SEARCH("The General Organization for Social Insurance",M99)),"Social Insurance Agency",
        ISNUMBER(SEARCH("TUV Rheinland",M99)),"Service Provider",
        ISNUMBER(SEARCH("Al Arabia Ceramic",M99)),"Supplier",
        ISNUMBER(SEARCH("National Company for Building",M99)),"Customer",
        ISNUMBER(SEARCH("Athraa Holding",M99)),"Customer",
        ISNUMBER(SEARCH("Al Rasan",M99)),"Supplier",
        ISNUMBER(SEARCH("Raboua Al Haid",M99)),"Customer",
        ISNUMBER(SEARCH("Al Jazeera Paint",M99)),"Supplier",
        ISNUMBER(SEARCH("Rania Works Contracting",M99)),"Supplier",
        ISNUMBER(SEARCH("Bandar Jarallah",M99)),"Supplier",
        TRUE,"Supplier"
    ),
    "-"
)</f>
        <v>Bank</v>
      </c>
      <c r="AD99" s="25" t="str" cm="1">
        <f t="array" ref="AD99">_xlfn.IFNA(
    _xlfn.IFS(
        AC99="Same Company","High",
        AC99="Shareholder","High",
        AC99="Government","High",
        AC99="Bank","High",
        AC99="Lender","High",
        AC99="Unknown","Low",
        AC99="-","Low",
        TRUE,"Medium"
    ),
    "-"
)</f>
        <v>High</v>
      </c>
      <c r="AE99" s="25" t="str">
        <f t="shared" si="6"/>
        <v>-</v>
      </c>
      <c r="AF99" s="25" t="str" cm="1">
        <f t="array" ref="AF99">_xlfn.IFNA(
    _xlfn.IFS(
        K99="Credit",
            _xlfn.IFS(
                OR(ISNUMBER(SEARCH("Rejected",L99)),ISNUMBER(SEARCH("Returned",L99))),"Other Income",
                TRUE,"Revenue"
            ),
        K99="Debit",
            _xlfn.IFS(
                ISNUMBER(SEARCH("Payroll",L99)),"OPEX",
                ISNUMBER(SEARCH("Expatriate",L99)),"OPEX",
                ISNUMBER(SEARCH("Zakat",M99)),"ZATCA",
                ISNUMBER(SEARCH("General Organization for Social Insurance",M99)),"OPEX",
                ISNUMBER(SEARCH("Saudi Electric",M99)),"OPEX",
                ISNUMBER(SEARCH("STC",M99)),"OPEX",
                ISNUMBER(SEARCH("National Water",M99)),"OPEX",
                ISNUMBER(SEARCH("Bupa",M99)),"OPEX",
                ISNUMBER(SEARCH("Abdullah Abdulkarim",M99)),"OPEX",
                ISNUMBER(SEARCH("Abdullah Fahad",M99)),"OPEX",
                ISNUMBER(SEARCH("ISO Arabia",M99)),"OPEX",
                ISNUMBER(SEARCH("Gulf Voyager",M99)),"OPEX",
                ISNUMBER(SEARCH("Ministry",M99)),"OPEX",
                ISNUMBER(SEARCH("General Authority of Zakat",M99)),"ZATCA",
                ISNUMBER(SEARCH("Rejected",L99)),"Other Income",
                TRUE,"COGS"
            ),
        TRUE,"-"
    ),
    "-"
)</f>
        <v>OPEX</v>
      </c>
      <c r="AG99" s="25" t="str" cm="1">
        <f t="array" ref="AG99">_xlfn.IFNA(
    _xlfn.IFS(
        ISNUMBER(SEARCH("Payroll",L99)),"Payroll",
        ISNUMBER(SEARCH("Expatriate",L99)),"Government Fees",
        ISNUMBER(SEARCH("Zakat",M99)),"Zakat",
        ISNUMBER(SEARCH("Social Insurance",M99)),"Social Insurance",
        ISNUMBER(SEARCH("Saudi Electric",M99)),"Electricity",
        ISNUMBER(SEARCH("STC",M99)),"Telecom",
        ISNUMBER(SEARCH("National Water",M99)),"Water",
        ISNUMBER(SEARCH("Bupa",M99)),"Insurance",
        ISNUMBER(SEARCH("Gulf Voyager",M99)),"Travel",
        ISNUMBER(SEARCH("Ministry",M99)),"Government Fees",
        ISNUMBER(SEARCH("Abdullah Abdulkarim",M99)),"Consulting",
        ISNUMBER(SEARCH("Abdullah Fahad",M99)),"Accounting",
        ISNUMBER(SEARCH("ISO Arabia",M99)),"Consulting",
        ISNUMBER(SEARCH("Rejected",L99)),"Refund",
        AF99="COGS","Inventory Purchase",
        AF99="Revenue","Revenue",
        AF99="OPEX","Other",
        AF99="ZATCA","Zakat",
        TRUE,"-"
    ),
    "-"
)</f>
        <v>Payroll</v>
      </c>
      <c r="AH99" s="25" t="str" cm="1">
        <f t="array" ref="AH99">_xlfn.IFNA(
    _xlfn.IFS(
        AF99="-","Low",
        AF99="Other","Low",
        TRUE,"Medium"
    ),
    "-"
)</f>
        <v>Medium</v>
      </c>
      <c r="AI99" s="25" t="str">
        <f t="shared" si="7"/>
        <v>-</v>
      </c>
    </row>
    <row r="100" spans="1:35" x14ac:dyDescent="0.25">
      <c r="A100" s="10">
        <v>5</v>
      </c>
      <c r="B100" s="10" t="s">
        <v>35</v>
      </c>
      <c r="C100" s="10" t="s">
        <v>36</v>
      </c>
      <c r="D100" s="10" t="s">
        <v>37</v>
      </c>
      <c r="E100" s="10" t="s">
        <v>38</v>
      </c>
      <c r="F100" s="11" t="s">
        <v>39</v>
      </c>
      <c r="G100" s="11" t="s">
        <v>40</v>
      </c>
      <c r="H100" s="12">
        <v>44931</v>
      </c>
      <c r="I100" s="20">
        <v>69980.58</v>
      </c>
      <c r="J100" s="20">
        <v>32.200000000000003</v>
      </c>
      <c r="K100" s="10" t="s">
        <v>41</v>
      </c>
      <c r="L100" s="9" t="s">
        <v>335</v>
      </c>
      <c r="M100" s="9" t="s">
        <v>335</v>
      </c>
      <c r="O100" s="9" t="s">
        <v>226</v>
      </c>
      <c r="P100" s="15">
        <v>44931</v>
      </c>
      <c r="R100" s="16">
        <v>32.200000000000003</v>
      </c>
      <c r="U100" s="9" t="s">
        <v>55</v>
      </c>
      <c r="V100" s="24" t="str" cm="1">
        <f t="array" ref="V100">_xlfn.IFNA(
    _xlfn.IFS(
        ISNUMBER(SEARCH("Fast Outgoing Transfer",L100)),"Transfer",
        ISNUMBER(SEARCH("Incoming Fast Transfer",L100)),"Transfer",
        ISNUMBER(SEARCH("Outgoing International Transfer",L100)),"Transfer",
        ISNUMBER(SEARCH("Bill Payment",L100)),"SADAD",
        ISNUMBER(SEARCH("Payroll",L100)),"Payroll",
        ISNUMBER(SEARCH("Cash Deposit",L100)),"Cash",
        ISNUMBER(SEARCH("Internal Transfer",L100)),"Transfer",
        ISNUMBER(SEARCH("Expatriate Services Payment",L100)),"SADAD",
        ISNUMBER(SEARCH("Rejected",L100)),"Transfer"
    ),
    "-"
)</f>
        <v>Payroll</v>
      </c>
      <c r="W100" s="25" t="str" cm="1">
        <f t="array" ref="W100">_xlfn.IFNA(
    _xlfn.IFS(
        AND(V100="Transfer",ISNUMBER(SEARCH("RIYAD BANK",L100))),"External FI",
        AND(V100="Transfer",ISNUMBER(SEARCH("Al Ahli",L100))),"External FI",
        AND(V100="Transfer",ISNUMBER(SEARCH("CIB via",L100))),"Local Transfer",
        AND(V100="Transfer",ISNUMBER(SEARCH("CIB)",L100))),"Local Transfer",
        AND(V100="Transfer",ISNUMBER(SEARCH("SMRT",L100))),"Local Transfer",
        AND(V100="Transfer",ISNUMBER(SEARCH("Al Murabba",L100))),"Local Transfer",
        AND(V100="Transfer",ISNUMBER(SEARCH("Internal Transfer",L100))),"Same FI",
        AND(V100="Transfer",ISNUMBER(SEARCH("Rejected",L100))),"Failed",
        V100="SADAD",
            _xlfn.IFS(
                ISNUMBER(SEARCH("Expatriate",L100)),"Expat Fees",
                TRUE,"Online Payment"
            ),
        V100="Payroll","Payroll",
        V100="Cash","Deposit",
        TRUE,"-"
    ),
    "-"
)</f>
        <v>Payroll</v>
      </c>
      <c r="X100" s="25" t="str" cm="1">
        <f t="array" ref="X100">_xlfn.IFNA(
    _xlfn.IFS(
        V100="-","Low",
        W100="-","Low",
        TRUE,"High"
    ),
    "-"
)</f>
        <v>High</v>
      </c>
      <c r="Y100" s="25" t="str">
        <f t="shared" si="4"/>
        <v>-</v>
      </c>
      <c r="Z100" s="25" t="str" cm="1">
        <f t="array" ref="Z100">_xlfn.IFNA(
    _xlfn.IFS(
        ISNUMBER(SEARCH("Abdul Latif Jameel",M100)),"Lender",
        ISNUMBER(SEARCH("Abdullah Abdulkarim Al Sudais",M100)),"Accounting",
        ISNUMBER(SEARCH("Abdullah Fahad for Accounting",M100)),"Accounting",
        ISNUMBER(SEARCH("Abdullah Rashid Shaikh",M100)),"Shareholder",
        ISNUMBER(SEARCH("Advanced Equipments",M100)),"Equipment Rental",
        ISNUMBER(SEARCH("Al Banuk Sana",M100)),"Telecom Company",
        ISNUMBER(SEARCH("Al Khaleefa Factory",M100)),"Manufacturer",
        ISNUMBER(SEARCH("Al Saadeh Trading",M100)),"Trading Company",
        ISNUMBER(SEARCH("Al Zaehaan",M100)),"Trading Company",
        ISNUMBER(SEARCH("Ali Abdullah K Al Darwish",M100)),"Airlines",
        ISNUMBER(SEARCH("Bupa Arabia",M100)),"Health Insurance",
        ISNUMBER(SEARCH("Dar Fahoosaat",M100)),"Consultant",
        ISNUMBER(SEARCH("General Authority of Zakat",M100)),"Tax Collection",
        ISNUMBER(SEARCH("Gulf Voyager",M100)),"Travel Agency",
        ISNUMBER(SEARCH("Hopeway Trading",M100)),"Trading Company",
        ISNUMBER(SEARCH("Interhealth Medical",M100)),"Medical Services",
        ISNUMBER(SEARCH("Ishaar",M100)),"Online Payment Service",
        ISNUMBER(SEARCH("ISO Arabia",M100)),"Certification",
        ISNUMBER(SEARCH("Khalid Saad Al Otaibi",M100)),"Trading Company",
        ISNUMBER(SEARCH("MERAS for Decoration",M100)),"Decor Company",
        ISNUMBER(SEARCH("Middle East Customs Clearance",M100)),"Customs",
        ISNUMBER(SEARCH("Ministry of Human Resources",M100)),"Government",
        ISNUMBER(SEARCH("My Business Services",M100)),"Service Provider",
        ISNUMBER(SEARCH("National Water Company",M100)),"Water Company",
        ISNUMBER(SEARCH("Rania Contracting",M100)),"Contracting",
        ISNUMBER(SEARCH("Rashid Ali Sheikh",M100)),"Shareholder",
        ISNUMBER(SEARCH("Sahab United Motors",M100)),"Car Show Room",
        ISNUMBER(SEARCH("Saud Mohammed Al Tamimi",M100)),"Shareholder",
        ISNUMBER(SEARCH("Saud Mohammed Tamimi",M100)),"Shareholder",
        ISNUMBER(SEARCH("Saudi Electric Company",M100)),"Electricity Company",
        ISNUMBER(SEARCH("Saudi Vetonit",M100)),"Building Materials",
        ISNUMBER(SEARCH("Shomoul Eng",M100)),"Safety",
        ISNUMBER(SEARCH("STC",M100)),"Telecom Company",
        ISNUMBER(SEARCH("The General Organization for Social Insurance",M100)),"Social Insurance Agency",
        ISNUMBER(SEARCH("TUV Rheinland",M100)),"Certification",
        ISNUMBER(SEARCH("Al Arabia Ceramic",M100)),"Building Materials",
        ISNUMBER(SEARCH("National Company for Building and Marketing",M100)),"Parent Company",
        ISNUMBER(SEARCH("Athraa Holding",M100)),"Holding Company",
        ISNUMBER(SEARCH("Al Rasan",M100)),"Contracting",
        ISNUMBER(SEARCH("Raboua Al Haid",M100)),"Trading Company",
        ISNUMBER(SEARCH("Al Jazeera Paint",M100)),"Manufacturer",
        ISNUMBER(SEARCH("Rania Works Contracting",M100)),"Contracting",
        ISNUMBER(SEARCH("Bandar Jarallah",M100)),"Trading Establishment",
        ISNUMBER(SEARCH("RS Infratec Saudi",M100)),"Same Company",
        ISNUMBER(SEARCH("Payroll",M100)),"Bank",
        ISNUMBER(SEARCH("Expatriate",M100)),"Government",
        ISNUMBER(SEARCH("Unknown Sender",M100)),"Unknown",
        TRUE,"Unknown"
    ),
    "-"
)</f>
        <v>Bank</v>
      </c>
      <c r="AA100" s="25" t="str" cm="1">
        <f t="array" ref="AA100">_xlfn.IFNA(
    _xlfn.IFS(
        Z100="Lender","Financing",
        Z100="Accounting","Accounting",
        Z100="Shareholder","Individual",
        Z100="Equipment Rental","Equipment Rental",
        Z100="Telecom Company","Telecom",
        Z100="Manufacturer","Manufacturer",
        Z100="Trading Company","Trading And Transport",
        Z100="Trading Establishment","Trading",
        Z100="Airlines","Airlines",
        Z100="Health Insurance","Insurance",
        Z100="Consultant","Consultant",
        Z100="Tax Collection","Government",
        Z100="Travel Agency","Travel Agency",
        Z100="Medical Services","Medical Center",
        Z100="Online Payment Service","Payment Facilitator",
        Z100="Certification","Safety",
        Z100="Decor Company","Design",
        Z100="Customs","Customs",
        Z100="Government","Government",
        Z100="Service Provider","Service Provider",
        Z100="Water Company","Water Company",
        Z100="Contracting","Contracting",
        Z100="Car Show Room","Car Trader",
        Z100="Electricity Company","Electricity Company",
        Z100="Building Materials","Building Materials",
        Z100="Safety","Safety",
        Z100="Social Insurance Agency","Government Fund",
        Z100="Parent Company","Holding Company",
        Z100="Holding Company","Holding Company",
        Z100="Same Company","Construction",
        Z100="Bank","Bank",
        Z100="Unknown","Unknown",
        TRUE,"-"
    ),
    "-"
)</f>
        <v>Bank</v>
      </c>
      <c r="AB100" s="25" t="str">
        <f t="shared" si="5"/>
        <v>-</v>
      </c>
      <c r="AC100" s="25" t="str" cm="1">
        <f t="array" ref="AC100">_xlfn.IFNA(
    _xlfn.IFS(
        Z100="Shareholder","Shareholder",
        Z100="Same Company","Same Company",
        Z100="Bank","Bank",
        Z100="Government","Government",
        Z100="Social Insurance Agency","Government",
        Z100="Parent Company","Customer",
        Z100="Lender","Lender",
        Z100="Unknown","Unknown",
        ISNUMBER(SEARCH("Abdullah Abdulkarim",M100)),"Service Provider",
        ISNUMBER(SEARCH("Abdullah Fahad",M100)),"Service Provider",
        ISNUMBER(SEARCH("Advanced Equipments",M100)),"Supplier",
        ISNUMBER(SEARCH("Al Banuk Sana",M100)),"Supplier",
        ISNUMBER(SEARCH("Al Khaleefa Factory",M100)),"Supplier",
        ISNUMBER(SEARCH("Al Saadeh Trading",M100)),"Supplier",
        ISNUMBER(SEARCH("Al Zaehaan",M100)),"Supplier",
        ISNUMBER(SEARCH("Ali Abdullah K Al Darwish",M100)),"Service Provider",
        ISNUMBER(SEARCH("Bupa Arabia",M100)),"Insurance Company",
        ISNUMBER(SEARCH("Dar Fahoosaat",M100)),"Service Provider",
        ISNUMBER(SEARCH("General Authority of Zakat",M100)),"Tax Authority",
        ISNUMBER(SEARCH("Gulf Voyager",M100)),"Service Provider",
        ISNUMBER(SEARCH("Hopeway Trading",M100)),"Supplier",
        ISNUMBER(SEARCH("Interhealth Medical",M100)),"Customer",
        ISNUMBER(SEARCH("Ishaar",M100)),"Service Provider",
        ISNUMBER(SEARCH("ISO Arabia",M100)),"Service Provider",
        ISNUMBER(SEARCH("Khalid Saad Al Otaibi",M100)),"Supplier",
        ISNUMBER(SEARCH("MERAS for Decoration",M100)),"Supplier",
        ISNUMBER(SEARCH("Middle East Customs Clearance",M100)),"Service Provider",
        ISNUMBER(SEARCH("Ministry of Human Resources",M100)),"Regulatory Agency",
        ISNUMBER(SEARCH("My Business Services",M100)),"Service Provider",
        ISNUMBER(SEARCH("National Water Company",M100)),"Utility Provider",
        ISNUMBER(SEARCH("Rania Contracting",M100)),"Supplier",
        ISNUMBER(SEARCH("Sahab United Motors",M100)),"Supplier",
        ISNUMBER(SEARCH("Saudi Electric Company",M100)),"Utility Provider",
        ISNUMBER(SEARCH("Saudi Vetonit",M100)),"Supplier",
        ISNUMBER(SEARCH("Shomoul Eng",M100)),"Service Provider",
        ISNUMBER(SEARCH("STC",M100)),"Utility Provider",
        ISNUMBER(SEARCH("The General Organization for Social Insurance",M100)),"Social Insurance Agency",
        ISNUMBER(SEARCH("TUV Rheinland",M100)),"Service Provider",
        ISNUMBER(SEARCH("Al Arabia Ceramic",M100)),"Supplier",
        ISNUMBER(SEARCH("National Company for Building",M100)),"Customer",
        ISNUMBER(SEARCH("Athraa Holding",M100)),"Customer",
        ISNUMBER(SEARCH("Al Rasan",M100)),"Supplier",
        ISNUMBER(SEARCH("Raboua Al Haid",M100)),"Customer",
        ISNUMBER(SEARCH("Al Jazeera Paint",M100)),"Supplier",
        ISNUMBER(SEARCH("Rania Works Contracting",M100)),"Supplier",
        ISNUMBER(SEARCH("Bandar Jarallah",M100)),"Supplier",
        TRUE,"Supplier"
    ),
    "-"
)</f>
        <v>Bank</v>
      </c>
      <c r="AD100" s="25" t="str" cm="1">
        <f t="array" ref="AD100">_xlfn.IFNA(
    _xlfn.IFS(
        AC100="Same Company","High",
        AC100="Shareholder","High",
        AC100="Government","High",
        AC100="Bank","High",
        AC100="Lender","High",
        AC100="Unknown","Low",
        AC100="-","Low",
        TRUE,"Medium"
    ),
    "-"
)</f>
        <v>High</v>
      </c>
      <c r="AE100" s="25" t="str">
        <f t="shared" si="6"/>
        <v>-</v>
      </c>
      <c r="AF100" s="25" t="str" cm="1">
        <f t="array" ref="AF100">_xlfn.IFNA(
    _xlfn.IFS(
        K100="Credit",
            _xlfn.IFS(
                OR(ISNUMBER(SEARCH("Rejected",L100)),ISNUMBER(SEARCH("Returned",L100))),"Other Income",
                TRUE,"Revenue"
            ),
        K100="Debit",
            _xlfn.IFS(
                ISNUMBER(SEARCH("Payroll",L100)),"OPEX",
                ISNUMBER(SEARCH("Expatriate",L100)),"OPEX",
                ISNUMBER(SEARCH("Zakat",M100)),"ZATCA",
                ISNUMBER(SEARCH("General Organization for Social Insurance",M100)),"OPEX",
                ISNUMBER(SEARCH("Saudi Electric",M100)),"OPEX",
                ISNUMBER(SEARCH("STC",M100)),"OPEX",
                ISNUMBER(SEARCH("National Water",M100)),"OPEX",
                ISNUMBER(SEARCH("Bupa",M100)),"OPEX",
                ISNUMBER(SEARCH("Abdullah Abdulkarim",M100)),"OPEX",
                ISNUMBER(SEARCH("Abdullah Fahad",M100)),"OPEX",
                ISNUMBER(SEARCH("ISO Arabia",M100)),"OPEX",
                ISNUMBER(SEARCH("Gulf Voyager",M100)),"OPEX",
                ISNUMBER(SEARCH("Ministry",M100)),"OPEX",
                ISNUMBER(SEARCH("General Authority of Zakat",M100)),"ZATCA",
                ISNUMBER(SEARCH("Rejected",L100)),"Other Income",
                TRUE,"COGS"
            ),
        TRUE,"-"
    ),
    "-"
)</f>
        <v>OPEX</v>
      </c>
      <c r="AG100" s="25" t="str" cm="1">
        <f t="array" ref="AG100">_xlfn.IFNA(
    _xlfn.IFS(
        ISNUMBER(SEARCH("Payroll",L100)),"Payroll",
        ISNUMBER(SEARCH("Expatriate",L100)),"Government Fees",
        ISNUMBER(SEARCH("Zakat",M100)),"Zakat",
        ISNUMBER(SEARCH("Social Insurance",M100)),"Social Insurance",
        ISNUMBER(SEARCH("Saudi Electric",M100)),"Electricity",
        ISNUMBER(SEARCH("STC",M100)),"Telecom",
        ISNUMBER(SEARCH("National Water",M100)),"Water",
        ISNUMBER(SEARCH("Bupa",M100)),"Insurance",
        ISNUMBER(SEARCH("Gulf Voyager",M100)),"Travel",
        ISNUMBER(SEARCH("Ministry",M100)),"Government Fees",
        ISNUMBER(SEARCH("Abdullah Abdulkarim",M100)),"Consulting",
        ISNUMBER(SEARCH("Abdullah Fahad",M100)),"Accounting",
        ISNUMBER(SEARCH("ISO Arabia",M100)),"Consulting",
        ISNUMBER(SEARCH("Rejected",L100)),"Refund",
        AF100="COGS","Inventory Purchase",
        AF100="Revenue","Revenue",
        AF100="OPEX","Other",
        AF100="ZATCA","Zakat",
        TRUE,"-"
    ),
    "-"
)</f>
        <v>Payroll</v>
      </c>
      <c r="AH100" s="25" t="str" cm="1">
        <f t="array" ref="AH100">_xlfn.IFNA(
    _xlfn.IFS(
        AF100="-","Low",
        AF100="Other","Low",
        TRUE,"Medium"
    ),
    "-"
)</f>
        <v>Medium</v>
      </c>
      <c r="AI100" s="25" t="str">
        <f t="shared" si="7"/>
        <v>-</v>
      </c>
    </row>
    <row r="101" spans="1:35" x14ac:dyDescent="0.25">
      <c r="A101" s="10">
        <v>6</v>
      </c>
      <c r="B101" s="10" t="s">
        <v>35</v>
      </c>
      <c r="C101" s="10" t="s">
        <v>36</v>
      </c>
      <c r="D101" s="10" t="s">
        <v>37</v>
      </c>
      <c r="E101" s="10" t="s">
        <v>38</v>
      </c>
      <c r="F101" s="11" t="s">
        <v>39</v>
      </c>
      <c r="G101" s="11" t="s">
        <v>40</v>
      </c>
      <c r="H101" s="12">
        <v>44942</v>
      </c>
      <c r="I101" s="20">
        <v>163282.62</v>
      </c>
      <c r="J101" s="20">
        <v>5751.15</v>
      </c>
      <c r="K101" s="10" t="s">
        <v>41</v>
      </c>
      <c r="L101" s="9" t="s">
        <v>56</v>
      </c>
      <c r="M101" s="9" t="s">
        <v>57</v>
      </c>
      <c r="N101" s="9" t="s">
        <v>58</v>
      </c>
      <c r="O101" s="9" t="s">
        <v>59</v>
      </c>
      <c r="P101" s="15">
        <v>44942</v>
      </c>
      <c r="Q101" s="9" t="s">
        <v>60</v>
      </c>
      <c r="R101" s="16">
        <v>5750</v>
      </c>
      <c r="S101" s="18">
        <v>1</v>
      </c>
      <c r="T101" s="18">
        <v>0.15</v>
      </c>
      <c r="U101" s="9" t="s">
        <v>55</v>
      </c>
      <c r="V101" s="24" t="str" cm="1">
        <f t="array" ref="V101">_xlfn.IFNA(
    _xlfn.IFS(
        ISNUMBER(SEARCH("Fast Outgoing Transfer",L101)),"Transfer",
        ISNUMBER(SEARCH("Incoming Fast Transfer",L101)),"Transfer",
        ISNUMBER(SEARCH("Outgoing International Transfer",L101)),"Transfer",
        ISNUMBER(SEARCH("Bill Payment",L101)),"SADAD",
        ISNUMBER(SEARCH("Payroll",L101)),"Payroll",
        ISNUMBER(SEARCH("Cash Deposit",L101)),"Cash",
        ISNUMBER(SEARCH("Internal Transfer",L101)),"Transfer",
        ISNUMBER(SEARCH("Expatriate Services Payment",L101)),"SADAD",
        ISNUMBER(SEARCH("Rejected",L101)),"Transfer"
    ),
    "-"
)</f>
        <v>Transfer</v>
      </c>
      <c r="W101" s="25" t="str" cm="1">
        <f t="array" ref="W101">_xlfn.IFNA(
    _xlfn.IFS(
        AND(V101="Transfer",ISNUMBER(SEARCH("RIYAD BANK",L101))),"External FI",
        AND(V101="Transfer",ISNUMBER(SEARCH("Al Ahli",L101))),"External FI",
        AND(V101="Transfer",ISNUMBER(SEARCH("CIB via",L101))),"Local Transfer",
        AND(V101="Transfer",ISNUMBER(SEARCH("CIB)",L101))),"Local Transfer",
        AND(V101="Transfer",ISNUMBER(SEARCH("SMRT",L101))),"Local Transfer",
        AND(V101="Transfer",ISNUMBER(SEARCH("Al Murabba",L101))),"Local Transfer",
        AND(V101="Transfer",ISNUMBER(SEARCH("Internal Transfer",L101))),"Same FI",
        AND(V101="Transfer",ISNUMBER(SEARCH("Rejected",L101))),"Failed",
        V101="SADAD",
            _xlfn.IFS(
                ISNUMBER(SEARCH("Expatriate",L101)),"Expat Fees",
                TRUE,"Online Payment"
            ),
        V101="Payroll","Payroll",
        V101="Cash","Deposit",
        TRUE,"-"
    ),
    "-"
)</f>
        <v>Local Transfer</v>
      </c>
      <c r="X101" s="25" t="str" cm="1">
        <f t="array" ref="X101">_xlfn.IFNA(
    _xlfn.IFS(
        V101="-","Low",
        W101="-","Low",
        TRUE,"High"
    ),
    "-"
)</f>
        <v>High</v>
      </c>
      <c r="Y101" s="25" t="str">
        <f t="shared" si="4"/>
        <v>-</v>
      </c>
      <c r="Z101" s="25" t="str" cm="1">
        <f t="array" ref="Z101">_xlfn.IFNA(
    _xlfn.IFS(
        ISNUMBER(SEARCH("Abdul Latif Jameel",M101)),"Lender",
        ISNUMBER(SEARCH("Abdullah Abdulkarim Al Sudais",M101)),"Accounting",
        ISNUMBER(SEARCH("Abdullah Fahad for Accounting",M101)),"Accounting",
        ISNUMBER(SEARCH("Abdullah Rashid Shaikh",M101)),"Shareholder",
        ISNUMBER(SEARCH("Advanced Equipments",M101)),"Equipment Rental",
        ISNUMBER(SEARCH("Al Banuk Sana",M101)),"Telecom Company",
        ISNUMBER(SEARCH("Al Khaleefa Factory",M101)),"Manufacturer",
        ISNUMBER(SEARCH("Al Saadeh Trading",M101)),"Trading Company",
        ISNUMBER(SEARCH("Al Zaehaan",M101)),"Trading Company",
        ISNUMBER(SEARCH("Ali Abdullah K Al Darwish",M101)),"Airlines",
        ISNUMBER(SEARCH("Bupa Arabia",M101)),"Health Insurance",
        ISNUMBER(SEARCH("Dar Fahoosaat",M101)),"Consultant",
        ISNUMBER(SEARCH("General Authority of Zakat",M101)),"Tax Collection",
        ISNUMBER(SEARCH("Gulf Voyager",M101)),"Travel Agency",
        ISNUMBER(SEARCH("Hopeway Trading",M101)),"Trading Company",
        ISNUMBER(SEARCH("Interhealth Medical",M101)),"Medical Services",
        ISNUMBER(SEARCH("Ishaar",M101)),"Online Payment Service",
        ISNUMBER(SEARCH("ISO Arabia",M101)),"Certification",
        ISNUMBER(SEARCH("Khalid Saad Al Otaibi",M101)),"Trading Company",
        ISNUMBER(SEARCH("MERAS for Decoration",M101)),"Decor Company",
        ISNUMBER(SEARCH("Middle East Customs Clearance",M101)),"Customs",
        ISNUMBER(SEARCH("Ministry of Human Resources",M101)),"Government",
        ISNUMBER(SEARCH("My Business Services",M101)),"Service Provider",
        ISNUMBER(SEARCH("National Water Company",M101)),"Water Company",
        ISNUMBER(SEARCH("Rania Contracting",M101)),"Contracting",
        ISNUMBER(SEARCH("Rashid Ali Sheikh",M101)),"Shareholder",
        ISNUMBER(SEARCH("Sahab United Motors",M101)),"Car Show Room",
        ISNUMBER(SEARCH("Saud Mohammed Al Tamimi",M101)),"Shareholder",
        ISNUMBER(SEARCH("Saud Mohammed Tamimi",M101)),"Shareholder",
        ISNUMBER(SEARCH("Saudi Electric Company",M101)),"Electricity Company",
        ISNUMBER(SEARCH("Saudi Vetonit",M101)),"Building Materials",
        ISNUMBER(SEARCH("Shomoul Eng",M101)),"Safety",
        ISNUMBER(SEARCH("STC",M101)),"Telecom Company",
        ISNUMBER(SEARCH("The General Organization for Social Insurance",M101)),"Social Insurance Agency",
        ISNUMBER(SEARCH("TUV Rheinland",M101)),"Certification",
        ISNUMBER(SEARCH("Al Arabia Ceramic",M101)),"Building Materials",
        ISNUMBER(SEARCH("National Company for Building and Marketing",M101)),"Parent Company",
        ISNUMBER(SEARCH("Athraa Holding",M101)),"Holding Company",
        ISNUMBER(SEARCH("Al Rasan",M101)),"Contracting",
        ISNUMBER(SEARCH("Raboua Al Haid",M101)),"Trading Company",
        ISNUMBER(SEARCH("Al Jazeera Paint",M101)),"Manufacturer",
        ISNUMBER(SEARCH("Rania Works Contracting",M101)),"Contracting",
        ISNUMBER(SEARCH("Bandar Jarallah",M101)),"Trading Establishment",
        ISNUMBER(SEARCH("RS Infratec Saudi",M101)),"Same Company",
        ISNUMBER(SEARCH("Payroll",M101)),"Bank",
        ISNUMBER(SEARCH("Expatriate",M101)),"Government",
        ISNUMBER(SEARCH("Unknown Sender",M101)),"Unknown",
        TRUE,"Unknown"
    ),
    "-"
)</f>
        <v>Accounting</v>
      </c>
      <c r="AA101" s="25" t="str" cm="1">
        <f t="array" ref="AA101">_xlfn.IFNA(
    _xlfn.IFS(
        Z101="Lender","Financing",
        Z101="Accounting","Accounting",
        Z101="Shareholder","Individual",
        Z101="Equipment Rental","Equipment Rental",
        Z101="Telecom Company","Telecom",
        Z101="Manufacturer","Manufacturer",
        Z101="Trading Company","Trading And Transport",
        Z101="Trading Establishment","Trading",
        Z101="Airlines","Airlines",
        Z101="Health Insurance","Insurance",
        Z101="Consultant","Consultant",
        Z101="Tax Collection","Government",
        Z101="Travel Agency","Travel Agency",
        Z101="Medical Services","Medical Center",
        Z101="Online Payment Service","Payment Facilitator",
        Z101="Certification","Safety",
        Z101="Decor Company","Design",
        Z101="Customs","Customs",
        Z101="Government","Government",
        Z101="Service Provider","Service Provider",
        Z101="Water Company","Water Company",
        Z101="Contracting","Contracting",
        Z101="Car Show Room","Car Trader",
        Z101="Electricity Company","Electricity Company",
        Z101="Building Materials","Building Materials",
        Z101="Safety","Safety",
        Z101="Social Insurance Agency","Government Fund",
        Z101="Parent Company","Holding Company",
        Z101="Holding Company","Holding Company",
        Z101="Same Company","Construction",
        Z101="Bank","Bank",
        Z101="Unknown","Unknown",
        TRUE,"-"
    ),
    "-"
)</f>
        <v>Accounting</v>
      </c>
      <c r="AB101" s="25" t="str">
        <f t="shared" si="5"/>
        <v>-</v>
      </c>
      <c r="AC101" s="25" t="str" cm="1">
        <f t="array" ref="AC101">_xlfn.IFNA(
    _xlfn.IFS(
        Z101="Shareholder","Shareholder",
        Z101="Same Company","Same Company",
        Z101="Bank","Bank",
        Z101="Government","Government",
        Z101="Social Insurance Agency","Government",
        Z101="Parent Company","Customer",
        Z101="Lender","Lender",
        Z101="Unknown","Unknown",
        ISNUMBER(SEARCH("Abdullah Abdulkarim",M101)),"Service Provider",
        ISNUMBER(SEARCH("Abdullah Fahad",M101)),"Service Provider",
        ISNUMBER(SEARCH("Advanced Equipments",M101)),"Supplier",
        ISNUMBER(SEARCH("Al Banuk Sana",M101)),"Supplier",
        ISNUMBER(SEARCH("Al Khaleefa Factory",M101)),"Supplier",
        ISNUMBER(SEARCH("Al Saadeh Trading",M101)),"Supplier",
        ISNUMBER(SEARCH("Al Zaehaan",M101)),"Supplier",
        ISNUMBER(SEARCH("Ali Abdullah K Al Darwish",M101)),"Service Provider",
        ISNUMBER(SEARCH("Bupa Arabia",M101)),"Insurance Company",
        ISNUMBER(SEARCH("Dar Fahoosaat",M101)),"Service Provider",
        ISNUMBER(SEARCH("General Authority of Zakat",M101)),"Tax Authority",
        ISNUMBER(SEARCH("Gulf Voyager",M101)),"Service Provider",
        ISNUMBER(SEARCH("Hopeway Trading",M101)),"Supplier",
        ISNUMBER(SEARCH("Interhealth Medical",M101)),"Customer",
        ISNUMBER(SEARCH("Ishaar",M101)),"Service Provider",
        ISNUMBER(SEARCH("ISO Arabia",M101)),"Service Provider",
        ISNUMBER(SEARCH("Khalid Saad Al Otaibi",M101)),"Supplier",
        ISNUMBER(SEARCH("MERAS for Decoration",M101)),"Supplier",
        ISNUMBER(SEARCH("Middle East Customs Clearance",M101)),"Service Provider",
        ISNUMBER(SEARCH("Ministry of Human Resources",M101)),"Regulatory Agency",
        ISNUMBER(SEARCH("My Business Services",M101)),"Service Provider",
        ISNUMBER(SEARCH("National Water Company",M101)),"Utility Provider",
        ISNUMBER(SEARCH("Rania Contracting",M101)),"Supplier",
        ISNUMBER(SEARCH("Sahab United Motors",M101)),"Supplier",
        ISNUMBER(SEARCH("Saudi Electric Company",M101)),"Utility Provider",
        ISNUMBER(SEARCH("Saudi Vetonit",M101)),"Supplier",
        ISNUMBER(SEARCH("Shomoul Eng",M101)),"Service Provider",
        ISNUMBER(SEARCH("STC",M101)),"Utility Provider",
        ISNUMBER(SEARCH("The General Organization for Social Insurance",M101)),"Social Insurance Agency",
        ISNUMBER(SEARCH("TUV Rheinland",M101)),"Service Provider",
        ISNUMBER(SEARCH("Al Arabia Ceramic",M101)),"Supplier",
        ISNUMBER(SEARCH("National Company for Building",M101)),"Customer",
        ISNUMBER(SEARCH("Athraa Holding",M101)),"Customer",
        ISNUMBER(SEARCH("Al Rasan",M101)),"Supplier",
        ISNUMBER(SEARCH("Raboua Al Haid",M101)),"Customer",
        ISNUMBER(SEARCH("Al Jazeera Paint",M101)),"Supplier",
        ISNUMBER(SEARCH("Rania Works Contracting",M101)),"Supplier",
        ISNUMBER(SEARCH("Bandar Jarallah",M101)),"Supplier",
        TRUE,"Supplier"
    ),
    "-"
)</f>
        <v>Service Provider</v>
      </c>
      <c r="AD101" s="25" t="str" cm="1">
        <f t="array" ref="AD101">_xlfn.IFNA(
    _xlfn.IFS(
        AC101="Same Company","High",
        AC101="Shareholder","High",
        AC101="Government","High",
        AC101="Bank","High",
        AC101="Lender","High",
        AC101="Unknown","Low",
        AC101="-","Low",
        TRUE,"Medium"
    ),
    "-"
)</f>
        <v>Medium</v>
      </c>
      <c r="AE101" s="25" t="str">
        <f t="shared" si="6"/>
        <v>-</v>
      </c>
      <c r="AF101" s="25" t="str" cm="1">
        <f t="array" ref="AF101">_xlfn.IFNA(
    _xlfn.IFS(
        K101="Credit",
            _xlfn.IFS(
                OR(ISNUMBER(SEARCH("Rejected",L101)),ISNUMBER(SEARCH("Returned",L101))),"Other Income",
                TRUE,"Revenue"
            ),
        K101="Debit",
            _xlfn.IFS(
                ISNUMBER(SEARCH("Payroll",L101)),"OPEX",
                ISNUMBER(SEARCH("Expatriate",L101)),"OPEX",
                ISNUMBER(SEARCH("Zakat",M101)),"ZATCA",
                ISNUMBER(SEARCH("General Organization for Social Insurance",M101)),"OPEX",
                ISNUMBER(SEARCH("Saudi Electric",M101)),"OPEX",
                ISNUMBER(SEARCH("STC",M101)),"OPEX",
                ISNUMBER(SEARCH("National Water",M101)),"OPEX",
                ISNUMBER(SEARCH("Bupa",M101)),"OPEX",
                ISNUMBER(SEARCH("Abdullah Abdulkarim",M101)),"OPEX",
                ISNUMBER(SEARCH("Abdullah Fahad",M101)),"OPEX",
                ISNUMBER(SEARCH("ISO Arabia",M101)),"OPEX",
                ISNUMBER(SEARCH("Gulf Voyager",M101)),"OPEX",
                ISNUMBER(SEARCH("Ministry",M101)),"OPEX",
                ISNUMBER(SEARCH("General Authority of Zakat",M101)),"ZATCA",
                ISNUMBER(SEARCH("Rejected",L101)),"Other Income",
                TRUE,"COGS"
            ),
        TRUE,"-"
    ),
    "-"
)</f>
        <v>OPEX</v>
      </c>
      <c r="AG101" s="25" t="str" cm="1">
        <f t="array" ref="AG101">_xlfn.IFNA(
    _xlfn.IFS(
        ISNUMBER(SEARCH("Payroll",L101)),"Payroll",
        ISNUMBER(SEARCH("Expatriate",L101)),"Government Fees",
        ISNUMBER(SEARCH("Zakat",M101)),"Zakat",
        ISNUMBER(SEARCH("Social Insurance",M101)),"Social Insurance",
        ISNUMBER(SEARCH("Saudi Electric",M101)),"Electricity",
        ISNUMBER(SEARCH("STC",M101)),"Telecom",
        ISNUMBER(SEARCH("National Water",M101)),"Water",
        ISNUMBER(SEARCH("Bupa",M101)),"Insurance",
        ISNUMBER(SEARCH("Gulf Voyager",M101)),"Travel",
        ISNUMBER(SEARCH("Ministry",M101)),"Government Fees",
        ISNUMBER(SEARCH("Abdullah Abdulkarim",M101)),"Consulting",
        ISNUMBER(SEARCH("Abdullah Fahad",M101)),"Accounting",
        ISNUMBER(SEARCH("ISO Arabia",M101)),"Consulting",
        ISNUMBER(SEARCH("Rejected",L101)),"Refund",
        AF101="COGS","Inventory Purchase",
        AF101="Revenue","Revenue",
        AF101="OPEX","Other",
        AF101="ZATCA","Zakat",
        TRUE,"-"
    ),
    "-"
)</f>
        <v>Accounting</v>
      </c>
      <c r="AH101" s="25" t="str" cm="1">
        <f t="array" ref="AH101">_xlfn.IFNA(
    _xlfn.IFS(
        AF101="-","Low",
        AF101="Other","Low",
        TRUE,"Medium"
    ),
    "-"
)</f>
        <v>Medium</v>
      </c>
      <c r="AI101" s="25" t="str">
        <f t="shared" si="7"/>
        <v>-</v>
      </c>
    </row>
    <row r="102" spans="1:35" x14ac:dyDescent="0.25">
      <c r="A102" s="10">
        <v>6</v>
      </c>
      <c r="B102" s="10" t="s">
        <v>35</v>
      </c>
      <c r="C102" s="10" t="s">
        <v>36</v>
      </c>
      <c r="D102" s="10" t="s">
        <v>37</v>
      </c>
      <c r="E102" s="10" t="s">
        <v>38</v>
      </c>
      <c r="F102" s="11" t="s">
        <v>39</v>
      </c>
      <c r="G102" s="11" t="s">
        <v>40</v>
      </c>
      <c r="H102" s="12">
        <v>44942</v>
      </c>
      <c r="I102" s="20">
        <v>7107.21</v>
      </c>
      <c r="J102" s="20">
        <v>5751.15</v>
      </c>
      <c r="K102" s="10" t="s">
        <v>41</v>
      </c>
      <c r="L102" s="9" t="s">
        <v>56</v>
      </c>
      <c r="M102" s="9" t="s">
        <v>57</v>
      </c>
      <c r="N102" s="9" t="s">
        <v>58</v>
      </c>
      <c r="O102" s="9" t="s">
        <v>59</v>
      </c>
      <c r="P102" s="15">
        <v>44942</v>
      </c>
      <c r="Q102" s="9" t="s">
        <v>61</v>
      </c>
      <c r="R102" s="16">
        <v>5750</v>
      </c>
      <c r="S102" s="18">
        <v>1</v>
      </c>
      <c r="T102" s="18">
        <v>0.15</v>
      </c>
      <c r="U102" s="9" t="s">
        <v>55</v>
      </c>
      <c r="V102" s="24" t="str" cm="1">
        <f t="array" ref="V102">_xlfn.IFNA(
    _xlfn.IFS(
        ISNUMBER(SEARCH("Fast Outgoing Transfer",L102)),"Transfer",
        ISNUMBER(SEARCH("Incoming Fast Transfer",L102)),"Transfer",
        ISNUMBER(SEARCH("Outgoing International Transfer",L102)),"Transfer",
        ISNUMBER(SEARCH("Bill Payment",L102)),"SADAD",
        ISNUMBER(SEARCH("Payroll",L102)),"Payroll",
        ISNUMBER(SEARCH("Cash Deposit",L102)),"Cash",
        ISNUMBER(SEARCH("Internal Transfer",L102)),"Transfer",
        ISNUMBER(SEARCH("Expatriate Services Payment",L102)),"SADAD",
        ISNUMBER(SEARCH("Rejected",L102)),"Transfer"
    ),
    "-"
)</f>
        <v>Transfer</v>
      </c>
      <c r="W102" s="25" t="str" cm="1">
        <f t="array" ref="W102">_xlfn.IFNA(
    _xlfn.IFS(
        AND(V102="Transfer",ISNUMBER(SEARCH("RIYAD BANK",L102))),"External FI",
        AND(V102="Transfer",ISNUMBER(SEARCH("Al Ahli",L102))),"External FI",
        AND(V102="Transfer",ISNUMBER(SEARCH("CIB via",L102))),"Local Transfer",
        AND(V102="Transfer",ISNUMBER(SEARCH("CIB)",L102))),"Local Transfer",
        AND(V102="Transfer",ISNUMBER(SEARCH("SMRT",L102))),"Local Transfer",
        AND(V102="Transfer",ISNUMBER(SEARCH("Al Murabba",L102))),"Local Transfer",
        AND(V102="Transfer",ISNUMBER(SEARCH("Internal Transfer",L102))),"Same FI",
        AND(V102="Transfer",ISNUMBER(SEARCH("Rejected",L102))),"Failed",
        V102="SADAD",
            _xlfn.IFS(
                ISNUMBER(SEARCH("Expatriate",L102)),"Expat Fees",
                TRUE,"Online Payment"
            ),
        V102="Payroll","Payroll",
        V102="Cash","Deposit",
        TRUE,"-"
    ),
    "-"
)</f>
        <v>Local Transfer</v>
      </c>
      <c r="X102" s="25" t="str" cm="1">
        <f t="array" ref="X102">_xlfn.IFNA(
    _xlfn.IFS(
        V102="-","Low",
        W102="-","Low",
        TRUE,"High"
    ),
    "-"
)</f>
        <v>High</v>
      </c>
      <c r="Y102" s="25" t="str">
        <f t="shared" si="4"/>
        <v>-</v>
      </c>
      <c r="Z102" s="25" t="str" cm="1">
        <f t="array" ref="Z102">_xlfn.IFNA(
    _xlfn.IFS(
        ISNUMBER(SEARCH("Abdul Latif Jameel",M102)),"Lender",
        ISNUMBER(SEARCH("Abdullah Abdulkarim Al Sudais",M102)),"Accounting",
        ISNUMBER(SEARCH("Abdullah Fahad for Accounting",M102)),"Accounting",
        ISNUMBER(SEARCH("Abdullah Rashid Shaikh",M102)),"Shareholder",
        ISNUMBER(SEARCH("Advanced Equipments",M102)),"Equipment Rental",
        ISNUMBER(SEARCH("Al Banuk Sana",M102)),"Telecom Company",
        ISNUMBER(SEARCH("Al Khaleefa Factory",M102)),"Manufacturer",
        ISNUMBER(SEARCH("Al Saadeh Trading",M102)),"Trading Company",
        ISNUMBER(SEARCH("Al Zaehaan",M102)),"Trading Company",
        ISNUMBER(SEARCH("Ali Abdullah K Al Darwish",M102)),"Airlines",
        ISNUMBER(SEARCH("Bupa Arabia",M102)),"Health Insurance",
        ISNUMBER(SEARCH("Dar Fahoosaat",M102)),"Consultant",
        ISNUMBER(SEARCH("General Authority of Zakat",M102)),"Tax Collection",
        ISNUMBER(SEARCH("Gulf Voyager",M102)),"Travel Agency",
        ISNUMBER(SEARCH("Hopeway Trading",M102)),"Trading Company",
        ISNUMBER(SEARCH("Interhealth Medical",M102)),"Medical Services",
        ISNUMBER(SEARCH("Ishaar",M102)),"Online Payment Service",
        ISNUMBER(SEARCH("ISO Arabia",M102)),"Certification",
        ISNUMBER(SEARCH("Khalid Saad Al Otaibi",M102)),"Trading Company",
        ISNUMBER(SEARCH("MERAS for Decoration",M102)),"Decor Company",
        ISNUMBER(SEARCH("Middle East Customs Clearance",M102)),"Customs",
        ISNUMBER(SEARCH("Ministry of Human Resources",M102)),"Government",
        ISNUMBER(SEARCH("My Business Services",M102)),"Service Provider",
        ISNUMBER(SEARCH("National Water Company",M102)),"Water Company",
        ISNUMBER(SEARCH("Rania Contracting",M102)),"Contracting",
        ISNUMBER(SEARCH("Rashid Ali Sheikh",M102)),"Shareholder",
        ISNUMBER(SEARCH("Sahab United Motors",M102)),"Car Show Room",
        ISNUMBER(SEARCH("Saud Mohammed Al Tamimi",M102)),"Shareholder",
        ISNUMBER(SEARCH("Saud Mohammed Tamimi",M102)),"Shareholder",
        ISNUMBER(SEARCH("Saudi Electric Company",M102)),"Electricity Company",
        ISNUMBER(SEARCH("Saudi Vetonit",M102)),"Building Materials",
        ISNUMBER(SEARCH("Shomoul Eng",M102)),"Safety",
        ISNUMBER(SEARCH("STC",M102)),"Telecom Company",
        ISNUMBER(SEARCH("The General Organization for Social Insurance",M102)),"Social Insurance Agency",
        ISNUMBER(SEARCH("TUV Rheinland",M102)),"Certification",
        ISNUMBER(SEARCH("Al Arabia Ceramic",M102)),"Building Materials",
        ISNUMBER(SEARCH("National Company for Building and Marketing",M102)),"Parent Company",
        ISNUMBER(SEARCH("Athraa Holding",M102)),"Holding Company",
        ISNUMBER(SEARCH("Al Rasan",M102)),"Contracting",
        ISNUMBER(SEARCH("Raboua Al Haid",M102)),"Trading Company",
        ISNUMBER(SEARCH("Al Jazeera Paint",M102)),"Manufacturer",
        ISNUMBER(SEARCH("Rania Works Contracting",M102)),"Contracting",
        ISNUMBER(SEARCH("Bandar Jarallah",M102)),"Trading Establishment",
        ISNUMBER(SEARCH("RS Infratec Saudi",M102)),"Same Company",
        ISNUMBER(SEARCH("Payroll",M102)),"Bank",
        ISNUMBER(SEARCH("Expatriate",M102)),"Government",
        ISNUMBER(SEARCH("Unknown Sender",M102)),"Unknown",
        TRUE,"Unknown"
    ),
    "-"
)</f>
        <v>Accounting</v>
      </c>
      <c r="AA102" s="25" t="str" cm="1">
        <f t="array" ref="AA102">_xlfn.IFNA(
    _xlfn.IFS(
        Z102="Lender","Financing",
        Z102="Accounting","Accounting",
        Z102="Shareholder","Individual",
        Z102="Equipment Rental","Equipment Rental",
        Z102="Telecom Company","Telecom",
        Z102="Manufacturer","Manufacturer",
        Z102="Trading Company","Trading And Transport",
        Z102="Trading Establishment","Trading",
        Z102="Airlines","Airlines",
        Z102="Health Insurance","Insurance",
        Z102="Consultant","Consultant",
        Z102="Tax Collection","Government",
        Z102="Travel Agency","Travel Agency",
        Z102="Medical Services","Medical Center",
        Z102="Online Payment Service","Payment Facilitator",
        Z102="Certification","Safety",
        Z102="Decor Company","Design",
        Z102="Customs","Customs",
        Z102="Government","Government",
        Z102="Service Provider","Service Provider",
        Z102="Water Company","Water Company",
        Z102="Contracting","Contracting",
        Z102="Car Show Room","Car Trader",
        Z102="Electricity Company","Electricity Company",
        Z102="Building Materials","Building Materials",
        Z102="Safety","Safety",
        Z102="Social Insurance Agency","Government Fund",
        Z102="Parent Company","Holding Company",
        Z102="Holding Company","Holding Company",
        Z102="Same Company","Construction",
        Z102="Bank","Bank",
        Z102="Unknown","Unknown",
        TRUE,"-"
    ),
    "-"
)</f>
        <v>Accounting</v>
      </c>
      <c r="AB102" s="25" t="str">
        <f t="shared" si="5"/>
        <v>-</v>
      </c>
      <c r="AC102" s="25" t="str" cm="1">
        <f t="array" ref="AC102">_xlfn.IFNA(
    _xlfn.IFS(
        Z102="Shareholder","Shareholder",
        Z102="Same Company","Same Company",
        Z102="Bank","Bank",
        Z102="Government","Government",
        Z102="Social Insurance Agency","Government",
        Z102="Parent Company","Customer",
        Z102="Lender","Lender",
        Z102="Unknown","Unknown",
        ISNUMBER(SEARCH("Abdullah Abdulkarim",M102)),"Service Provider",
        ISNUMBER(SEARCH("Abdullah Fahad",M102)),"Service Provider",
        ISNUMBER(SEARCH("Advanced Equipments",M102)),"Supplier",
        ISNUMBER(SEARCH("Al Banuk Sana",M102)),"Supplier",
        ISNUMBER(SEARCH("Al Khaleefa Factory",M102)),"Supplier",
        ISNUMBER(SEARCH("Al Saadeh Trading",M102)),"Supplier",
        ISNUMBER(SEARCH("Al Zaehaan",M102)),"Supplier",
        ISNUMBER(SEARCH("Ali Abdullah K Al Darwish",M102)),"Service Provider",
        ISNUMBER(SEARCH("Bupa Arabia",M102)),"Insurance Company",
        ISNUMBER(SEARCH("Dar Fahoosaat",M102)),"Service Provider",
        ISNUMBER(SEARCH("General Authority of Zakat",M102)),"Tax Authority",
        ISNUMBER(SEARCH("Gulf Voyager",M102)),"Service Provider",
        ISNUMBER(SEARCH("Hopeway Trading",M102)),"Supplier",
        ISNUMBER(SEARCH("Interhealth Medical",M102)),"Customer",
        ISNUMBER(SEARCH("Ishaar",M102)),"Service Provider",
        ISNUMBER(SEARCH("ISO Arabia",M102)),"Service Provider",
        ISNUMBER(SEARCH("Khalid Saad Al Otaibi",M102)),"Supplier",
        ISNUMBER(SEARCH("MERAS for Decoration",M102)),"Supplier",
        ISNUMBER(SEARCH("Middle East Customs Clearance",M102)),"Service Provider",
        ISNUMBER(SEARCH("Ministry of Human Resources",M102)),"Regulatory Agency",
        ISNUMBER(SEARCH("My Business Services",M102)),"Service Provider",
        ISNUMBER(SEARCH("National Water Company",M102)),"Utility Provider",
        ISNUMBER(SEARCH("Rania Contracting",M102)),"Supplier",
        ISNUMBER(SEARCH("Sahab United Motors",M102)),"Supplier",
        ISNUMBER(SEARCH("Saudi Electric Company",M102)),"Utility Provider",
        ISNUMBER(SEARCH("Saudi Vetonit",M102)),"Supplier",
        ISNUMBER(SEARCH("Shomoul Eng",M102)),"Service Provider",
        ISNUMBER(SEARCH("STC",M102)),"Utility Provider",
        ISNUMBER(SEARCH("The General Organization for Social Insurance",M102)),"Social Insurance Agency",
        ISNUMBER(SEARCH("TUV Rheinland",M102)),"Service Provider",
        ISNUMBER(SEARCH("Al Arabia Ceramic",M102)),"Supplier",
        ISNUMBER(SEARCH("National Company for Building",M102)),"Customer",
        ISNUMBER(SEARCH("Athraa Holding",M102)),"Customer",
        ISNUMBER(SEARCH("Al Rasan",M102)),"Supplier",
        ISNUMBER(SEARCH("Raboua Al Haid",M102)),"Customer",
        ISNUMBER(SEARCH("Al Jazeera Paint",M102)),"Supplier",
        ISNUMBER(SEARCH("Rania Works Contracting",M102)),"Supplier",
        ISNUMBER(SEARCH("Bandar Jarallah",M102)),"Supplier",
        TRUE,"Supplier"
    ),
    "-"
)</f>
        <v>Service Provider</v>
      </c>
      <c r="AD102" s="25" t="str" cm="1">
        <f t="array" ref="AD102">_xlfn.IFNA(
    _xlfn.IFS(
        AC102="Same Company","High",
        AC102="Shareholder","High",
        AC102="Government","High",
        AC102="Bank","High",
        AC102="Lender","High",
        AC102="Unknown","Low",
        AC102="-","Low",
        TRUE,"Medium"
    ),
    "-"
)</f>
        <v>Medium</v>
      </c>
      <c r="AE102" s="25" t="str">
        <f t="shared" si="6"/>
        <v>-</v>
      </c>
      <c r="AF102" s="25" t="str" cm="1">
        <f t="array" ref="AF102">_xlfn.IFNA(
    _xlfn.IFS(
        K102="Credit",
            _xlfn.IFS(
                OR(ISNUMBER(SEARCH("Rejected",L102)),ISNUMBER(SEARCH("Returned",L102))),"Other Income",
                TRUE,"Revenue"
            ),
        K102="Debit",
            _xlfn.IFS(
                ISNUMBER(SEARCH("Payroll",L102)),"OPEX",
                ISNUMBER(SEARCH("Expatriate",L102)),"OPEX",
                ISNUMBER(SEARCH("Zakat",M102)),"ZATCA",
                ISNUMBER(SEARCH("General Organization for Social Insurance",M102)),"OPEX",
                ISNUMBER(SEARCH("Saudi Electric",M102)),"OPEX",
                ISNUMBER(SEARCH("STC",M102)),"OPEX",
                ISNUMBER(SEARCH("National Water",M102)),"OPEX",
                ISNUMBER(SEARCH("Bupa",M102)),"OPEX",
                ISNUMBER(SEARCH("Abdullah Abdulkarim",M102)),"OPEX",
                ISNUMBER(SEARCH("Abdullah Fahad",M102)),"OPEX",
                ISNUMBER(SEARCH("ISO Arabia",M102)),"OPEX",
                ISNUMBER(SEARCH("Gulf Voyager",M102)),"OPEX",
                ISNUMBER(SEARCH("Ministry",M102)),"OPEX",
                ISNUMBER(SEARCH("General Authority of Zakat",M102)),"ZATCA",
                ISNUMBER(SEARCH("Rejected",L102)),"Other Income",
                TRUE,"COGS"
            ),
        TRUE,"-"
    ),
    "-"
)</f>
        <v>OPEX</v>
      </c>
      <c r="AG102" s="25" t="str" cm="1">
        <f t="array" ref="AG102">_xlfn.IFNA(
    _xlfn.IFS(
        ISNUMBER(SEARCH("Payroll",L102)),"Payroll",
        ISNUMBER(SEARCH("Expatriate",L102)),"Government Fees",
        ISNUMBER(SEARCH("Zakat",M102)),"Zakat",
        ISNUMBER(SEARCH("Social Insurance",M102)),"Social Insurance",
        ISNUMBER(SEARCH("Saudi Electric",M102)),"Electricity",
        ISNUMBER(SEARCH("STC",M102)),"Telecom",
        ISNUMBER(SEARCH("National Water",M102)),"Water",
        ISNUMBER(SEARCH("Bupa",M102)),"Insurance",
        ISNUMBER(SEARCH("Gulf Voyager",M102)),"Travel",
        ISNUMBER(SEARCH("Ministry",M102)),"Government Fees",
        ISNUMBER(SEARCH("Abdullah Abdulkarim",M102)),"Consulting",
        ISNUMBER(SEARCH("Abdullah Fahad",M102)),"Accounting",
        ISNUMBER(SEARCH("ISO Arabia",M102)),"Consulting",
        ISNUMBER(SEARCH("Rejected",L102)),"Refund",
        AF102="COGS","Inventory Purchase",
        AF102="Revenue","Revenue",
        AF102="OPEX","Other",
        AF102="ZATCA","Zakat",
        TRUE,"-"
    ),
    "-"
)</f>
        <v>Accounting</v>
      </c>
      <c r="AH102" s="25" t="str" cm="1">
        <f t="array" ref="AH102">_xlfn.IFNA(
    _xlfn.IFS(
        AF102="-","Low",
        AF102="Other","Low",
        TRUE,"Medium"
    ),
    "-"
)</f>
        <v>Medium</v>
      </c>
      <c r="AI102" s="25" t="str">
        <f t="shared" si="7"/>
        <v>-</v>
      </c>
    </row>
    <row r="103" spans="1:35" x14ac:dyDescent="0.25">
      <c r="A103" s="10">
        <v>6</v>
      </c>
      <c r="B103" s="10" t="s">
        <v>35</v>
      </c>
      <c r="C103" s="10" t="s">
        <v>36</v>
      </c>
      <c r="D103" s="10" t="s">
        <v>37</v>
      </c>
      <c r="E103" s="10" t="s">
        <v>38</v>
      </c>
      <c r="F103" s="11" t="s">
        <v>39</v>
      </c>
      <c r="G103" s="11" t="s">
        <v>40</v>
      </c>
      <c r="H103" s="12">
        <v>44963</v>
      </c>
      <c r="I103" s="20">
        <v>92666.92</v>
      </c>
      <c r="J103" s="20">
        <v>11501.15</v>
      </c>
      <c r="K103" s="10" t="s">
        <v>41</v>
      </c>
      <c r="L103" s="9" t="s">
        <v>56</v>
      </c>
      <c r="M103" s="9" t="s">
        <v>57</v>
      </c>
      <c r="N103" s="9" t="s">
        <v>58</v>
      </c>
      <c r="O103" s="9" t="s">
        <v>59</v>
      </c>
      <c r="P103" s="15">
        <v>44963</v>
      </c>
      <c r="Q103" s="9" t="s">
        <v>62</v>
      </c>
      <c r="R103" s="16">
        <v>11500</v>
      </c>
      <c r="S103" s="18">
        <v>1</v>
      </c>
      <c r="T103" s="18">
        <v>0.15</v>
      </c>
      <c r="U103" s="9" t="s">
        <v>55</v>
      </c>
      <c r="V103" s="24" t="str" cm="1">
        <f t="array" ref="V103">_xlfn.IFNA(
    _xlfn.IFS(
        ISNUMBER(SEARCH("Fast Outgoing Transfer",L103)),"Transfer",
        ISNUMBER(SEARCH("Incoming Fast Transfer",L103)),"Transfer",
        ISNUMBER(SEARCH("Outgoing International Transfer",L103)),"Transfer",
        ISNUMBER(SEARCH("Bill Payment",L103)),"SADAD",
        ISNUMBER(SEARCH("Payroll",L103)),"Payroll",
        ISNUMBER(SEARCH("Cash Deposit",L103)),"Cash",
        ISNUMBER(SEARCH("Internal Transfer",L103)),"Transfer",
        ISNUMBER(SEARCH("Expatriate Services Payment",L103)),"SADAD",
        ISNUMBER(SEARCH("Rejected",L103)),"Transfer"
    ),
    "-"
)</f>
        <v>Transfer</v>
      </c>
      <c r="W103" s="25" t="str" cm="1">
        <f t="array" ref="W103">_xlfn.IFNA(
    _xlfn.IFS(
        AND(V103="Transfer",ISNUMBER(SEARCH("RIYAD BANK",L103))),"External FI",
        AND(V103="Transfer",ISNUMBER(SEARCH("Al Ahli",L103))),"External FI",
        AND(V103="Transfer",ISNUMBER(SEARCH("CIB via",L103))),"Local Transfer",
        AND(V103="Transfer",ISNUMBER(SEARCH("CIB)",L103))),"Local Transfer",
        AND(V103="Transfer",ISNUMBER(SEARCH("SMRT",L103))),"Local Transfer",
        AND(V103="Transfer",ISNUMBER(SEARCH("Al Murabba",L103))),"Local Transfer",
        AND(V103="Transfer",ISNUMBER(SEARCH("Internal Transfer",L103))),"Same FI",
        AND(V103="Transfer",ISNUMBER(SEARCH("Rejected",L103))),"Failed",
        V103="SADAD",
            _xlfn.IFS(
                ISNUMBER(SEARCH("Expatriate",L103)),"Expat Fees",
                TRUE,"Online Payment"
            ),
        V103="Payroll","Payroll",
        V103="Cash","Deposit",
        TRUE,"-"
    ),
    "-"
)</f>
        <v>Local Transfer</v>
      </c>
      <c r="X103" s="25" t="str" cm="1">
        <f t="array" ref="X103">_xlfn.IFNA(
    _xlfn.IFS(
        V103="-","Low",
        W103="-","Low",
        TRUE,"High"
    ),
    "-"
)</f>
        <v>High</v>
      </c>
      <c r="Y103" s="25" t="str">
        <f t="shared" si="4"/>
        <v>-</v>
      </c>
      <c r="Z103" s="25" t="str" cm="1">
        <f t="array" ref="Z103">_xlfn.IFNA(
    _xlfn.IFS(
        ISNUMBER(SEARCH("Abdul Latif Jameel",M103)),"Lender",
        ISNUMBER(SEARCH("Abdullah Abdulkarim Al Sudais",M103)),"Accounting",
        ISNUMBER(SEARCH("Abdullah Fahad for Accounting",M103)),"Accounting",
        ISNUMBER(SEARCH("Abdullah Rashid Shaikh",M103)),"Shareholder",
        ISNUMBER(SEARCH("Advanced Equipments",M103)),"Equipment Rental",
        ISNUMBER(SEARCH("Al Banuk Sana",M103)),"Telecom Company",
        ISNUMBER(SEARCH("Al Khaleefa Factory",M103)),"Manufacturer",
        ISNUMBER(SEARCH("Al Saadeh Trading",M103)),"Trading Company",
        ISNUMBER(SEARCH("Al Zaehaan",M103)),"Trading Company",
        ISNUMBER(SEARCH("Ali Abdullah K Al Darwish",M103)),"Airlines",
        ISNUMBER(SEARCH("Bupa Arabia",M103)),"Health Insurance",
        ISNUMBER(SEARCH("Dar Fahoosaat",M103)),"Consultant",
        ISNUMBER(SEARCH("General Authority of Zakat",M103)),"Tax Collection",
        ISNUMBER(SEARCH("Gulf Voyager",M103)),"Travel Agency",
        ISNUMBER(SEARCH("Hopeway Trading",M103)),"Trading Company",
        ISNUMBER(SEARCH("Interhealth Medical",M103)),"Medical Services",
        ISNUMBER(SEARCH("Ishaar",M103)),"Online Payment Service",
        ISNUMBER(SEARCH("ISO Arabia",M103)),"Certification",
        ISNUMBER(SEARCH("Khalid Saad Al Otaibi",M103)),"Trading Company",
        ISNUMBER(SEARCH("MERAS for Decoration",M103)),"Decor Company",
        ISNUMBER(SEARCH("Middle East Customs Clearance",M103)),"Customs",
        ISNUMBER(SEARCH("Ministry of Human Resources",M103)),"Government",
        ISNUMBER(SEARCH("My Business Services",M103)),"Service Provider",
        ISNUMBER(SEARCH("National Water Company",M103)),"Water Company",
        ISNUMBER(SEARCH("Rania Contracting",M103)),"Contracting",
        ISNUMBER(SEARCH("Rashid Ali Sheikh",M103)),"Shareholder",
        ISNUMBER(SEARCH("Sahab United Motors",M103)),"Car Show Room",
        ISNUMBER(SEARCH("Saud Mohammed Al Tamimi",M103)),"Shareholder",
        ISNUMBER(SEARCH("Saud Mohammed Tamimi",M103)),"Shareholder",
        ISNUMBER(SEARCH("Saudi Electric Company",M103)),"Electricity Company",
        ISNUMBER(SEARCH("Saudi Vetonit",M103)),"Building Materials",
        ISNUMBER(SEARCH("Shomoul Eng",M103)),"Safety",
        ISNUMBER(SEARCH("STC",M103)),"Telecom Company",
        ISNUMBER(SEARCH("The General Organization for Social Insurance",M103)),"Social Insurance Agency",
        ISNUMBER(SEARCH("TUV Rheinland",M103)),"Certification",
        ISNUMBER(SEARCH("Al Arabia Ceramic",M103)),"Building Materials",
        ISNUMBER(SEARCH("National Company for Building and Marketing",M103)),"Parent Company",
        ISNUMBER(SEARCH("Athraa Holding",M103)),"Holding Company",
        ISNUMBER(SEARCH("Al Rasan",M103)),"Contracting",
        ISNUMBER(SEARCH("Raboua Al Haid",M103)),"Trading Company",
        ISNUMBER(SEARCH("Al Jazeera Paint",M103)),"Manufacturer",
        ISNUMBER(SEARCH("Rania Works Contracting",M103)),"Contracting",
        ISNUMBER(SEARCH("Bandar Jarallah",M103)),"Trading Establishment",
        ISNUMBER(SEARCH("RS Infratec Saudi",M103)),"Same Company",
        ISNUMBER(SEARCH("Payroll",M103)),"Bank",
        ISNUMBER(SEARCH("Expatriate",M103)),"Government",
        ISNUMBER(SEARCH("Unknown Sender",M103)),"Unknown",
        TRUE,"Unknown"
    ),
    "-"
)</f>
        <v>Accounting</v>
      </c>
      <c r="AA103" s="25" t="str" cm="1">
        <f t="array" ref="AA103">_xlfn.IFNA(
    _xlfn.IFS(
        Z103="Lender","Financing",
        Z103="Accounting","Accounting",
        Z103="Shareholder","Individual",
        Z103="Equipment Rental","Equipment Rental",
        Z103="Telecom Company","Telecom",
        Z103="Manufacturer","Manufacturer",
        Z103="Trading Company","Trading And Transport",
        Z103="Trading Establishment","Trading",
        Z103="Airlines","Airlines",
        Z103="Health Insurance","Insurance",
        Z103="Consultant","Consultant",
        Z103="Tax Collection","Government",
        Z103="Travel Agency","Travel Agency",
        Z103="Medical Services","Medical Center",
        Z103="Online Payment Service","Payment Facilitator",
        Z103="Certification","Safety",
        Z103="Decor Company","Design",
        Z103="Customs","Customs",
        Z103="Government","Government",
        Z103="Service Provider","Service Provider",
        Z103="Water Company","Water Company",
        Z103="Contracting","Contracting",
        Z103="Car Show Room","Car Trader",
        Z103="Electricity Company","Electricity Company",
        Z103="Building Materials","Building Materials",
        Z103="Safety","Safety",
        Z103="Social Insurance Agency","Government Fund",
        Z103="Parent Company","Holding Company",
        Z103="Holding Company","Holding Company",
        Z103="Same Company","Construction",
        Z103="Bank","Bank",
        Z103="Unknown","Unknown",
        TRUE,"-"
    ),
    "-"
)</f>
        <v>Accounting</v>
      </c>
      <c r="AB103" s="25" t="str">
        <f t="shared" si="5"/>
        <v>-</v>
      </c>
      <c r="AC103" s="25" t="str" cm="1">
        <f t="array" ref="AC103">_xlfn.IFNA(
    _xlfn.IFS(
        Z103="Shareholder","Shareholder",
        Z103="Same Company","Same Company",
        Z103="Bank","Bank",
        Z103="Government","Government",
        Z103="Social Insurance Agency","Government",
        Z103="Parent Company","Customer",
        Z103="Lender","Lender",
        Z103="Unknown","Unknown",
        ISNUMBER(SEARCH("Abdullah Abdulkarim",M103)),"Service Provider",
        ISNUMBER(SEARCH("Abdullah Fahad",M103)),"Service Provider",
        ISNUMBER(SEARCH("Advanced Equipments",M103)),"Supplier",
        ISNUMBER(SEARCH("Al Banuk Sana",M103)),"Supplier",
        ISNUMBER(SEARCH("Al Khaleefa Factory",M103)),"Supplier",
        ISNUMBER(SEARCH("Al Saadeh Trading",M103)),"Supplier",
        ISNUMBER(SEARCH("Al Zaehaan",M103)),"Supplier",
        ISNUMBER(SEARCH("Ali Abdullah K Al Darwish",M103)),"Service Provider",
        ISNUMBER(SEARCH("Bupa Arabia",M103)),"Insurance Company",
        ISNUMBER(SEARCH("Dar Fahoosaat",M103)),"Service Provider",
        ISNUMBER(SEARCH("General Authority of Zakat",M103)),"Tax Authority",
        ISNUMBER(SEARCH("Gulf Voyager",M103)),"Service Provider",
        ISNUMBER(SEARCH("Hopeway Trading",M103)),"Supplier",
        ISNUMBER(SEARCH("Interhealth Medical",M103)),"Customer",
        ISNUMBER(SEARCH("Ishaar",M103)),"Service Provider",
        ISNUMBER(SEARCH("ISO Arabia",M103)),"Service Provider",
        ISNUMBER(SEARCH("Khalid Saad Al Otaibi",M103)),"Supplier",
        ISNUMBER(SEARCH("MERAS for Decoration",M103)),"Supplier",
        ISNUMBER(SEARCH("Middle East Customs Clearance",M103)),"Service Provider",
        ISNUMBER(SEARCH("Ministry of Human Resources",M103)),"Regulatory Agency",
        ISNUMBER(SEARCH("My Business Services",M103)),"Service Provider",
        ISNUMBER(SEARCH("National Water Company",M103)),"Utility Provider",
        ISNUMBER(SEARCH("Rania Contracting",M103)),"Supplier",
        ISNUMBER(SEARCH("Sahab United Motors",M103)),"Supplier",
        ISNUMBER(SEARCH("Saudi Electric Company",M103)),"Utility Provider",
        ISNUMBER(SEARCH("Saudi Vetonit",M103)),"Supplier",
        ISNUMBER(SEARCH("Shomoul Eng",M103)),"Service Provider",
        ISNUMBER(SEARCH("STC",M103)),"Utility Provider",
        ISNUMBER(SEARCH("The General Organization for Social Insurance",M103)),"Social Insurance Agency",
        ISNUMBER(SEARCH("TUV Rheinland",M103)),"Service Provider",
        ISNUMBER(SEARCH("Al Arabia Ceramic",M103)),"Supplier",
        ISNUMBER(SEARCH("National Company for Building",M103)),"Customer",
        ISNUMBER(SEARCH("Athraa Holding",M103)),"Customer",
        ISNUMBER(SEARCH("Al Rasan",M103)),"Supplier",
        ISNUMBER(SEARCH("Raboua Al Haid",M103)),"Customer",
        ISNUMBER(SEARCH("Al Jazeera Paint",M103)),"Supplier",
        ISNUMBER(SEARCH("Rania Works Contracting",M103)),"Supplier",
        ISNUMBER(SEARCH("Bandar Jarallah",M103)),"Supplier",
        TRUE,"Supplier"
    ),
    "-"
)</f>
        <v>Service Provider</v>
      </c>
      <c r="AD103" s="25" t="str" cm="1">
        <f t="array" ref="AD103">_xlfn.IFNA(
    _xlfn.IFS(
        AC103="Same Company","High",
        AC103="Shareholder","High",
        AC103="Government","High",
        AC103="Bank","High",
        AC103="Lender","High",
        AC103="Unknown","Low",
        AC103="-","Low",
        TRUE,"Medium"
    ),
    "-"
)</f>
        <v>Medium</v>
      </c>
      <c r="AE103" s="25" t="str">
        <f t="shared" si="6"/>
        <v>-</v>
      </c>
      <c r="AF103" s="25" t="str" cm="1">
        <f t="array" ref="AF103">_xlfn.IFNA(
    _xlfn.IFS(
        K103="Credit",
            _xlfn.IFS(
                OR(ISNUMBER(SEARCH("Rejected",L103)),ISNUMBER(SEARCH("Returned",L103))),"Other Income",
                TRUE,"Revenue"
            ),
        K103="Debit",
            _xlfn.IFS(
                ISNUMBER(SEARCH("Payroll",L103)),"OPEX",
                ISNUMBER(SEARCH("Expatriate",L103)),"OPEX",
                ISNUMBER(SEARCH("Zakat",M103)),"ZATCA",
                ISNUMBER(SEARCH("General Organization for Social Insurance",M103)),"OPEX",
                ISNUMBER(SEARCH("Saudi Electric",M103)),"OPEX",
                ISNUMBER(SEARCH("STC",M103)),"OPEX",
                ISNUMBER(SEARCH("National Water",M103)),"OPEX",
                ISNUMBER(SEARCH("Bupa",M103)),"OPEX",
                ISNUMBER(SEARCH("Abdullah Abdulkarim",M103)),"OPEX",
                ISNUMBER(SEARCH("Abdullah Fahad",M103)),"OPEX",
                ISNUMBER(SEARCH("ISO Arabia",M103)),"OPEX",
                ISNUMBER(SEARCH("Gulf Voyager",M103)),"OPEX",
                ISNUMBER(SEARCH("Ministry",M103)),"OPEX",
                ISNUMBER(SEARCH("General Authority of Zakat",M103)),"ZATCA",
                ISNUMBER(SEARCH("Rejected",L103)),"Other Income",
                TRUE,"COGS"
            ),
        TRUE,"-"
    ),
    "-"
)</f>
        <v>OPEX</v>
      </c>
      <c r="AG103" s="25" t="str" cm="1">
        <f t="array" ref="AG103">_xlfn.IFNA(
    _xlfn.IFS(
        ISNUMBER(SEARCH("Payroll",L103)),"Payroll",
        ISNUMBER(SEARCH("Expatriate",L103)),"Government Fees",
        ISNUMBER(SEARCH("Zakat",M103)),"Zakat",
        ISNUMBER(SEARCH("Social Insurance",M103)),"Social Insurance",
        ISNUMBER(SEARCH("Saudi Electric",M103)),"Electricity",
        ISNUMBER(SEARCH("STC",M103)),"Telecom",
        ISNUMBER(SEARCH("National Water",M103)),"Water",
        ISNUMBER(SEARCH("Bupa",M103)),"Insurance",
        ISNUMBER(SEARCH("Gulf Voyager",M103)),"Travel",
        ISNUMBER(SEARCH("Ministry",M103)),"Government Fees",
        ISNUMBER(SEARCH("Abdullah Abdulkarim",M103)),"Consulting",
        ISNUMBER(SEARCH("Abdullah Fahad",M103)),"Accounting",
        ISNUMBER(SEARCH("ISO Arabia",M103)),"Consulting",
        ISNUMBER(SEARCH("Rejected",L103)),"Refund",
        AF103="COGS","Inventory Purchase",
        AF103="Revenue","Revenue",
        AF103="OPEX","Other",
        AF103="ZATCA","Zakat",
        TRUE,"-"
    ),
    "-"
)</f>
        <v>Accounting</v>
      </c>
      <c r="AH103" s="25" t="str" cm="1">
        <f t="array" ref="AH103">_xlfn.IFNA(
    _xlfn.IFS(
        AF103="-","Low",
        AF103="Other","Low",
        TRUE,"Medium"
    ),
    "-"
)</f>
        <v>Medium</v>
      </c>
      <c r="AI103" s="25" t="str">
        <f t="shared" si="7"/>
        <v>-</v>
      </c>
    </row>
    <row r="104" spans="1:35" x14ac:dyDescent="0.25">
      <c r="A104" s="10">
        <v>6</v>
      </c>
      <c r="B104" s="10" t="s">
        <v>35</v>
      </c>
      <c r="C104" s="10" t="s">
        <v>36</v>
      </c>
      <c r="D104" s="10" t="s">
        <v>37</v>
      </c>
      <c r="E104" s="10" t="s">
        <v>38</v>
      </c>
      <c r="F104" s="11" t="s">
        <v>39</v>
      </c>
      <c r="G104" s="11" t="s">
        <v>40</v>
      </c>
      <c r="H104" s="12">
        <v>44965</v>
      </c>
      <c r="I104" s="20">
        <v>81214.929999999993</v>
      </c>
      <c r="J104" s="20">
        <v>5751.15</v>
      </c>
      <c r="K104" s="10" t="s">
        <v>41</v>
      </c>
      <c r="L104" s="9" t="s">
        <v>56</v>
      </c>
      <c r="M104" s="9" t="s">
        <v>57</v>
      </c>
      <c r="N104" s="9" t="s">
        <v>58</v>
      </c>
      <c r="O104" s="9" t="s">
        <v>59</v>
      </c>
      <c r="P104" s="15">
        <v>44965</v>
      </c>
      <c r="Q104" s="9" t="s">
        <v>63</v>
      </c>
      <c r="R104" s="16">
        <v>5750</v>
      </c>
      <c r="S104" s="18">
        <v>1</v>
      </c>
      <c r="T104" s="18">
        <v>0.15</v>
      </c>
      <c r="U104" s="9" t="s">
        <v>55</v>
      </c>
      <c r="V104" s="24" t="str" cm="1">
        <f t="array" ref="V104">_xlfn.IFNA(
    _xlfn.IFS(
        ISNUMBER(SEARCH("Fast Outgoing Transfer",L104)),"Transfer",
        ISNUMBER(SEARCH("Incoming Fast Transfer",L104)),"Transfer",
        ISNUMBER(SEARCH("Outgoing International Transfer",L104)),"Transfer",
        ISNUMBER(SEARCH("Bill Payment",L104)),"SADAD",
        ISNUMBER(SEARCH("Payroll",L104)),"Payroll",
        ISNUMBER(SEARCH("Cash Deposit",L104)),"Cash",
        ISNUMBER(SEARCH("Internal Transfer",L104)),"Transfer",
        ISNUMBER(SEARCH("Expatriate Services Payment",L104)),"SADAD",
        ISNUMBER(SEARCH("Rejected",L104)),"Transfer"
    ),
    "-"
)</f>
        <v>Transfer</v>
      </c>
      <c r="W104" s="25" t="str" cm="1">
        <f t="array" ref="W104">_xlfn.IFNA(
    _xlfn.IFS(
        AND(V104="Transfer",ISNUMBER(SEARCH("RIYAD BANK",L104))),"External FI",
        AND(V104="Transfer",ISNUMBER(SEARCH("Al Ahli",L104))),"External FI",
        AND(V104="Transfer",ISNUMBER(SEARCH("CIB via",L104))),"Local Transfer",
        AND(V104="Transfer",ISNUMBER(SEARCH("CIB)",L104))),"Local Transfer",
        AND(V104="Transfer",ISNUMBER(SEARCH("SMRT",L104))),"Local Transfer",
        AND(V104="Transfer",ISNUMBER(SEARCH("Al Murabba",L104))),"Local Transfer",
        AND(V104="Transfer",ISNUMBER(SEARCH("Internal Transfer",L104))),"Same FI",
        AND(V104="Transfer",ISNUMBER(SEARCH("Rejected",L104))),"Failed",
        V104="SADAD",
            _xlfn.IFS(
                ISNUMBER(SEARCH("Expatriate",L104)),"Expat Fees",
                TRUE,"Online Payment"
            ),
        V104="Payroll","Payroll",
        V104="Cash","Deposit",
        TRUE,"-"
    ),
    "-"
)</f>
        <v>Local Transfer</v>
      </c>
      <c r="X104" s="25" t="str" cm="1">
        <f t="array" ref="X104">_xlfn.IFNA(
    _xlfn.IFS(
        V104="-","Low",
        W104="-","Low",
        TRUE,"High"
    ),
    "-"
)</f>
        <v>High</v>
      </c>
      <c r="Y104" s="25" t="str">
        <f t="shared" si="4"/>
        <v>-</v>
      </c>
      <c r="Z104" s="25" t="str" cm="1">
        <f t="array" ref="Z104">_xlfn.IFNA(
    _xlfn.IFS(
        ISNUMBER(SEARCH("Abdul Latif Jameel",M104)),"Lender",
        ISNUMBER(SEARCH("Abdullah Abdulkarim Al Sudais",M104)),"Accounting",
        ISNUMBER(SEARCH("Abdullah Fahad for Accounting",M104)),"Accounting",
        ISNUMBER(SEARCH("Abdullah Rashid Shaikh",M104)),"Shareholder",
        ISNUMBER(SEARCH("Advanced Equipments",M104)),"Equipment Rental",
        ISNUMBER(SEARCH("Al Banuk Sana",M104)),"Telecom Company",
        ISNUMBER(SEARCH("Al Khaleefa Factory",M104)),"Manufacturer",
        ISNUMBER(SEARCH("Al Saadeh Trading",M104)),"Trading Company",
        ISNUMBER(SEARCH("Al Zaehaan",M104)),"Trading Company",
        ISNUMBER(SEARCH("Ali Abdullah K Al Darwish",M104)),"Airlines",
        ISNUMBER(SEARCH("Bupa Arabia",M104)),"Health Insurance",
        ISNUMBER(SEARCH("Dar Fahoosaat",M104)),"Consultant",
        ISNUMBER(SEARCH("General Authority of Zakat",M104)),"Tax Collection",
        ISNUMBER(SEARCH("Gulf Voyager",M104)),"Travel Agency",
        ISNUMBER(SEARCH("Hopeway Trading",M104)),"Trading Company",
        ISNUMBER(SEARCH("Interhealth Medical",M104)),"Medical Services",
        ISNUMBER(SEARCH("Ishaar",M104)),"Online Payment Service",
        ISNUMBER(SEARCH("ISO Arabia",M104)),"Certification",
        ISNUMBER(SEARCH("Khalid Saad Al Otaibi",M104)),"Trading Company",
        ISNUMBER(SEARCH("MERAS for Decoration",M104)),"Decor Company",
        ISNUMBER(SEARCH("Middle East Customs Clearance",M104)),"Customs",
        ISNUMBER(SEARCH("Ministry of Human Resources",M104)),"Government",
        ISNUMBER(SEARCH("My Business Services",M104)),"Service Provider",
        ISNUMBER(SEARCH("National Water Company",M104)),"Water Company",
        ISNUMBER(SEARCH("Rania Contracting",M104)),"Contracting",
        ISNUMBER(SEARCH("Rashid Ali Sheikh",M104)),"Shareholder",
        ISNUMBER(SEARCH("Sahab United Motors",M104)),"Car Show Room",
        ISNUMBER(SEARCH("Saud Mohammed Al Tamimi",M104)),"Shareholder",
        ISNUMBER(SEARCH("Saud Mohammed Tamimi",M104)),"Shareholder",
        ISNUMBER(SEARCH("Saudi Electric Company",M104)),"Electricity Company",
        ISNUMBER(SEARCH("Saudi Vetonit",M104)),"Building Materials",
        ISNUMBER(SEARCH("Shomoul Eng",M104)),"Safety",
        ISNUMBER(SEARCH("STC",M104)),"Telecom Company",
        ISNUMBER(SEARCH("The General Organization for Social Insurance",M104)),"Social Insurance Agency",
        ISNUMBER(SEARCH("TUV Rheinland",M104)),"Certification",
        ISNUMBER(SEARCH("Al Arabia Ceramic",M104)),"Building Materials",
        ISNUMBER(SEARCH("National Company for Building and Marketing",M104)),"Parent Company",
        ISNUMBER(SEARCH("Athraa Holding",M104)),"Holding Company",
        ISNUMBER(SEARCH("Al Rasan",M104)),"Contracting",
        ISNUMBER(SEARCH("Raboua Al Haid",M104)),"Trading Company",
        ISNUMBER(SEARCH("Al Jazeera Paint",M104)),"Manufacturer",
        ISNUMBER(SEARCH("Rania Works Contracting",M104)),"Contracting",
        ISNUMBER(SEARCH("Bandar Jarallah",M104)),"Trading Establishment",
        ISNUMBER(SEARCH("RS Infratec Saudi",M104)),"Same Company",
        ISNUMBER(SEARCH("Payroll",M104)),"Bank",
        ISNUMBER(SEARCH("Expatriate",M104)),"Government",
        ISNUMBER(SEARCH("Unknown Sender",M104)),"Unknown",
        TRUE,"Unknown"
    ),
    "-"
)</f>
        <v>Accounting</v>
      </c>
      <c r="AA104" s="25" t="str" cm="1">
        <f t="array" ref="AA104">_xlfn.IFNA(
    _xlfn.IFS(
        Z104="Lender","Financing",
        Z104="Accounting","Accounting",
        Z104="Shareholder","Individual",
        Z104="Equipment Rental","Equipment Rental",
        Z104="Telecom Company","Telecom",
        Z104="Manufacturer","Manufacturer",
        Z104="Trading Company","Trading And Transport",
        Z104="Trading Establishment","Trading",
        Z104="Airlines","Airlines",
        Z104="Health Insurance","Insurance",
        Z104="Consultant","Consultant",
        Z104="Tax Collection","Government",
        Z104="Travel Agency","Travel Agency",
        Z104="Medical Services","Medical Center",
        Z104="Online Payment Service","Payment Facilitator",
        Z104="Certification","Safety",
        Z104="Decor Company","Design",
        Z104="Customs","Customs",
        Z104="Government","Government",
        Z104="Service Provider","Service Provider",
        Z104="Water Company","Water Company",
        Z104="Contracting","Contracting",
        Z104="Car Show Room","Car Trader",
        Z104="Electricity Company","Electricity Company",
        Z104="Building Materials","Building Materials",
        Z104="Safety","Safety",
        Z104="Social Insurance Agency","Government Fund",
        Z104="Parent Company","Holding Company",
        Z104="Holding Company","Holding Company",
        Z104="Same Company","Construction",
        Z104="Bank","Bank",
        Z104="Unknown","Unknown",
        TRUE,"-"
    ),
    "-"
)</f>
        <v>Accounting</v>
      </c>
      <c r="AB104" s="25" t="str">
        <f t="shared" si="5"/>
        <v>-</v>
      </c>
      <c r="AC104" s="25" t="str" cm="1">
        <f t="array" ref="AC104">_xlfn.IFNA(
    _xlfn.IFS(
        Z104="Shareholder","Shareholder",
        Z104="Same Company","Same Company",
        Z104="Bank","Bank",
        Z104="Government","Government",
        Z104="Social Insurance Agency","Government",
        Z104="Parent Company","Customer",
        Z104="Lender","Lender",
        Z104="Unknown","Unknown",
        ISNUMBER(SEARCH("Abdullah Abdulkarim",M104)),"Service Provider",
        ISNUMBER(SEARCH("Abdullah Fahad",M104)),"Service Provider",
        ISNUMBER(SEARCH("Advanced Equipments",M104)),"Supplier",
        ISNUMBER(SEARCH("Al Banuk Sana",M104)),"Supplier",
        ISNUMBER(SEARCH("Al Khaleefa Factory",M104)),"Supplier",
        ISNUMBER(SEARCH("Al Saadeh Trading",M104)),"Supplier",
        ISNUMBER(SEARCH("Al Zaehaan",M104)),"Supplier",
        ISNUMBER(SEARCH("Ali Abdullah K Al Darwish",M104)),"Service Provider",
        ISNUMBER(SEARCH("Bupa Arabia",M104)),"Insurance Company",
        ISNUMBER(SEARCH("Dar Fahoosaat",M104)),"Service Provider",
        ISNUMBER(SEARCH("General Authority of Zakat",M104)),"Tax Authority",
        ISNUMBER(SEARCH("Gulf Voyager",M104)),"Service Provider",
        ISNUMBER(SEARCH("Hopeway Trading",M104)),"Supplier",
        ISNUMBER(SEARCH("Interhealth Medical",M104)),"Customer",
        ISNUMBER(SEARCH("Ishaar",M104)),"Service Provider",
        ISNUMBER(SEARCH("ISO Arabia",M104)),"Service Provider",
        ISNUMBER(SEARCH("Khalid Saad Al Otaibi",M104)),"Supplier",
        ISNUMBER(SEARCH("MERAS for Decoration",M104)),"Supplier",
        ISNUMBER(SEARCH("Middle East Customs Clearance",M104)),"Service Provider",
        ISNUMBER(SEARCH("Ministry of Human Resources",M104)),"Regulatory Agency",
        ISNUMBER(SEARCH("My Business Services",M104)),"Service Provider",
        ISNUMBER(SEARCH("National Water Company",M104)),"Utility Provider",
        ISNUMBER(SEARCH("Rania Contracting",M104)),"Supplier",
        ISNUMBER(SEARCH("Sahab United Motors",M104)),"Supplier",
        ISNUMBER(SEARCH("Saudi Electric Company",M104)),"Utility Provider",
        ISNUMBER(SEARCH("Saudi Vetonit",M104)),"Supplier",
        ISNUMBER(SEARCH("Shomoul Eng",M104)),"Service Provider",
        ISNUMBER(SEARCH("STC",M104)),"Utility Provider",
        ISNUMBER(SEARCH("The General Organization for Social Insurance",M104)),"Social Insurance Agency",
        ISNUMBER(SEARCH("TUV Rheinland",M104)),"Service Provider",
        ISNUMBER(SEARCH("Al Arabia Ceramic",M104)),"Supplier",
        ISNUMBER(SEARCH("National Company for Building",M104)),"Customer",
        ISNUMBER(SEARCH("Athraa Holding",M104)),"Customer",
        ISNUMBER(SEARCH("Al Rasan",M104)),"Supplier",
        ISNUMBER(SEARCH("Raboua Al Haid",M104)),"Customer",
        ISNUMBER(SEARCH("Al Jazeera Paint",M104)),"Supplier",
        ISNUMBER(SEARCH("Rania Works Contracting",M104)),"Supplier",
        ISNUMBER(SEARCH("Bandar Jarallah",M104)),"Supplier",
        TRUE,"Supplier"
    ),
    "-"
)</f>
        <v>Service Provider</v>
      </c>
      <c r="AD104" s="25" t="str" cm="1">
        <f t="array" ref="AD104">_xlfn.IFNA(
    _xlfn.IFS(
        AC104="Same Company","High",
        AC104="Shareholder","High",
        AC104="Government","High",
        AC104="Bank","High",
        AC104="Lender","High",
        AC104="Unknown","Low",
        AC104="-","Low",
        TRUE,"Medium"
    ),
    "-"
)</f>
        <v>Medium</v>
      </c>
      <c r="AE104" s="25" t="str">
        <f t="shared" si="6"/>
        <v>-</v>
      </c>
      <c r="AF104" s="25" t="str" cm="1">
        <f t="array" ref="AF104">_xlfn.IFNA(
    _xlfn.IFS(
        K104="Credit",
            _xlfn.IFS(
                OR(ISNUMBER(SEARCH("Rejected",L104)),ISNUMBER(SEARCH("Returned",L104))),"Other Income",
                TRUE,"Revenue"
            ),
        K104="Debit",
            _xlfn.IFS(
                ISNUMBER(SEARCH("Payroll",L104)),"OPEX",
                ISNUMBER(SEARCH("Expatriate",L104)),"OPEX",
                ISNUMBER(SEARCH("Zakat",M104)),"ZATCA",
                ISNUMBER(SEARCH("General Organization for Social Insurance",M104)),"OPEX",
                ISNUMBER(SEARCH("Saudi Electric",M104)),"OPEX",
                ISNUMBER(SEARCH("STC",M104)),"OPEX",
                ISNUMBER(SEARCH("National Water",M104)),"OPEX",
                ISNUMBER(SEARCH("Bupa",M104)),"OPEX",
                ISNUMBER(SEARCH("Abdullah Abdulkarim",M104)),"OPEX",
                ISNUMBER(SEARCH("Abdullah Fahad",M104)),"OPEX",
                ISNUMBER(SEARCH("ISO Arabia",M104)),"OPEX",
                ISNUMBER(SEARCH("Gulf Voyager",M104)),"OPEX",
                ISNUMBER(SEARCH("Ministry",M104)),"OPEX",
                ISNUMBER(SEARCH("General Authority of Zakat",M104)),"ZATCA",
                ISNUMBER(SEARCH("Rejected",L104)),"Other Income",
                TRUE,"COGS"
            ),
        TRUE,"-"
    ),
    "-"
)</f>
        <v>OPEX</v>
      </c>
      <c r="AG104" s="25" t="str" cm="1">
        <f t="array" ref="AG104">_xlfn.IFNA(
    _xlfn.IFS(
        ISNUMBER(SEARCH("Payroll",L104)),"Payroll",
        ISNUMBER(SEARCH("Expatriate",L104)),"Government Fees",
        ISNUMBER(SEARCH("Zakat",M104)),"Zakat",
        ISNUMBER(SEARCH("Social Insurance",M104)),"Social Insurance",
        ISNUMBER(SEARCH("Saudi Electric",M104)),"Electricity",
        ISNUMBER(SEARCH("STC",M104)),"Telecom",
        ISNUMBER(SEARCH("National Water",M104)),"Water",
        ISNUMBER(SEARCH("Bupa",M104)),"Insurance",
        ISNUMBER(SEARCH("Gulf Voyager",M104)),"Travel",
        ISNUMBER(SEARCH("Ministry",M104)),"Government Fees",
        ISNUMBER(SEARCH("Abdullah Abdulkarim",M104)),"Consulting",
        ISNUMBER(SEARCH("Abdullah Fahad",M104)),"Accounting",
        ISNUMBER(SEARCH("ISO Arabia",M104)),"Consulting",
        ISNUMBER(SEARCH("Rejected",L104)),"Refund",
        AF104="COGS","Inventory Purchase",
        AF104="Revenue","Revenue",
        AF104="OPEX","Other",
        AF104="ZATCA","Zakat",
        TRUE,"-"
    ),
    "-"
)</f>
        <v>Accounting</v>
      </c>
      <c r="AH104" s="25" t="str" cm="1">
        <f t="array" ref="AH104">_xlfn.IFNA(
    _xlfn.IFS(
        AF104="-","Low",
        AF104="Other","Low",
        TRUE,"Medium"
    ),
    "-"
)</f>
        <v>Medium</v>
      </c>
      <c r="AI104" s="25" t="str">
        <f t="shared" si="7"/>
        <v>-</v>
      </c>
    </row>
    <row r="105" spans="1:35" x14ac:dyDescent="0.25">
      <c r="A105" s="10">
        <v>6</v>
      </c>
      <c r="B105" s="10" t="s">
        <v>35</v>
      </c>
      <c r="C105" s="10" t="s">
        <v>36</v>
      </c>
      <c r="D105" s="10" t="s">
        <v>37</v>
      </c>
      <c r="E105" s="10" t="s">
        <v>38</v>
      </c>
      <c r="F105" s="11" t="s">
        <v>39</v>
      </c>
      <c r="G105" s="11" t="s">
        <v>40</v>
      </c>
      <c r="H105" s="12">
        <v>44965</v>
      </c>
      <c r="I105" s="20">
        <v>22031.97</v>
      </c>
      <c r="J105" s="20">
        <v>5751.15</v>
      </c>
      <c r="K105" s="10" t="s">
        <v>41</v>
      </c>
      <c r="L105" s="9" t="s">
        <v>56</v>
      </c>
      <c r="M105" s="9" t="s">
        <v>57</v>
      </c>
      <c r="N105" s="9" t="s">
        <v>58</v>
      </c>
      <c r="O105" s="9" t="s">
        <v>59</v>
      </c>
      <c r="P105" s="15">
        <v>44965</v>
      </c>
      <c r="Q105" s="9" t="s">
        <v>64</v>
      </c>
      <c r="R105" s="16">
        <v>5750</v>
      </c>
      <c r="S105" s="18">
        <v>1</v>
      </c>
      <c r="T105" s="18">
        <v>0.15</v>
      </c>
      <c r="U105" s="9" t="s">
        <v>55</v>
      </c>
      <c r="V105" s="24" t="str" cm="1">
        <f t="array" ref="V105">_xlfn.IFNA(
    _xlfn.IFS(
        ISNUMBER(SEARCH("Fast Outgoing Transfer",L105)),"Transfer",
        ISNUMBER(SEARCH("Incoming Fast Transfer",L105)),"Transfer",
        ISNUMBER(SEARCH("Outgoing International Transfer",L105)),"Transfer",
        ISNUMBER(SEARCH("Bill Payment",L105)),"SADAD",
        ISNUMBER(SEARCH("Payroll",L105)),"Payroll",
        ISNUMBER(SEARCH("Cash Deposit",L105)),"Cash",
        ISNUMBER(SEARCH("Internal Transfer",L105)),"Transfer",
        ISNUMBER(SEARCH("Expatriate Services Payment",L105)),"SADAD",
        ISNUMBER(SEARCH("Rejected",L105)),"Transfer"
    ),
    "-"
)</f>
        <v>Transfer</v>
      </c>
      <c r="W105" s="25" t="str" cm="1">
        <f t="array" ref="W105">_xlfn.IFNA(
    _xlfn.IFS(
        AND(V105="Transfer",ISNUMBER(SEARCH("RIYAD BANK",L105))),"External FI",
        AND(V105="Transfer",ISNUMBER(SEARCH("Al Ahli",L105))),"External FI",
        AND(V105="Transfer",ISNUMBER(SEARCH("CIB via",L105))),"Local Transfer",
        AND(V105="Transfer",ISNUMBER(SEARCH("CIB)",L105))),"Local Transfer",
        AND(V105="Transfer",ISNUMBER(SEARCH("SMRT",L105))),"Local Transfer",
        AND(V105="Transfer",ISNUMBER(SEARCH("Al Murabba",L105))),"Local Transfer",
        AND(V105="Transfer",ISNUMBER(SEARCH("Internal Transfer",L105))),"Same FI",
        AND(V105="Transfer",ISNUMBER(SEARCH("Rejected",L105))),"Failed",
        V105="SADAD",
            _xlfn.IFS(
                ISNUMBER(SEARCH("Expatriate",L105)),"Expat Fees",
                TRUE,"Online Payment"
            ),
        V105="Payroll","Payroll",
        V105="Cash","Deposit",
        TRUE,"-"
    ),
    "-"
)</f>
        <v>Local Transfer</v>
      </c>
      <c r="X105" s="25" t="str" cm="1">
        <f t="array" ref="X105">_xlfn.IFNA(
    _xlfn.IFS(
        V105="-","Low",
        W105="-","Low",
        TRUE,"High"
    ),
    "-"
)</f>
        <v>High</v>
      </c>
      <c r="Y105" s="25" t="str">
        <f t="shared" si="4"/>
        <v>-</v>
      </c>
      <c r="Z105" s="25" t="str" cm="1">
        <f t="array" ref="Z105">_xlfn.IFNA(
    _xlfn.IFS(
        ISNUMBER(SEARCH("Abdul Latif Jameel",M105)),"Lender",
        ISNUMBER(SEARCH("Abdullah Abdulkarim Al Sudais",M105)),"Accounting",
        ISNUMBER(SEARCH("Abdullah Fahad for Accounting",M105)),"Accounting",
        ISNUMBER(SEARCH("Abdullah Rashid Shaikh",M105)),"Shareholder",
        ISNUMBER(SEARCH("Advanced Equipments",M105)),"Equipment Rental",
        ISNUMBER(SEARCH("Al Banuk Sana",M105)),"Telecom Company",
        ISNUMBER(SEARCH("Al Khaleefa Factory",M105)),"Manufacturer",
        ISNUMBER(SEARCH("Al Saadeh Trading",M105)),"Trading Company",
        ISNUMBER(SEARCH("Al Zaehaan",M105)),"Trading Company",
        ISNUMBER(SEARCH("Ali Abdullah K Al Darwish",M105)),"Airlines",
        ISNUMBER(SEARCH("Bupa Arabia",M105)),"Health Insurance",
        ISNUMBER(SEARCH("Dar Fahoosaat",M105)),"Consultant",
        ISNUMBER(SEARCH("General Authority of Zakat",M105)),"Tax Collection",
        ISNUMBER(SEARCH("Gulf Voyager",M105)),"Travel Agency",
        ISNUMBER(SEARCH("Hopeway Trading",M105)),"Trading Company",
        ISNUMBER(SEARCH("Interhealth Medical",M105)),"Medical Services",
        ISNUMBER(SEARCH("Ishaar",M105)),"Online Payment Service",
        ISNUMBER(SEARCH("ISO Arabia",M105)),"Certification",
        ISNUMBER(SEARCH("Khalid Saad Al Otaibi",M105)),"Trading Company",
        ISNUMBER(SEARCH("MERAS for Decoration",M105)),"Decor Company",
        ISNUMBER(SEARCH("Middle East Customs Clearance",M105)),"Customs",
        ISNUMBER(SEARCH("Ministry of Human Resources",M105)),"Government",
        ISNUMBER(SEARCH("My Business Services",M105)),"Service Provider",
        ISNUMBER(SEARCH("National Water Company",M105)),"Water Company",
        ISNUMBER(SEARCH("Rania Contracting",M105)),"Contracting",
        ISNUMBER(SEARCH("Rashid Ali Sheikh",M105)),"Shareholder",
        ISNUMBER(SEARCH("Sahab United Motors",M105)),"Car Show Room",
        ISNUMBER(SEARCH("Saud Mohammed Al Tamimi",M105)),"Shareholder",
        ISNUMBER(SEARCH("Saud Mohammed Tamimi",M105)),"Shareholder",
        ISNUMBER(SEARCH("Saudi Electric Company",M105)),"Electricity Company",
        ISNUMBER(SEARCH("Saudi Vetonit",M105)),"Building Materials",
        ISNUMBER(SEARCH("Shomoul Eng",M105)),"Safety",
        ISNUMBER(SEARCH("STC",M105)),"Telecom Company",
        ISNUMBER(SEARCH("The General Organization for Social Insurance",M105)),"Social Insurance Agency",
        ISNUMBER(SEARCH("TUV Rheinland",M105)),"Certification",
        ISNUMBER(SEARCH("Al Arabia Ceramic",M105)),"Building Materials",
        ISNUMBER(SEARCH("National Company for Building and Marketing",M105)),"Parent Company",
        ISNUMBER(SEARCH("Athraa Holding",M105)),"Holding Company",
        ISNUMBER(SEARCH("Al Rasan",M105)),"Contracting",
        ISNUMBER(SEARCH("Raboua Al Haid",M105)),"Trading Company",
        ISNUMBER(SEARCH("Al Jazeera Paint",M105)),"Manufacturer",
        ISNUMBER(SEARCH("Rania Works Contracting",M105)),"Contracting",
        ISNUMBER(SEARCH("Bandar Jarallah",M105)),"Trading Establishment",
        ISNUMBER(SEARCH("RS Infratec Saudi",M105)),"Same Company",
        ISNUMBER(SEARCH("Payroll",M105)),"Bank",
        ISNUMBER(SEARCH("Expatriate",M105)),"Government",
        ISNUMBER(SEARCH("Unknown Sender",M105)),"Unknown",
        TRUE,"Unknown"
    ),
    "-"
)</f>
        <v>Accounting</v>
      </c>
      <c r="AA105" s="25" t="str" cm="1">
        <f t="array" ref="AA105">_xlfn.IFNA(
    _xlfn.IFS(
        Z105="Lender","Financing",
        Z105="Accounting","Accounting",
        Z105="Shareholder","Individual",
        Z105="Equipment Rental","Equipment Rental",
        Z105="Telecom Company","Telecom",
        Z105="Manufacturer","Manufacturer",
        Z105="Trading Company","Trading And Transport",
        Z105="Trading Establishment","Trading",
        Z105="Airlines","Airlines",
        Z105="Health Insurance","Insurance",
        Z105="Consultant","Consultant",
        Z105="Tax Collection","Government",
        Z105="Travel Agency","Travel Agency",
        Z105="Medical Services","Medical Center",
        Z105="Online Payment Service","Payment Facilitator",
        Z105="Certification","Safety",
        Z105="Decor Company","Design",
        Z105="Customs","Customs",
        Z105="Government","Government",
        Z105="Service Provider","Service Provider",
        Z105="Water Company","Water Company",
        Z105="Contracting","Contracting",
        Z105="Car Show Room","Car Trader",
        Z105="Electricity Company","Electricity Company",
        Z105="Building Materials","Building Materials",
        Z105="Safety","Safety",
        Z105="Social Insurance Agency","Government Fund",
        Z105="Parent Company","Holding Company",
        Z105="Holding Company","Holding Company",
        Z105="Same Company","Construction",
        Z105="Bank","Bank",
        Z105="Unknown","Unknown",
        TRUE,"-"
    ),
    "-"
)</f>
        <v>Accounting</v>
      </c>
      <c r="AB105" s="25" t="str">
        <f t="shared" si="5"/>
        <v>-</v>
      </c>
      <c r="AC105" s="25" t="str" cm="1">
        <f t="array" ref="AC105">_xlfn.IFNA(
    _xlfn.IFS(
        Z105="Shareholder","Shareholder",
        Z105="Same Company","Same Company",
        Z105="Bank","Bank",
        Z105="Government","Government",
        Z105="Social Insurance Agency","Government",
        Z105="Parent Company","Customer",
        Z105="Lender","Lender",
        Z105="Unknown","Unknown",
        ISNUMBER(SEARCH("Abdullah Abdulkarim",M105)),"Service Provider",
        ISNUMBER(SEARCH("Abdullah Fahad",M105)),"Service Provider",
        ISNUMBER(SEARCH("Advanced Equipments",M105)),"Supplier",
        ISNUMBER(SEARCH("Al Banuk Sana",M105)),"Supplier",
        ISNUMBER(SEARCH("Al Khaleefa Factory",M105)),"Supplier",
        ISNUMBER(SEARCH("Al Saadeh Trading",M105)),"Supplier",
        ISNUMBER(SEARCH("Al Zaehaan",M105)),"Supplier",
        ISNUMBER(SEARCH("Ali Abdullah K Al Darwish",M105)),"Service Provider",
        ISNUMBER(SEARCH("Bupa Arabia",M105)),"Insurance Company",
        ISNUMBER(SEARCH("Dar Fahoosaat",M105)),"Service Provider",
        ISNUMBER(SEARCH("General Authority of Zakat",M105)),"Tax Authority",
        ISNUMBER(SEARCH("Gulf Voyager",M105)),"Service Provider",
        ISNUMBER(SEARCH("Hopeway Trading",M105)),"Supplier",
        ISNUMBER(SEARCH("Interhealth Medical",M105)),"Customer",
        ISNUMBER(SEARCH("Ishaar",M105)),"Service Provider",
        ISNUMBER(SEARCH("ISO Arabia",M105)),"Service Provider",
        ISNUMBER(SEARCH("Khalid Saad Al Otaibi",M105)),"Supplier",
        ISNUMBER(SEARCH("MERAS for Decoration",M105)),"Supplier",
        ISNUMBER(SEARCH("Middle East Customs Clearance",M105)),"Service Provider",
        ISNUMBER(SEARCH("Ministry of Human Resources",M105)),"Regulatory Agency",
        ISNUMBER(SEARCH("My Business Services",M105)),"Service Provider",
        ISNUMBER(SEARCH("National Water Company",M105)),"Utility Provider",
        ISNUMBER(SEARCH("Rania Contracting",M105)),"Supplier",
        ISNUMBER(SEARCH("Sahab United Motors",M105)),"Supplier",
        ISNUMBER(SEARCH("Saudi Electric Company",M105)),"Utility Provider",
        ISNUMBER(SEARCH("Saudi Vetonit",M105)),"Supplier",
        ISNUMBER(SEARCH("Shomoul Eng",M105)),"Service Provider",
        ISNUMBER(SEARCH("STC",M105)),"Utility Provider",
        ISNUMBER(SEARCH("The General Organization for Social Insurance",M105)),"Social Insurance Agency",
        ISNUMBER(SEARCH("TUV Rheinland",M105)),"Service Provider",
        ISNUMBER(SEARCH("Al Arabia Ceramic",M105)),"Supplier",
        ISNUMBER(SEARCH("National Company for Building",M105)),"Customer",
        ISNUMBER(SEARCH("Athraa Holding",M105)),"Customer",
        ISNUMBER(SEARCH("Al Rasan",M105)),"Supplier",
        ISNUMBER(SEARCH("Raboua Al Haid",M105)),"Customer",
        ISNUMBER(SEARCH("Al Jazeera Paint",M105)),"Supplier",
        ISNUMBER(SEARCH("Rania Works Contracting",M105)),"Supplier",
        ISNUMBER(SEARCH("Bandar Jarallah",M105)),"Supplier",
        TRUE,"Supplier"
    ),
    "-"
)</f>
        <v>Service Provider</v>
      </c>
      <c r="AD105" s="25" t="str" cm="1">
        <f t="array" ref="AD105">_xlfn.IFNA(
    _xlfn.IFS(
        AC105="Same Company","High",
        AC105="Shareholder","High",
        AC105="Government","High",
        AC105="Bank","High",
        AC105="Lender","High",
        AC105="Unknown","Low",
        AC105="-","Low",
        TRUE,"Medium"
    ),
    "-"
)</f>
        <v>Medium</v>
      </c>
      <c r="AE105" s="25" t="str">
        <f t="shared" si="6"/>
        <v>-</v>
      </c>
      <c r="AF105" s="25" t="str" cm="1">
        <f t="array" ref="AF105">_xlfn.IFNA(
    _xlfn.IFS(
        K105="Credit",
            _xlfn.IFS(
                OR(ISNUMBER(SEARCH("Rejected",L105)),ISNUMBER(SEARCH("Returned",L105))),"Other Income",
                TRUE,"Revenue"
            ),
        K105="Debit",
            _xlfn.IFS(
                ISNUMBER(SEARCH("Payroll",L105)),"OPEX",
                ISNUMBER(SEARCH("Expatriate",L105)),"OPEX",
                ISNUMBER(SEARCH("Zakat",M105)),"ZATCA",
                ISNUMBER(SEARCH("General Organization for Social Insurance",M105)),"OPEX",
                ISNUMBER(SEARCH("Saudi Electric",M105)),"OPEX",
                ISNUMBER(SEARCH("STC",M105)),"OPEX",
                ISNUMBER(SEARCH("National Water",M105)),"OPEX",
                ISNUMBER(SEARCH("Bupa",M105)),"OPEX",
                ISNUMBER(SEARCH("Abdullah Abdulkarim",M105)),"OPEX",
                ISNUMBER(SEARCH("Abdullah Fahad",M105)),"OPEX",
                ISNUMBER(SEARCH("ISO Arabia",M105)),"OPEX",
                ISNUMBER(SEARCH("Gulf Voyager",M105)),"OPEX",
                ISNUMBER(SEARCH("Ministry",M105)),"OPEX",
                ISNUMBER(SEARCH("General Authority of Zakat",M105)),"ZATCA",
                ISNUMBER(SEARCH("Rejected",L105)),"Other Income",
                TRUE,"COGS"
            ),
        TRUE,"-"
    ),
    "-"
)</f>
        <v>OPEX</v>
      </c>
      <c r="AG105" s="25" t="str" cm="1">
        <f t="array" ref="AG105">_xlfn.IFNA(
    _xlfn.IFS(
        ISNUMBER(SEARCH("Payroll",L105)),"Payroll",
        ISNUMBER(SEARCH("Expatriate",L105)),"Government Fees",
        ISNUMBER(SEARCH("Zakat",M105)),"Zakat",
        ISNUMBER(SEARCH("Social Insurance",M105)),"Social Insurance",
        ISNUMBER(SEARCH("Saudi Electric",M105)),"Electricity",
        ISNUMBER(SEARCH("STC",M105)),"Telecom",
        ISNUMBER(SEARCH("National Water",M105)),"Water",
        ISNUMBER(SEARCH("Bupa",M105)),"Insurance",
        ISNUMBER(SEARCH("Gulf Voyager",M105)),"Travel",
        ISNUMBER(SEARCH("Ministry",M105)),"Government Fees",
        ISNUMBER(SEARCH("Abdullah Abdulkarim",M105)),"Consulting",
        ISNUMBER(SEARCH("Abdullah Fahad",M105)),"Accounting",
        ISNUMBER(SEARCH("ISO Arabia",M105)),"Consulting",
        ISNUMBER(SEARCH("Rejected",L105)),"Refund",
        AF105="COGS","Inventory Purchase",
        AF105="Revenue","Revenue",
        AF105="OPEX","Other",
        AF105="ZATCA","Zakat",
        TRUE,"-"
    ),
    "-"
)</f>
        <v>Accounting</v>
      </c>
      <c r="AH105" s="25" t="str" cm="1">
        <f t="array" ref="AH105">_xlfn.IFNA(
    _xlfn.IFS(
        AF105="-","Low",
        AF105="Other","Low",
        TRUE,"Medium"
    ),
    "-"
)</f>
        <v>Medium</v>
      </c>
      <c r="AI105" s="25" t="str">
        <f t="shared" si="7"/>
        <v>-</v>
      </c>
    </row>
    <row r="106" spans="1:35" x14ac:dyDescent="0.25">
      <c r="A106" s="10">
        <v>6</v>
      </c>
      <c r="B106" s="10" t="s">
        <v>35</v>
      </c>
      <c r="C106" s="10" t="s">
        <v>36</v>
      </c>
      <c r="D106" s="10" t="s">
        <v>37</v>
      </c>
      <c r="E106" s="10" t="s">
        <v>38</v>
      </c>
      <c r="F106" s="11" t="s">
        <v>39</v>
      </c>
      <c r="G106" s="11" t="s">
        <v>40</v>
      </c>
      <c r="H106" s="12">
        <v>45008</v>
      </c>
      <c r="I106" s="20">
        <v>598190.23</v>
      </c>
      <c r="J106" s="20">
        <v>11501.15</v>
      </c>
      <c r="K106" s="10" t="s">
        <v>41</v>
      </c>
      <c r="L106" s="9" t="s">
        <v>56</v>
      </c>
      <c r="M106" s="9" t="s">
        <v>57</v>
      </c>
      <c r="N106" s="9" t="s">
        <v>58</v>
      </c>
      <c r="O106" s="9" t="s">
        <v>59</v>
      </c>
      <c r="P106" s="15">
        <v>45008</v>
      </c>
      <c r="Q106" s="9" t="s">
        <v>65</v>
      </c>
      <c r="R106" s="16">
        <v>11500</v>
      </c>
      <c r="S106" s="18">
        <v>1</v>
      </c>
      <c r="T106" s="18">
        <v>0.15</v>
      </c>
      <c r="U106" s="9" t="s">
        <v>55</v>
      </c>
      <c r="V106" s="24" t="str" cm="1">
        <f t="array" ref="V106">_xlfn.IFNA(
    _xlfn.IFS(
        ISNUMBER(SEARCH("Fast Outgoing Transfer",L106)),"Transfer",
        ISNUMBER(SEARCH("Incoming Fast Transfer",L106)),"Transfer",
        ISNUMBER(SEARCH("Outgoing International Transfer",L106)),"Transfer",
        ISNUMBER(SEARCH("Bill Payment",L106)),"SADAD",
        ISNUMBER(SEARCH("Payroll",L106)),"Payroll",
        ISNUMBER(SEARCH("Cash Deposit",L106)),"Cash",
        ISNUMBER(SEARCH("Internal Transfer",L106)),"Transfer",
        ISNUMBER(SEARCH("Expatriate Services Payment",L106)),"SADAD",
        ISNUMBER(SEARCH("Rejected",L106)),"Transfer"
    ),
    "-"
)</f>
        <v>Transfer</v>
      </c>
      <c r="W106" s="25" t="str" cm="1">
        <f t="array" ref="W106">_xlfn.IFNA(
    _xlfn.IFS(
        AND(V106="Transfer",ISNUMBER(SEARCH("RIYAD BANK",L106))),"External FI",
        AND(V106="Transfer",ISNUMBER(SEARCH("Al Ahli",L106))),"External FI",
        AND(V106="Transfer",ISNUMBER(SEARCH("CIB via",L106))),"Local Transfer",
        AND(V106="Transfer",ISNUMBER(SEARCH("CIB)",L106))),"Local Transfer",
        AND(V106="Transfer",ISNUMBER(SEARCH("SMRT",L106))),"Local Transfer",
        AND(V106="Transfer",ISNUMBER(SEARCH("Al Murabba",L106))),"Local Transfer",
        AND(V106="Transfer",ISNUMBER(SEARCH("Internal Transfer",L106))),"Same FI",
        AND(V106="Transfer",ISNUMBER(SEARCH("Rejected",L106))),"Failed",
        V106="SADAD",
            _xlfn.IFS(
                ISNUMBER(SEARCH("Expatriate",L106)),"Expat Fees",
                TRUE,"Online Payment"
            ),
        V106="Payroll","Payroll",
        V106="Cash","Deposit",
        TRUE,"-"
    ),
    "-"
)</f>
        <v>Local Transfer</v>
      </c>
      <c r="X106" s="25" t="str" cm="1">
        <f t="array" ref="X106">_xlfn.IFNA(
    _xlfn.IFS(
        V106="-","Low",
        W106="-","Low",
        TRUE,"High"
    ),
    "-"
)</f>
        <v>High</v>
      </c>
      <c r="Y106" s="25" t="str">
        <f t="shared" si="4"/>
        <v>-</v>
      </c>
      <c r="Z106" s="25" t="str" cm="1">
        <f t="array" ref="Z106">_xlfn.IFNA(
    _xlfn.IFS(
        ISNUMBER(SEARCH("Abdul Latif Jameel",M106)),"Lender",
        ISNUMBER(SEARCH("Abdullah Abdulkarim Al Sudais",M106)),"Accounting",
        ISNUMBER(SEARCH("Abdullah Fahad for Accounting",M106)),"Accounting",
        ISNUMBER(SEARCH("Abdullah Rashid Shaikh",M106)),"Shareholder",
        ISNUMBER(SEARCH("Advanced Equipments",M106)),"Equipment Rental",
        ISNUMBER(SEARCH("Al Banuk Sana",M106)),"Telecom Company",
        ISNUMBER(SEARCH("Al Khaleefa Factory",M106)),"Manufacturer",
        ISNUMBER(SEARCH("Al Saadeh Trading",M106)),"Trading Company",
        ISNUMBER(SEARCH("Al Zaehaan",M106)),"Trading Company",
        ISNUMBER(SEARCH("Ali Abdullah K Al Darwish",M106)),"Airlines",
        ISNUMBER(SEARCH("Bupa Arabia",M106)),"Health Insurance",
        ISNUMBER(SEARCH("Dar Fahoosaat",M106)),"Consultant",
        ISNUMBER(SEARCH("General Authority of Zakat",M106)),"Tax Collection",
        ISNUMBER(SEARCH("Gulf Voyager",M106)),"Travel Agency",
        ISNUMBER(SEARCH("Hopeway Trading",M106)),"Trading Company",
        ISNUMBER(SEARCH("Interhealth Medical",M106)),"Medical Services",
        ISNUMBER(SEARCH("Ishaar",M106)),"Online Payment Service",
        ISNUMBER(SEARCH("ISO Arabia",M106)),"Certification",
        ISNUMBER(SEARCH("Khalid Saad Al Otaibi",M106)),"Trading Company",
        ISNUMBER(SEARCH("MERAS for Decoration",M106)),"Decor Company",
        ISNUMBER(SEARCH("Middle East Customs Clearance",M106)),"Customs",
        ISNUMBER(SEARCH("Ministry of Human Resources",M106)),"Government",
        ISNUMBER(SEARCH("My Business Services",M106)),"Service Provider",
        ISNUMBER(SEARCH("National Water Company",M106)),"Water Company",
        ISNUMBER(SEARCH("Rania Contracting",M106)),"Contracting",
        ISNUMBER(SEARCH("Rashid Ali Sheikh",M106)),"Shareholder",
        ISNUMBER(SEARCH("Sahab United Motors",M106)),"Car Show Room",
        ISNUMBER(SEARCH("Saud Mohammed Al Tamimi",M106)),"Shareholder",
        ISNUMBER(SEARCH("Saud Mohammed Tamimi",M106)),"Shareholder",
        ISNUMBER(SEARCH("Saudi Electric Company",M106)),"Electricity Company",
        ISNUMBER(SEARCH("Saudi Vetonit",M106)),"Building Materials",
        ISNUMBER(SEARCH("Shomoul Eng",M106)),"Safety",
        ISNUMBER(SEARCH("STC",M106)),"Telecom Company",
        ISNUMBER(SEARCH("The General Organization for Social Insurance",M106)),"Social Insurance Agency",
        ISNUMBER(SEARCH("TUV Rheinland",M106)),"Certification",
        ISNUMBER(SEARCH("Al Arabia Ceramic",M106)),"Building Materials",
        ISNUMBER(SEARCH("National Company for Building and Marketing",M106)),"Parent Company",
        ISNUMBER(SEARCH("Athraa Holding",M106)),"Holding Company",
        ISNUMBER(SEARCH("Al Rasan",M106)),"Contracting",
        ISNUMBER(SEARCH("Raboua Al Haid",M106)),"Trading Company",
        ISNUMBER(SEARCH("Al Jazeera Paint",M106)),"Manufacturer",
        ISNUMBER(SEARCH("Rania Works Contracting",M106)),"Contracting",
        ISNUMBER(SEARCH("Bandar Jarallah",M106)),"Trading Establishment",
        ISNUMBER(SEARCH("RS Infratec Saudi",M106)),"Same Company",
        ISNUMBER(SEARCH("Payroll",M106)),"Bank",
        ISNUMBER(SEARCH("Expatriate",M106)),"Government",
        ISNUMBER(SEARCH("Unknown Sender",M106)),"Unknown",
        TRUE,"Unknown"
    ),
    "-"
)</f>
        <v>Accounting</v>
      </c>
      <c r="AA106" s="25" t="str" cm="1">
        <f t="array" ref="AA106">_xlfn.IFNA(
    _xlfn.IFS(
        Z106="Lender","Financing",
        Z106="Accounting","Accounting",
        Z106="Shareholder","Individual",
        Z106="Equipment Rental","Equipment Rental",
        Z106="Telecom Company","Telecom",
        Z106="Manufacturer","Manufacturer",
        Z106="Trading Company","Trading And Transport",
        Z106="Trading Establishment","Trading",
        Z106="Airlines","Airlines",
        Z106="Health Insurance","Insurance",
        Z106="Consultant","Consultant",
        Z106="Tax Collection","Government",
        Z106="Travel Agency","Travel Agency",
        Z106="Medical Services","Medical Center",
        Z106="Online Payment Service","Payment Facilitator",
        Z106="Certification","Safety",
        Z106="Decor Company","Design",
        Z106="Customs","Customs",
        Z106="Government","Government",
        Z106="Service Provider","Service Provider",
        Z106="Water Company","Water Company",
        Z106="Contracting","Contracting",
        Z106="Car Show Room","Car Trader",
        Z106="Electricity Company","Electricity Company",
        Z106="Building Materials","Building Materials",
        Z106="Safety","Safety",
        Z106="Social Insurance Agency","Government Fund",
        Z106="Parent Company","Holding Company",
        Z106="Holding Company","Holding Company",
        Z106="Same Company","Construction",
        Z106="Bank","Bank",
        Z106="Unknown","Unknown",
        TRUE,"-"
    ),
    "-"
)</f>
        <v>Accounting</v>
      </c>
      <c r="AB106" s="25" t="str">
        <f t="shared" si="5"/>
        <v>-</v>
      </c>
      <c r="AC106" s="25" t="str" cm="1">
        <f t="array" ref="AC106">_xlfn.IFNA(
    _xlfn.IFS(
        Z106="Shareholder","Shareholder",
        Z106="Same Company","Same Company",
        Z106="Bank","Bank",
        Z106="Government","Government",
        Z106="Social Insurance Agency","Government",
        Z106="Parent Company","Customer",
        Z106="Lender","Lender",
        Z106="Unknown","Unknown",
        ISNUMBER(SEARCH("Abdullah Abdulkarim",M106)),"Service Provider",
        ISNUMBER(SEARCH("Abdullah Fahad",M106)),"Service Provider",
        ISNUMBER(SEARCH("Advanced Equipments",M106)),"Supplier",
        ISNUMBER(SEARCH("Al Banuk Sana",M106)),"Supplier",
        ISNUMBER(SEARCH("Al Khaleefa Factory",M106)),"Supplier",
        ISNUMBER(SEARCH("Al Saadeh Trading",M106)),"Supplier",
        ISNUMBER(SEARCH("Al Zaehaan",M106)),"Supplier",
        ISNUMBER(SEARCH("Ali Abdullah K Al Darwish",M106)),"Service Provider",
        ISNUMBER(SEARCH("Bupa Arabia",M106)),"Insurance Company",
        ISNUMBER(SEARCH("Dar Fahoosaat",M106)),"Service Provider",
        ISNUMBER(SEARCH("General Authority of Zakat",M106)),"Tax Authority",
        ISNUMBER(SEARCH("Gulf Voyager",M106)),"Service Provider",
        ISNUMBER(SEARCH("Hopeway Trading",M106)),"Supplier",
        ISNUMBER(SEARCH("Interhealth Medical",M106)),"Customer",
        ISNUMBER(SEARCH("Ishaar",M106)),"Service Provider",
        ISNUMBER(SEARCH("ISO Arabia",M106)),"Service Provider",
        ISNUMBER(SEARCH("Khalid Saad Al Otaibi",M106)),"Supplier",
        ISNUMBER(SEARCH("MERAS for Decoration",M106)),"Supplier",
        ISNUMBER(SEARCH("Middle East Customs Clearance",M106)),"Service Provider",
        ISNUMBER(SEARCH("Ministry of Human Resources",M106)),"Regulatory Agency",
        ISNUMBER(SEARCH("My Business Services",M106)),"Service Provider",
        ISNUMBER(SEARCH("National Water Company",M106)),"Utility Provider",
        ISNUMBER(SEARCH("Rania Contracting",M106)),"Supplier",
        ISNUMBER(SEARCH("Sahab United Motors",M106)),"Supplier",
        ISNUMBER(SEARCH("Saudi Electric Company",M106)),"Utility Provider",
        ISNUMBER(SEARCH("Saudi Vetonit",M106)),"Supplier",
        ISNUMBER(SEARCH("Shomoul Eng",M106)),"Service Provider",
        ISNUMBER(SEARCH("STC",M106)),"Utility Provider",
        ISNUMBER(SEARCH("The General Organization for Social Insurance",M106)),"Social Insurance Agency",
        ISNUMBER(SEARCH("TUV Rheinland",M106)),"Service Provider",
        ISNUMBER(SEARCH("Al Arabia Ceramic",M106)),"Supplier",
        ISNUMBER(SEARCH("National Company for Building",M106)),"Customer",
        ISNUMBER(SEARCH("Athraa Holding",M106)),"Customer",
        ISNUMBER(SEARCH("Al Rasan",M106)),"Supplier",
        ISNUMBER(SEARCH("Raboua Al Haid",M106)),"Customer",
        ISNUMBER(SEARCH("Al Jazeera Paint",M106)),"Supplier",
        ISNUMBER(SEARCH("Rania Works Contracting",M106)),"Supplier",
        ISNUMBER(SEARCH("Bandar Jarallah",M106)),"Supplier",
        TRUE,"Supplier"
    ),
    "-"
)</f>
        <v>Service Provider</v>
      </c>
      <c r="AD106" s="25" t="str" cm="1">
        <f t="array" ref="AD106">_xlfn.IFNA(
    _xlfn.IFS(
        AC106="Same Company","High",
        AC106="Shareholder","High",
        AC106="Government","High",
        AC106="Bank","High",
        AC106="Lender","High",
        AC106="Unknown","Low",
        AC106="-","Low",
        TRUE,"Medium"
    ),
    "-"
)</f>
        <v>Medium</v>
      </c>
      <c r="AE106" s="25" t="str">
        <f t="shared" si="6"/>
        <v>-</v>
      </c>
      <c r="AF106" s="25" t="str" cm="1">
        <f t="array" ref="AF106">_xlfn.IFNA(
    _xlfn.IFS(
        K106="Credit",
            _xlfn.IFS(
                OR(ISNUMBER(SEARCH("Rejected",L106)),ISNUMBER(SEARCH("Returned",L106))),"Other Income",
                TRUE,"Revenue"
            ),
        K106="Debit",
            _xlfn.IFS(
                ISNUMBER(SEARCH("Payroll",L106)),"OPEX",
                ISNUMBER(SEARCH("Expatriate",L106)),"OPEX",
                ISNUMBER(SEARCH("Zakat",M106)),"ZATCA",
                ISNUMBER(SEARCH("General Organization for Social Insurance",M106)),"OPEX",
                ISNUMBER(SEARCH("Saudi Electric",M106)),"OPEX",
                ISNUMBER(SEARCH("STC",M106)),"OPEX",
                ISNUMBER(SEARCH("National Water",M106)),"OPEX",
                ISNUMBER(SEARCH("Bupa",M106)),"OPEX",
                ISNUMBER(SEARCH("Abdullah Abdulkarim",M106)),"OPEX",
                ISNUMBER(SEARCH("Abdullah Fahad",M106)),"OPEX",
                ISNUMBER(SEARCH("ISO Arabia",M106)),"OPEX",
                ISNUMBER(SEARCH("Gulf Voyager",M106)),"OPEX",
                ISNUMBER(SEARCH("Ministry",M106)),"OPEX",
                ISNUMBER(SEARCH("General Authority of Zakat",M106)),"ZATCA",
                ISNUMBER(SEARCH("Rejected",L106)),"Other Income",
                TRUE,"COGS"
            ),
        TRUE,"-"
    ),
    "-"
)</f>
        <v>OPEX</v>
      </c>
      <c r="AG106" s="25" t="str" cm="1">
        <f t="array" ref="AG106">_xlfn.IFNA(
    _xlfn.IFS(
        ISNUMBER(SEARCH("Payroll",L106)),"Payroll",
        ISNUMBER(SEARCH("Expatriate",L106)),"Government Fees",
        ISNUMBER(SEARCH("Zakat",M106)),"Zakat",
        ISNUMBER(SEARCH("Social Insurance",M106)),"Social Insurance",
        ISNUMBER(SEARCH("Saudi Electric",M106)),"Electricity",
        ISNUMBER(SEARCH("STC",M106)),"Telecom",
        ISNUMBER(SEARCH("National Water",M106)),"Water",
        ISNUMBER(SEARCH("Bupa",M106)),"Insurance",
        ISNUMBER(SEARCH("Gulf Voyager",M106)),"Travel",
        ISNUMBER(SEARCH("Ministry",M106)),"Government Fees",
        ISNUMBER(SEARCH("Abdullah Abdulkarim",M106)),"Consulting",
        ISNUMBER(SEARCH("Abdullah Fahad",M106)),"Accounting",
        ISNUMBER(SEARCH("ISO Arabia",M106)),"Consulting",
        ISNUMBER(SEARCH("Rejected",L106)),"Refund",
        AF106="COGS","Inventory Purchase",
        AF106="Revenue","Revenue",
        AF106="OPEX","Other",
        AF106="ZATCA","Zakat",
        TRUE,"-"
    ),
    "-"
)</f>
        <v>Accounting</v>
      </c>
      <c r="AH106" s="25" t="str" cm="1">
        <f t="array" ref="AH106">_xlfn.IFNA(
    _xlfn.IFS(
        AF106="-","Low",
        AF106="Other","Low",
        TRUE,"Medium"
    ),
    "-"
)</f>
        <v>Medium</v>
      </c>
      <c r="AI106" s="25" t="str">
        <f t="shared" si="7"/>
        <v>-</v>
      </c>
    </row>
    <row r="107" spans="1:35" x14ac:dyDescent="0.25">
      <c r="A107" s="10">
        <v>6</v>
      </c>
      <c r="B107" s="10" t="s">
        <v>35</v>
      </c>
      <c r="C107" s="10" t="s">
        <v>36</v>
      </c>
      <c r="D107" s="10" t="s">
        <v>37</v>
      </c>
      <c r="E107" s="10" t="s">
        <v>38</v>
      </c>
      <c r="F107" s="11" t="s">
        <v>39</v>
      </c>
      <c r="G107" s="11" t="s">
        <v>40</v>
      </c>
      <c r="H107" s="12">
        <v>44938</v>
      </c>
      <c r="I107" s="20">
        <v>20480.16</v>
      </c>
      <c r="J107" s="20">
        <v>2425</v>
      </c>
      <c r="K107" s="10" t="s">
        <v>41</v>
      </c>
      <c r="L107" s="9" t="s">
        <v>147</v>
      </c>
      <c r="M107" s="9" t="s">
        <v>148</v>
      </c>
      <c r="N107" s="9">
        <v>17440601373369</v>
      </c>
      <c r="O107" s="9" t="s">
        <v>44</v>
      </c>
      <c r="P107" s="15">
        <v>44938</v>
      </c>
      <c r="Q107" s="9" t="s">
        <v>149</v>
      </c>
      <c r="R107" s="16">
        <v>2425</v>
      </c>
      <c r="U107" s="9" t="s">
        <v>46</v>
      </c>
      <c r="V107" s="24" t="str" cm="1">
        <f t="array" ref="V107">_xlfn.IFNA(
    _xlfn.IFS(
        ISNUMBER(SEARCH("Fast Outgoing Transfer",L107)),"Transfer",
        ISNUMBER(SEARCH("Incoming Fast Transfer",L107)),"Transfer",
        ISNUMBER(SEARCH("Outgoing International Transfer",L107)),"Transfer",
        ISNUMBER(SEARCH("Bill Payment",L107)),"SADAD",
        ISNUMBER(SEARCH("Payroll",L107)),"Payroll",
        ISNUMBER(SEARCH("Cash Deposit",L107)),"Cash",
        ISNUMBER(SEARCH("Internal Transfer",L107)),"Transfer",
        ISNUMBER(SEARCH("Expatriate Services Payment",L107)),"SADAD",
        ISNUMBER(SEARCH("Rejected",L107)),"Transfer"
    ),
    "-"
)</f>
        <v>SADAD</v>
      </c>
      <c r="W107" s="25" t="str" cm="1">
        <f t="array" ref="W107">_xlfn.IFNA(
    _xlfn.IFS(
        AND(V107="Transfer",ISNUMBER(SEARCH("RIYAD BANK",L107))),"External FI",
        AND(V107="Transfer",ISNUMBER(SEARCH("Al Ahli",L107))),"External FI",
        AND(V107="Transfer",ISNUMBER(SEARCH("CIB via",L107))),"Local Transfer",
        AND(V107="Transfer",ISNUMBER(SEARCH("CIB)",L107))),"Local Transfer",
        AND(V107="Transfer",ISNUMBER(SEARCH("SMRT",L107))),"Local Transfer",
        AND(V107="Transfer",ISNUMBER(SEARCH("Al Murabba",L107))),"Local Transfer",
        AND(V107="Transfer",ISNUMBER(SEARCH("Internal Transfer",L107))),"Same FI",
        AND(V107="Transfer",ISNUMBER(SEARCH("Rejected",L107))),"Failed",
        V107="SADAD",
            _xlfn.IFS(
                ISNUMBER(SEARCH("Expatriate",L107)),"Expat Fees",
                TRUE,"Online Payment"
            ),
        V107="Payroll","Payroll",
        V107="Cash","Deposit",
        TRUE,"-"
    ),
    "-"
)</f>
        <v>Online Payment</v>
      </c>
      <c r="X107" s="25" t="str" cm="1">
        <f t="array" ref="X107">_xlfn.IFNA(
    _xlfn.IFS(
        V107="-","Low",
        W107="-","Low",
        TRUE,"High"
    ),
    "-"
)</f>
        <v>High</v>
      </c>
      <c r="Y107" s="25" t="str">
        <f t="shared" si="4"/>
        <v>-</v>
      </c>
      <c r="Z107" s="25" t="str" cm="1">
        <f t="array" ref="Z107">_xlfn.IFNA(
    _xlfn.IFS(
        ISNUMBER(SEARCH("Abdul Latif Jameel",M107)),"Lender",
        ISNUMBER(SEARCH("Abdullah Abdulkarim Al Sudais",M107)),"Accounting",
        ISNUMBER(SEARCH("Abdullah Fahad for Accounting",M107)),"Accounting",
        ISNUMBER(SEARCH("Abdullah Rashid Shaikh",M107)),"Shareholder",
        ISNUMBER(SEARCH("Advanced Equipments",M107)),"Equipment Rental",
        ISNUMBER(SEARCH("Al Banuk Sana",M107)),"Telecom Company",
        ISNUMBER(SEARCH("Al Khaleefa Factory",M107)),"Manufacturer",
        ISNUMBER(SEARCH("Al Saadeh Trading",M107)),"Trading Company",
        ISNUMBER(SEARCH("Al Zaehaan",M107)),"Trading Company",
        ISNUMBER(SEARCH("Ali Abdullah K Al Darwish",M107)),"Airlines",
        ISNUMBER(SEARCH("Bupa Arabia",M107)),"Health Insurance",
        ISNUMBER(SEARCH("Dar Fahoosaat",M107)),"Consultant",
        ISNUMBER(SEARCH("General Authority of Zakat",M107)),"Tax Collection",
        ISNUMBER(SEARCH("Gulf Voyager",M107)),"Travel Agency",
        ISNUMBER(SEARCH("Hopeway Trading",M107)),"Trading Company",
        ISNUMBER(SEARCH("Interhealth Medical",M107)),"Medical Services",
        ISNUMBER(SEARCH("Ishaar",M107)),"Online Payment Service",
        ISNUMBER(SEARCH("ISO Arabia",M107)),"Certification",
        ISNUMBER(SEARCH("Khalid Saad Al Otaibi",M107)),"Trading Company",
        ISNUMBER(SEARCH("MERAS for Decoration",M107)),"Decor Company",
        ISNUMBER(SEARCH("Middle East Customs Clearance",M107)),"Customs",
        ISNUMBER(SEARCH("Ministry of Human Resources",M107)),"Government",
        ISNUMBER(SEARCH("My Business Services",M107)),"Service Provider",
        ISNUMBER(SEARCH("National Water Company",M107)),"Water Company",
        ISNUMBER(SEARCH("Rania Contracting",M107)),"Contracting",
        ISNUMBER(SEARCH("Rashid Ali Sheikh",M107)),"Shareholder",
        ISNUMBER(SEARCH("Sahab United Motors",M107)),"Car Show Room",
        ISNUMBER(SEARCH("Saud Mohammed Al Tamimi",M107)),"Shareholder",
        ISNUMBER(SEARCH("Saud Mohammed Tamimi",M107)),"Shareholder",
        ISNUMBER(SEARCH("Saudi Electric Company",M107)),"Electricity Company",
        ISNUMBER(SEARCH("Saudi Vetonit",M107)),"Building Materials",
        ISNUMBER(SEARCH("Shomoul Eng",M107)),"Safety",
        ISNUMBER(SEARCH("STC",M107)),"Telecom Company",
        ISNUMBER(SEARCH("The General Organization for Social Insurance",M107)),"Social Insurance Agency",
        ISNUMBER(SEARCH("TUV Rheinland",M107)),"Certification",
        ISNUMBER(SEARCH("Al Arabia Ceramic",M107)),"Building Materials",
        ISNUMBER(SEARCH("National Company for Building and Marketing",M107)),"Parent Company",
        ISNUMBER(SEARCH("Athraa Holding",M107)),"Holding Company",
        ISNUMBER(SEARCH("Al Rasan",M107)),"Contracting",
        ISNUMBER(SEARCH("Raboua Al Haid",M107)),"Trading Company",
        ISNUMBER(SEARCH("Al Jazeera Paint",M107)),"Manufacturer",
        ISNUMBER(SEARCH("Rania Works Contracting",M107)),"Contracting",
        ISNUMBER(SEARCH("Bandar Jarallah",M107)),"Trading Establishment",
        ISNUMBER(SEARCH("RS Infratec Saudi",M107)),"Same Company",
        ISNUMBER(SEARCH("Payroll",M107)),"Bank",
        ISNUMBER(SEARCH("Expatriate",M107)),"Government",
        ISNUMBER(SEARCH("Unknown Sender",M107)),"Unknown",
        TRUE,"Unknown"
    ),
    "-"
)</f>
        <v>Government</v>
      </c>
      <c r="AA107" s="25" t="str" cm="1">
        <f t="array" ref="AA107">_xlfn.IFNA(
    _xlfn.IFS(
        Z107="Lender","Financing",
        Z107="Accounting","Accounting",
        Z107="Shareholder","Individual",
        Z107="Equipment Rental","Equipment Rental",
        Z107="Telecom Company","Telecom",
        Z107="Manufacturer","Manufacturer",
        Z107="Trading Company","Trading And Transport",
        Z107="Trading Establishment","Trading",
        Z107="Airlines","Airlines",
        Z107="Health Insurance","Insurance",
        Z107="Consultant","Consultant",
        Z107="Tax Collection","Government",
        Z107="Travel Agency","Travel Agency",
        Z107="Medical Services","Medical Center",
        Z107="Online Payment Service","Payment Facilitator",
        Z107="Certification","Safety",
        Z107="Decor Company","Design",
        Z107="Customs","Customs",
        Z107="Government","Government",
        Z107="Service Provider","Service Provider",
        Z107="Water Company","Water Company",
        Z107="Contracting","Contracting",
        Z107="Car Show Room","Car Trader",
        Z107="Electricity Company","Electricity Company",
        Z107="Building Materials","Building Materials",
        Z107="Safety","Safety",
        Z107="Social Insurance Agency","Government Fund",
        Z107="Parent Company","Holding Company",
        Z107="Holding Company","Holding Company",
        Z107="Same Company","Construction",
        Z107="Bank","Bank",
        Z107="Unknown","Unknown",
        TRUE,"-"
    ),
    "-"
)</f>
        <v>Government</v>
      </c>
      <c r="AB107" s="25" t="str">
        <f t="shared" si="5"/>
        <v>-</v>
      </c>
      <c r="AC107" s="25" t="str" cm="1">
        <f t="array" ref="AC107">_xlfn.IFNA(
    _xlfn.IFS(
        Z107="Shareholder","Shareholder",
        Z107="Same Company","Same Company",
        Z107="Bank","Bank",
        Z107="Government","Government",
        Z107="Social Insurance Agency","Government",
        Z107="Parent Company","Customer",
        Z107="Lender","Lender",
        Z107="Unknown","Unknown",
        ISNUMBER(SEARCH("Abdullah Abdulkarim",M107)),"Service Provider",
        ISNUMBER(SEARCH("Abdullah Fahad",M107)),"Service Provider",
        ISNUMBER(SEARCH("Advanced Equipments",M107)),"Supplier",
        ISNUMBER(SEARCH("Al Banuk Sana",M107)),"Supplier",
        ISNUMBER(SEARCH("Al Khaleefa Factory",M107)),"Supplier",
        ISNUMBER(SEARCH("Al Saadeh Trading",M107)),"Supplier",
        ISNUMBER(SEARCH("Al Zaehaan",M107)),"Supplier",
        ISNUMBER(SEARCH("Ali Abdullah K Al Darwish",M107)),"Service Provider",
        ISNUMBER(SEARCH("Bupa Arabia",M107)),"Insurance Company",
        ISNUMBER(SEARCH("Dar Fahoosaat",M107)),"Service Provider",
        ISNUMBER(SEARCH("General Authority of Zakat",M107)),"Tax Authority",
        ISNUMBER(SEARCH("Gulf Voyager",M107)),"Service Provider",
        ISNUMBER(SEARCH("Hopeway Trading",M107)),"Supplier",
        ISNUMBER(SEARCH("Interhealth Medical",M107)),"Customer",
        ISNUMBER(SEARCH("Ishaar",M107)),"Service Provider",
        ISNUMBER(SEARCH("ISO Arabia",M107)),"Service Provider",
        ISNUMBER(SEARCH("Khalid Saad Al Otaibi",M107)),"Supplier",
        ISNUMBER(SEARCH("MERAS for Decoration",M107)),"Supplier",
        ISNUMBER(SEARCH("Middle East Customs Clearance",M107)),"Service Provider",
        ISNUMBER(SEARCH("Ministry of Human Resources",M107)),"Regulatory Agency",
        ISNUMBER(SEARCH("My Business Services",M107)),"Service Provider",
        ISNUMBER(SEARCH("National Water Company",M107)),"Utility Provider",
        ISNUMBER(SEARCH("Rania Contracting",M107)),"Supplier",
        ISNUMBER(SEARCH("Sahab United Motors",M107)),"Supplier",
        ISNUMBER(SEARCH("Saudi Electric Company",M107)),"Utility Provider",
        ISNUMBER(SEARCH("Saudi Vetonit",M107)),"Supplier",
        ISNUMBER(SEARCH("Shomoul Eng",M107)),"Service Provider",
        ISNUMBER(SEARCH("STC",M107)),"Utility Provider",
        ISNUMBER(SEARCH("The General Organization for Social Insurance",M107)),"Social Insurance Agency",
        ISNUMBER(SEARCH("TUV Rheinland",M107)),"Service Provider",
        ISNUMBER(SEARCH("Al Arabia Ceramic",M107)),"Supplier",
        ISNUMBER(SEARCH("National Company for Building",M107)),"Customer",
        ISNUMBER(SEARCH("Athraa Holding",M107)),"Customer",
        ISNUMBER(SEARCH("Al Rasan",M107)),"Supplier",
        ISNUMBER(SEARCH("Raboua Al Haid",M107)),"Customer",
        ISNUMBER(SEARCH("Al Jazeera Paint",M107)),"Supplier",
        ISNUMBER(SEARCH("Rania Works Contracting",M107)),"Supplier",
        ISNUMBER(SEARCH("Bandar Jarallah",M107)),"Supplier",
        TRUE,"Supplier"
    ),
    "-"
)</f>
        <v>Government</v>
      </c>
      <c r="AD107" s="25" t="str" cm="1">
        <f t="array" ref="AD107">_xlfn.IFNA(
    _xlfn.IFS(
        AC107="Same Company","High",
        AC107="Shareholder","High",
        AC107="Government","High",
        AC107="Bank","High",
        AC107="Lender","High",
        AC107="Unknown","Low",
        AC107="-","Low",
        TRUE,"Medium"
    ),
    "-"
)</f>
        <v>High</v>
      </c>
      <c r="AE107" s="25" t="str">
        <f t="shared" si="6"/>
        <v>-</v>
      </c>
      <c r="AF107" s="25" t="str" cm="1">
        <f t="array" ref="AF107">_xlfn.IFNA(
    _xlfn.IFS(
        K107="Credit",
            _xlfn.IFS(
                OR(ISNUMBER(SEARCH("Rejected",L107)),ISNUMBER(SEARCH("Returned",L107))),"Other Income",
                TRUE,"Revenue"
            ),
        K107="Debit",
            _xlfn.IFS(
                ISNUMBER(SEARCH("Payroll",L107)),"OPEX",
                ISNUMBER(SEARCH("Expatriate",L107)),"OPEX",
                ISNUMBER(SEARCH("Zakat",M107)),"ZATCA",
                ISNUMBER(SEARCH("General Organization for Social Insurance",M107)),"OPEX",
                ISNUMBER(SEARCH("Saudi Electric",M107)),"OPEX",
                ISNUMBER(SEARCH("STC",M107)),"OPEX",
                ISNUMBER(SEARCH("National Water",M107)),"OPEX",
                ISNUMBER(SEARCH("Bupa",M107)),"OPEX",
                ISNUMBER(SEARCH("Abdullah Abdulkarim",M107)),"OPEX",
                ISNUMBER(SEARCH("Abdullah Fahad",M107)),"OPEX",
                ISNUMBER(SEARCH("ISO Arabia",M107)),"OPEX",
                ISNUMBER(SEARCH("Gulf Voyager",M107)),"OPEX",
                ISNUMBER(SEARCH("Ministry",M107)),"OPEX",
                ISNUMBER(SEARCH("General Authority of Zakat",M107)),"ZATCA",
                ISNUMBER(SEARCH("Rejected",L107)),"Other Income",
                TRUE,"COGS"
            ),
        TRUE,"-"
    ),
    "-"
)</f>
        <v>OPEX</v>
      </c>
      <c r="AG107" s="25" t="str" cm="1">
        <f t="array" ref="AG107">_xlfn.IFNA(
    _xlfn.IFS(
        ISNUMBER(SEARCH("Payroll",L107)),"Payroll",
        ISNUMBER(SEARCH("Expatriate",L107)),"Government Fees",
        ISNUMBER(SEARCH("Zakat",M107)),"Zakat",
        ISNUMBER(SEARCH("Social Insurance",M107)),"Social Insurance",
        ISNUMBER(SEARCH("Saudi Electric",M107)),"Electricity",
        ISNUMBER(SEARCH("STC",M107)),"Telecom",
        ISNUMBER(SEARCH("National Water",M107)),"Water",
        ISNUMBER(SEARCH("Bupa",M107)),"Insurance",
        ISNUMBER(SEARCH("Gulf Voyager",M107)),"Travel",
        ISNUMBER(SEARCH("Ministry",M107)),"Government Fees",
        ISNUMBER(SEARCH("Abdullah Abdulkarim",M107)),"Consulting",
        ISNUMBER(SEARCH("Abdullah Fahad",M107)),"Accounting",
        ISNUMBER(SEARCH("ISO Arabia",M107)),"Consulting",
        ISNUMBER(SEARCH("Rejected",L107)),"Refund",
        AF107="COGS","Inventory Purchase",
        AF107="Revenue","Revenue",
        AF107="OPEX","Other",
        AF107="ZATCA","Zakat",
        TRUE,"-"
    ),
    "-"
)</f>
        <v>Government Fees</v>
      </c>
      <c r="AH107" s="25" t="str" cm="1">
        <f t="array" ref="AH107">_xlfn.IFNA(
    _xlfn.IFS(
        AF107="-","Low",
        AF107="Other","Low",
        TRUE,"Medium"
    ),
    "-"
)</f>
        <v>Medium</v>
      </c>
      <c r="AI107" s="25" t="str">
        <f t="shared" si="7"/>
        <v>-</v>
      </c>
    </row>
    <row r="108" spans="1:35" x14ac:dyDescent="0.25">
      <c r="A108" s="10">
        <v>6</v>
      </c>
      <c r="B108" s="10" t="s">
        <v>35</v>
      </c>
      <c r="C108" s="10" t="s">
        <v>36</v>
      </c>
      <c r="D108" s="10" t="s">
        <v>37</v>
      </c>
      <c r="E108" s="10" t="s">
        <v>38</v>
      </c>
      <c r="F108" s="11" t="s">
        <v>39</v>
      </c>
      <c r="G108" s="11" t="s">
        <v>40</v>
      </c>
      <c r="H108" s="12">
        <v>44938</v>
      </c>
      <c r="I108" s="20">
        <v>18055.16</v>
      </c>
      <c r="J108" s="20">
        <v>2425</v>
      </c>
      <c r="K108" s="10" t="s">
        <v>41</v>
      </c>
      <c r="L108" s="9" t="s">
        <v>147</v>
      </c>
      <c r="M108" s="9" t="s">
        <v>148</v>
      </c>
      <c r="N108" s="9">
        <v>16440601373755</v>
      </c>
      <c r="O108" s="9" t="s">
        <v>44</v>
      </c>
      <c r="P108" s="15">
        <v>44938</v>
      </c>
      <c r="Q108" s="9" t="s">
        <v>150</v>
      </c>
      <c r="R108" s="16">
        <v>2425</v>
      </c>
      <c r="U108" s="9" t="s">
        <v>46</v>
      </c>
      <c r="V108" s="24" t="str" cm="1">
        <f t="array" ref="V108">_xlfn.IFNA(
    _xlfn.IFS(
        ISNUMBER(SEARCH("Fast Outgoing Transfer",L108)),"Transfer",
        ISNUMBER(SEARCH("Incoming Fast Transfer",L108)),"Transfer",
        ISNUMBER(SEARCH("Outgoing International Transfer",L108)),"Transfer",
        ISNUMBER(SEARCH("Bill Payment",L108)),"SADAD",
        ISNUMBER(SEARCH("Payroll",L108)),"Payroll",
        ISNUMBER(SEARCH("Cash Deposit",L108)),"Cash",
        ISNUMBER(SEARCH("Internal Transfer",L108)),"Transfer",
        ISNUMBER(SEARCH("Expatriate Services Payment",L108)),"SADAD",
        ISNUMBER(SEARCH("Rejected",L108)),"Transfer"
    ),
    "-"
)</f>
        <v>SADAD</v>
      </c>
      <c r="W108" s="25" t="str" cm="1">
        <f t="array" ref="W108">_xlfn.IFNA(
    _xlfn.IFS(
        AND(V108="Transfer",ISNUMBER(SEARCH("RIYAD BANK",L108))),"External FI",
        AND(V108="Transfer",ISNUMBER(SEARCH("Al Ahli",L108))),"External FI",
        AND(V108="Transfer",ISNUMBER(SEARCH("CIB via",L108))),"Local Transfer",
        AND(V108="Transfer",ISNUMBER(SEARCH("CIB)",L108))),"Local Transfer",
        AND(V108="Transfer",ISNUMBER(SEARCH("SMRT",L108))),"Local Transfer",
        AND(V108="Transfer",ISNUMBER(SEARCH("Al Murabba",L108))),"Local Transfer",
        AND(V108="Transfer",ISNUMBER(SEARCH("Internal Transfer",L108))),"Same FI",
        AND(V108="Transfer",ISNUMBER(SEARCH("Rejected",L108))),"Failed",
        V108="SADAD",
            _xlfn.IFS(
                ISNUMBER(SEARCH("Expatriate",L108)),"Expat Fees",
                TRUE,"Online Payment"
            ),
        V108="Payroll","Payroll",
        V108="Cash","Deposit",
        TRUE,"-"
    ),
    "-"
)</f>
        <v>Online Payment</v>
      </c>
      <c r="X108" s="25" t="str" cm="1">
        <f t="array" ref="X108">_xlfn.IFNA(
    _xlfn.IFS(
        V108="-","Low",
        W108="-","Low",
        TRUE,"High"
    ),
    "-"
)</f>
        <v>High</v>
      </c>
      <c r="Y108" s="25" t="str">
        <f t="shared" si="4"/>
        <v>-</v>
      </c>
      <c r="Z108" s="25" t="str" cm="1">
        <f t="array" ref="Z108">_xlfn.IFNA(
    _xlfn.IFS(
        ISNUMBER(SEARCH("Abdul Latif Jameel",M108)),"Lender",
        ISNUMBER(SEARCH("Abdullah Abdulkarim Al Sudais",M108)),"Accounting",
        ISNUMBER(SEARCH("Abdullah Fahad for Accounting",M108)),"Accounting",
        ISNUMBER(SEARCH("Abdullah Rashid Shaikh",M108)),"Shareholder",
        ISNUMBER(SEARCH("Advanced Equipments",M108)),"Equipment Rental",
        ISNUMBER(SEARCH("Al Banuk Sana",M108)),"Telecom Company",
        ISNUMBER(SEARCH("Al Khaleefa Factory",M108)),"Manufacturer",
        ISNUMBER(SEARCH("Al Saadeh Trading",M108)),"Trading Company",
        ISNUMBER(SEARCH("Al Zaehaan",M108)),"Trading Company",
        ISNUMBER(SEARCH("Ali Abdullah K Al Darwish",M108)),"Airlines",
        ISNUMBER(SEARCH("Bupa Arabia",M108)),"Health Insurance",
        ISNUMBER(SEARCH("Dar Fahoosaat",M108)),"Consultant",
        ISNUMBER(SEARCH("General Authority of Zakat",M108)),"Tax Collection",
        ISNUMBER(SEARCH("Gulf Voyager",M108)),"Travel Agency",
        ISNUMBER(SEARCH("Hopeway Trading",M108)),"Trading Company",
        ISNUMBER(SEARCH("Interhealth Medical",M108)),"Medical Services",
        ISNUMBER(SEARCH("Ishaar",M108)),"Online Payment Service",
        ISNUMBER(SEARCH("ISO Arabia",M108)),"Certification",
        ISNUMBER(SEARCH("Khalid Saad Al Otaibi",M108)),"Trading Company",
        ISNUMBER(SEARCH("MERAS for Decoration",M108)),"Decor Company",
        ISNUMBER(SEARCH("Middle East Customs Clearance",M108)),"Customs",
        ISNUMBER(SEARCH("Ministry of Human Resources",M108)),"Government",
        ISNUMBER(SEARCH("My Business Services",M108)),"Service Provider",
        ISNUMBER(SEARCH("National Water Company",M108)),"Water Company",
        ISNUMBER(SEARCH("Rania Contracting",M108)),"Contracting",
        ISNUMBER(SEARCH("Rashid Ali Sheikh",M108)),"Shareholder",
        ISNUMBER(SEARCH("Sahab United Motors",M108)),"Car Show Room",
        ISNUMBER(SEARCH("Saud Mohammed Al Tamimi",M108)),"Shareholder",
        ISNUMBER(SEARCH("Saud Mohammed Tamimi",M108)),"Shareholder",
        ISNUMBER(SEARCH("Saudi Electric Company",M108)),"Electricity Company",
        ISNUMBER(SEARCH("Saudi Vetonit",M108)),"Building Materials",
        ISNUMBER(SEARCH("Shomoul Eng",M108)),"Safety",
        ISNUMBER(SEARCH("STC",M108)),"Telecom Company",
        ISNUMBER(SEARCH("The General Organization for Social Insurance",M108)),"Social Insurance Agency",
        ISNUMBER(SEARCH("TUV Rheinland",M108)),"Certification",
        ISNUMBER(SEARCH("Al Arabia Ceramic",M108)),"Building Materials",
        ISNUMBER(SEARCH("National Company for Building and Marketing",M108)),"Parent Company",
        ISNUMBER(SEARCH("Athraa Holding",M108)),"Holding Company",
        ISNUMBER(SEARCH("Al Rasan",M108)),"Contracting",
        ISNUMBER(SEARCH("Raboua Al Haid",M108)),"Trading Company",
        ISNUMBER(SEARCH("Al Jazeera Paint",M108)),"Manufacturer",
        ISNUMBER(SEARCH("Rania Works Contracting",M108)),"Contracting",
        ISNUMBER(SEARCH("Bandar Jarallah",M108)),"Trading Establishment",
        ISNUMBER(SEARCH("RS Infratec Saudi",M108)),"Same Company",
        ISNUMBER(SEARCH("Payroll",M108)),"Bank",
        ISNUMBER(SEARCH("Expatriate",M108)),"Government",
        ISNUMBER(SEARCH("Unknown Sender",M108)),"Unknown",
        TRUE,"Unknown"
    ),
    "-"
)</f>
        <v>Government</v>
      </c>
      <c r="AA108" s="25" t="str" cm="1">
        <f t="array" ref="AA108">_xlfn.IFNA(
    _xlfn.IFS(
        Z108="Lender","Financing",
        Z108="Accounting","Accounting",
        Z108="Shareholder","Individual",
        Z108="Equipment Rental","Equipment Rental",
        Z108="Telecom Company","Telecom",
        Z108="Manufacturer","Manufacturer",
        Z108="Trading Company","Trading And Transport",
        Z108="Trading Establishment","Trading",
        Z108="Airlines","Airlines",
        Z108="Health Insurance","Insurance",
        Z108="Consultant","Consultant",
        Z108="Tax Collection","Government",
        Z108="Travel Agency","Travel Agency",
        Z108="Medical Services","Medical Center",
        Z108="Online Payment Service","Payment Facilitator",
        Z108="Certification","Safety",
        Z108="Decor Company","Design",
        Z108="Customs","Customs",
        Z108="Government","Government",
        Z108="Service Provider","Service Provider",
        Z108="Water Company","Water Company",
        Z108="Contracting","Contracting",
        Z108="Car Show Room","Car Trader",
        Z108="Electricity Company","Electricity Company",
        Z108="Building Materials","Building Materials",
        Z108="Safety","Safety",
        Z108="Social Insurance Agency","Government Fund",
        Z108="Parent Company","Holding Company",
        Z108="Holding Company","Holding Company",
        Z108="Same Company","Construction",
        Z108="Bank","Bank",
        Z108="Unknown","Unknown",
        TRUE,"-"
    ),
    "-"
)</f>
        <v>Government</v>
      </c>
      <c r="AB108" s="25" t="str">
        <f t="shared" si="5"/>
        <v>-</v>
      </c>
      <c r="AC108" s="25" t="str" cm="1">
        <f t="array" ref="AC108">_xlfn.IFNA(
    _xlfn.IFS(
        Z108="Shareholder","Shareholder",
        Z108="Same Company","Same Company",
        Z108="Bank","Bank",
        Z108="Government","Government",
        Z108="Social Insurance Agency","Government",
        Z108="Parent Company","Customer",
        Z108="Lender","Lender",
        Z108="Unknown","Unknown",
        ISNUMBER(SEARCH("Abdullah Abdulkarim",M108)),"Service Provider",
        ISNUMBER(SEARCH("Abdullah Fahad",M108)),"Service Provider",
        ISNUMBER(SEARCH("Advanced Equipments",M108)),"Supplier",
        ISNUMBER(SEARCH("Al Banuk Sana",M108)),"Supplier",
        ISNUMBER(SEARCH("Al Khaleefa Factory",M108)),"Supplier",
        ISNUMBER(SEARCH("Al Saadeh Trading",M108)),"Supplier",
        ISNUMBER(SEARCH("Al Zaehaan",M108)),"Supplier",
        ISNUMBER(SEARCH("Ali Abdullah K Al Darwish",M108)),"Service Provider",
        ISNUMBER(SEARCH("Bupa Arabia",M108)),"Insurance Company",
        ISNUMBER(SEARCH("Dar Fahoosaat",M108)),"Service Provider",
        ISNUMBER(SEARCH("General Authority of Zakat",M108)),"Tax Authority",
        ISNUMBER(SEARCH("Gulf Voyager",M108)),"Service Provider",
        ISNUMBER(SEARCH("Hopeway Trading",M108)),"Supplier",
        ISNUMBER(SEARCH("Interhealth Medical",M108)),"Customer",
        ISNUMBER(SEARCH("Ishaar",M108)),"Service Provider",
        ISNUMBER(SEARCH("ISO Arabia",M108)),"Service Provider",
        ISNUMBER(SEARCH("Khalid Saad Al Otaibi",M108)),"Supplier",
        ISNUMBER(SEARCH("MERAS for Decoration",M108)),"Supplier",
        ISNUMBER(SEARCH("Middle East Customs Clearance",M108)),"Service Provider",
        ISNUMBER(SEARCH("Ministry of Human Resources",M108)),"Regulatory Agency",
        ISNUMBER(SEARCH("My Business Services",M108)),"Service Provider",
        ISNUMBER(SEARCH("National Water Company",M108)),"Utility Provider",
        ISNUMBER(SEARCH("Rania Contracting",M108)),"Supplier",
        ISNUMBER(SEARCH("Sahab United Motors",M108)),"Supplier",
        ISNUMBER(SEARCH("Saudi Electric Company",M108)),"Utility Provider",
        ISNUMBER(SEARCH("Saudi Vetonit",M108)),"Supplier",
        ISNUMBER(SEARCH("Shomoul Eng",M108)),"Service Provider",
        ISNUMBER(SEARCH("STC",M108)),"Utility Provider",
        ISNUMBER(SEARCH("The General Organization for Social Insurance",M108)),"Social Insurance Agency",
        ISNUMBER(SEARCH("TUV Rheinland",M108)),"Service Provider",
        ISNUMBER(SEARCH("Al Arabia Ceramic",M108)),"Supplier",
        ISNUMBER(SEARCH("National Company for Building",M108)),"Customer",
        ISNUMBER(SEARCH("Athraa Holding",M108)),"Customer",
        ISNUMBER(SEARCH("Al Rasan",M108)),"Supplier",
        ISNUMBER(SEARCH("Raboua Al Haid",M108)),"Customer",
        ISNUMBER(SEARCH("Al Jazeera Paint",M108)),"Supplier",
        ISNUMBER(SEARCH("Rania Works Contracting",M108)),"Supplier",
        ISNUMBER(SEARCH("Bandar Jarallah",M108)),"Supplier",
        TRUE,"Supplier"
    ),
    "-"
)</f>
        <v>Government</v>
      </c>
      <c r="AD108" s="25" t="str" cm="1">
        <f t="array" ref="AD108">_xlfn.IFNA(
    _xlfn.IFS(
        AC108="Same Company","High",
        AC108="Shareholder","High",
        AC108="Government","High",
        AC108="Bank","High",
        AC108="Lender","High",
        AC108="Unknown","Low",
        AC108="-","Low",
        TRUE,"Medium"
    ),
    "-"
)</f>
        <v>High</v>
      </c>
      <c r="AE108" s="25" t="str">
        <f t="shared" si="6"/>
        <v>-</v>
      </c>
      <c r="AF108" s="25" t="str" cm="1">
        <f t="array" ref="AF108">_xlfn.IFNA(
    _xlfn.IFS(
        K108="Credit",
            _xlfn.IFS(
                OR(ISNUMBER(SEARCH("Rejected",L108)),ISNUMBER(SEARCH("Returned",L108))),"Other Income",
                TRUE,"Revenue"
            ),
        K108="Debit",
            _xlfn.IFS(
                ISNUMBER(SEARCH("Payroll",L108)),"OPEX",
                ISNUMBER(SEARCH("Expatriate",L108)),"OPEX",
                ISNUMBER(SEARCH("Zakat",M108)),"ZATCA",
                ISNUMBER(SEARCH("General Organization for Social Insurance",M108)),"OPEX",
                ISNUMBER(SEARCH("Saudi Electric",M108)),"OPEX",
                ISNUMBER(SEARCH("STC",M108)),"OPEX",
                ISNUMBER(SEARCH("National Water",M108)),"OPEX",
                ISNUMBER(SEARCH("Bupa",M108)),"OPEX",
                ISNUMBER(SEARCH("Abdullah Abdulkarim",M108)),"OPEX",
                ISNUMBER(SEARCH("Abdullah Fahad",M108)),"OPEX",
                ISNUMBER(SEARCH("ISO Arabia",M108)),"OPEX",
                ISNUMBER(SEARCH("Gulf Voyager",M108)),"OPEX",
                ISNUMBER(SEARCH("Ministry",M108)),"OPEX",
                ISNUMBER(SEARCH("General Authority of Zakat",M108)),"ZATCA",
                ISNUMBER(SEARCH("Rejected",L108)),"Other Income",
                TRUE,"COGS"
            ),
        TRUE,"-"
    ),
    "-"
)</f>
        <v>OPEX</v>
      </c>
      <c r="AG108" s="25" t="str" cm="1">
        <f t="array" ref="AG108">_xlfn.IFNA(
    _xlfn.IFS(
        ISNUMBER(SEARCH("Payroll",L108)),"Payroll",
        ISNUMBER(SEARCH("Expatriate",L108)),"Government Fees",
        ISNUMBER(SEARCH("Zakat",M108)),"Zakat",
        ISNUMBER(SEARCH("Social Insurance",M108)),"Social Insurance",
        ISNUMBER(SEARCH("Saudi Electric",M108)),"Electricity",
        ISNUMBER(SEARCH("STC",M108)),"Telecom",
        ISNUMBER(SEARCH("National Water",M108)),"Water",
        ISNUMBER(SEARCH("Bupa",M108)),"Insurance",
        ISNUMBER(SEARCH("Gulf Voyager",M108)),"Travel",
        ISNUMBER(SEARCH("Ministry",M108)),"Government Fees",
        ISNUMBER(SEARCH("Abdullah Abdulkarim",M108)),"Consulting",
        ISNUMBER(SEARCH("Abdullah Fahad",M108)),"Accounting",
        ISNUMBER(SEARCH("ISO Arabia",M108)),"Consulting",
        ISNUMBER(SEARCH("Rejected",L108)),"Refund",
        AF108="COGS","Inventory Purchase",
        AF108="Revenue","Revenue",
        AF108="OPEX","Other",
        AF108="ZATCA","Zakat",
        TRUE,"-"
    ),
    "-"
)</f>
        <v>Government Fees</v>
      </c>
      <c r="AH108" s="25" t="str" cm="1">
        <f t="array" ref="AH108">_xlfn.IFNA(
    _xlfn.IFS(
        AF108="-","Low",
        AF108="Other","Low",
        TRUE,"Medium"
    ),
    "-"
)</f>
        <v>Medium</v>
      </c>
      <c r="AI108" s="25" t="str">
        <f t="shared" si="7"/>
        <v>-</v>
      </c>
    </row>
    <row r="109" spans="1:35" x14ac:dyDescent="0.25">
      <c r="A109" s="10">
        <v>6</v>
      </c>
      <c r="B109" s="10" t="s">
        <v>35</v>
      </c>
      <c r="C109" s="10" t="s">
        <v>36</v>
      </c>
      <c r="D109" s="10" t="s">
        <v>37</v>
      </c>
      <c r="E109" s="10" t="s">
        <v>38</v>
      </c>
      <c r="F109" s="11" t="s">
        <v>39</v>
      </c>
      <c r="G109" s="11" t="s">
        <v>40</v>
      </c>
      <c r="H109" s="12">
        <v>44938</v>
      </c>
      <c r="I109" s="20">
        <v>15630.16</v>
      </c>
      <c r="J109" s="20">
        <v>2425</v>
      </c>
      <c r="K109" s="10" t="s">
        <v>41</v>
      </c>
      <c r="L109" s="9" t="s">
        <v>147</v>
      </c>
      <c r="M109" s="9" t="s">
        <v>148</v>
      </c>
      <c r="N109" s="9">
        <v>13440601373635</v>
      </c>
      <c r="O109" s="9" t="s">
        <v>44</v>
      </c>
      <c r="P109" s="15">
        <v>44938</v>
      </c>
      <c r="Q109" s="9" t="s">
        <v>151</v>
      </c>
      <c r="R109" s="16">
        <v>2425</v>
      </c>
      <c r="U109" s="9" t="s">
        <v>46</v>
      </c>
      <c r="V109" s="24" t="str" cm="1">
        <f t="array" ref="V109">_xlfn.IFNA(
    _xlfn.IFS(
        ISNUMBER(SEARCH("Fast Outgoing Transfer",L109)),"Transfer",
        ISNUMBER(SEARCH("Incoming Fast Transfer",L109)),"Transfer",
        ISNUMBER(SEARCH("Outgoing International Transfer",L109)),"Transfer",
        ISNUMBER(SEARCH("Bill Payment",L109)),"SADAD",
        ISNUMBER(SEARCH("Payroll",L109)),"Payroll",
        ISNUMBER(SEARCH("Cash Deposit",L109)),"Cash",
        ISNUMBER(SEARCH("Internal Transfer",L109)),"Transfer",
        ISNUMBER(SEARCH("Expatriate Services Payment",L109)),"SADAD",
        ISNUMBER(SEARCH("Rejected",L109)),"Transfer"
    ),
    "-"
)</f>
        <v>SADAD</v>
      </c>
      <c r="W109" s="25" t="str" cm="1">
        <f t="array" ref="W109">_xlfn.IFNA(
    _xlfn.IFS(
        AND(V109="Transfer",ISNUMBER(SEARCH("RIYAD BANK",L109))),"External FI",
        AND(V109="Transfer",ISNUMBER(SEARCH("Al Ahli",L109))),"External FI",
        AND(V109="Transfer",ISNUMBER(SEARCH("CIB via",L109))),"Local Transfer",
        AND(V109="Transfer",ISNUMBER(SEARCH("CIB)",L109))),"Local Transfer",
        AND(V109="Transfer",ISNUMBER(SEARCH("SMRT",L109))),"Local Transfer",
        AND(V109="Transfer",ISNUMBER(SEARCH("Al Murabba",L109))),"Local Transfer",
        AND(V109="Transfer",ISNUMBER(SEARCH("Internal Transfer",L109))),"Same FI",
        AND(V109="Transfer",ISNUMBER(SEARCH("Rejected",L109))),"Failed",
        V109="SADAD",
            _xlfn.IFS(
                ISNUMBER(SEARCH("Expatriate",L109)),"Expat Fees",
                TRUE,"Online Payment"
            ),
        V109="Payroll","Payroll",
        V109="Cash","Deposit",
        TRUE,"-"
    ),
    "-"
)</f>
        <v>Online Payment</v>
      </c>
      <c r="X109" s="25" t="str" cm="1">
        <f t="array" ref="X109">_xlfn.IFNA(
    _xlfn.IFS(
        V109="-","Low",
        W109="-","Low",
        TRUE,"High"
    ),
    "-"
)</f>
        <v>High</v>
      </c>
      <c r="Y109" s="25" t="str">
        <f t="shared" si="4"/>
        <v>-</v>
      </c>
      <c r="Z109" s="25" t="str" cm="1">
        <f t="array" ref="Z109">_xlfn.IFNA(
    _xlfn.IFS(
        ISNUMBER(SEARCH("Abdul Latif Jameel",M109)),"Lender",
        ISNUMBER(SEARCH("Abdullah Abdulkarim Al Sudais",M109)),"Accounting",
        ISNUMBER(SEARCH("Abdullah Fahad for Accounting",M109)),"Accounting",
        ISNUMBER(SEARCH("Abdullah Rashid Shaikh",M109)),"Shareholder",
        ISNUMBER(SEARCH("Advanced Equipments",M109)),"Equipment Rental",
        ISNUMBER(SEARCH("Al Banuk Sana",M109)),"Telecom Company",
        ISNUMBER(SEARCH("Al Khaleefa Factory",M109)),"Manufacturer",
        ISNUMBER(SEARCH("Al Saadeh Trading",M109)),"Trading Company",
        ISNUMBER(SEARCH("Al Zaehaan",M109)),"Trading Company",
        ISNUMBER(SEARCH("Ali Abdullah K Al Darwish",M109)),"Airlines",
        ISNUMBER(SEARCH("Bupa Arabia",M109)),"Health Insurance",
        ISNUMBER(SEARCH("Dar Fahoosaat",M109)),"Consultant",
        ISNUMBER(SEARCH("General Authority of Zakat",M109)),"Tax Collection",
        ISNUMBER(SEARCH("Gulf Voyager",M109)),"Travel Agency",
        ISNUMBER(SEARCH("Hopeway Trading",M109)),"Trading Company",
        ISNUMBER(SEARCH("Interhealth Medical",M109)),"Medical Services",
        ISNUMBER(SEARCH("Ishaar",M109)),"Online Payment Service",
        ISNUMBER(SEARCH("ISO Arabia",M109)),"Certification",
        ISNUMBER(SEARCH("Khalid Saad Al Otaibi",M109)),"Trading Company",
        ISNUMBER(SEARCH("MERAS for Decoration",M109)),"Decor Company",
        ISNUMBER(SEARCH("Middle East Customs Clearance",M109)),"Customs",
        ISNUMBER(SEARCH("Ministry of Human Resources",M109)),"Government",
        ISNUMBER(SEARCH("My Business Services",M109)),"Service Provider",
        ISNUMBER(SEARCH("National Water Company",M109)),"Water Company",
        ISNUMBER(SEARCH("Rania Contracting",M109)),"Contracting",
        ISNUMBER(SEARCH("Rashid Ali Sheikh",M109)),"Shareholder",
        ISNUMBER(SEARCH("Sahab United Motors",M109)),"Car Show Room",
        ISNUMBER(SEARCH("Saud Mohammed Al Tamimi",M109)),"Shareholder",
        ISNUMBER(SEARCH("Saud Mohammed Tamimi",M109)),"Shareholder",
        ISNUMBER(SEARCH("Saudi Electric Company",M109)),"Electricity Company",
        ISNUMBER(SEARCH("Saudi Vetonit",M109)),"Building Materials",
        ISNUMBER(SEARCH("Shomoul Eng",M109)),"Safety",
        ISNUMBER(SEARCH("STC",M109)),"Telecom Company",
        ISNUMBER(SEARCH("The General Organization for Social Insurance",M109)),"Social Insurance Agency",
        ISNUMBER(SEARCH("TUV Rheinland",M109)),"Certification",
        ISNUMBER(SEARCH("Al Arabia Ceramic",M109)),"Building Materials",
        ISNUMBER(SEARCH("National Company for Building and Marketing",M109)),"Parent Company",
        ISNUMBER(SEARCH("Athraa Holding",M109)),"Holding Company",
        ISNUMBER(SEARCH("Al Rasan",M109)),"Contracting",
        ISNUMBER(SEARCH("Raboua Al Haid",M109)),"Trading Company",
        ISNUMBER(SEARCH("Al Jazeera Paint",M109)),"Manufacturer",
        ISNUMBER(SEARCH("Rania Works Contracting",M109)),"Contracting",
        ISNUMBER(SEARCH("Bandar Jarallah",M109)),"Trading Establishment",
        ISNUMBER(SEARCH("RS Infratec Saudi",M109)),"Same Company",
        ISNUMBER(SEARCH("Payroll",M109)),"Bank",
        ISNUMBER(SEARCH("Expatriate",M109)),"Government",
        ISNUMBER(SEARCH("Unknown Sender",M109)),"Unknown",
        TRUE,"Unknown"
    ),
    "-"
)</f>
        <v>Government</v>
      </c>
      <c r="AA109" s="25" t="str" cm="1">
        <f t="array" ref="AA109">_xlfn.IFNA(
    _xlfn.IFS(
        Z109="Lender","Financing",
        Z109="Accounting","Accounting",
        Z109="Shareholder","Individual",
        Z109="Equipment Rental","Equipment Rental",
        Z109="Telecom Company","Telecom",
        Z109="Manufacturer","Manufacturer",
        Z109="Trading Company","Trading And Transport",
        Z109="Trading Establishment","Trading",
        Z109="Airlines","Airlines",
        Z109="Health Insurance","Insurance",
        Z109="Consultant","Consultant",
        Z109="Tax Collection","Government",
        Z109="Travel Agency","Travel Agency",
        Z109="Medical Services","Medical Center",
        Z109="Online Payment Service","Payment Facilitator",
        Z109="Certification","Safety",
        Z109="Decor Company","Design",
        Z109="Customs","Customs",
        Z109="Government","Government",
        Z109="Service Provider","Service Provider",
        Z109="Water Company","Water Company",
        Z109="Contracting","Contracting",
        Z109="Car Show Room","Car Trader",
        Z109="Electricity Company","Electricity Company",
        Z109="Building Materials","Building Materials",
        Z109="Safety","Safety",
        Z109="Social Insurance Agency","Government Fund",
        Z109="Parent Company","Holding Company",
        Z109="Holding Company","Holding Company",
        Z109="Same Company","Construction",
        Z109="Bank","Bank",
        Z109="Unknown","Unknown",
        TRUE,"-"
    ),
    "-"
)</f>
        <v>Government</v>
      </c>
      <c r="AB109" s="25" t="str">
        <f t="shared" si="5"/>
        <v>-</v>
      </c>
      <c r="AC109" s="25" t="str" cm="1">
        <f t="array" ref="AC109">_xlfn.IFNA(
    _xlfn.IFS(
        Z109="Shareholder","Shareholder",
        Z109="Same Company","Same Company",
        Z109="Bank","Bank",
        Z109="Government","Government",
        Z109="Social Insurance Agency","Government",
        Z109="Parent Company","Customer",
        Z109="Lender","Lender",
        Z109="Unknown","Unknown",
        ISNUMBER(SEARCH("Abdullah Abdulkarim",M109)),"Service Provider",
        ISNUMBER(SEARCH("Abdullah Fahad",M109)),"Service Provider",
        ISNUMBER(SEARCH("Advanced Equipments",M109)),"Supplier",
        ISNUMBER(SEARCH("Al Banuk Sana",M109)),"Supplier",
        ISNUMBER(SEARCH("Al Khaleefa Factory",M109)),"Supplier",
        ISNUMBER(SEARCH("Al Saadeh Trading",M109)),"Supplier",
        ISNUMBER(SEARCH("Al Zaehaan",M109)),"Supplier",
        ISNUMBER(SEARCH("Ali Abdullah K Al Darwish",M109)),"Service Provider",
        ISNUMBER(SEARCH("Bupa Arabia",M109)),"Insurance Company",
        ISNUMBER(SEARCH("Dar Fahoosaat",M109)),"Service Provider",
        ISNUMBER(SEARCH("General Authority of Zakat",M109)),"Tax Authority",
        ISNUMBER(SEARCH("Gulf Voyager",M109)),"Service Provider",
        ISNUMBER(SEARCH("Hopeway Trading",M109)),"Supplier",
        ISNUMBER(SEARCH("Interhealth Medical",M109)),"Customer",
        ISNUMBER(SEARCH("Ishaar",M109)),"Service Provider",
        ISNUMBER(SEARCH("ISO Arabia",M109)),"Service Provider",
        ISNUMBER(SEARCH("Khalid Saad Al Otaibi",M109)),"Supplier",
        ISNUMBER(SEARCH("MERAS for Decoration",M109)),"Supplier",
        ISNUMBER(SEARCH("Middle East Customs Clearance",M109)),"Service Provider",
        ISNUMBER(SEARCH("Ministry of Human Resources",M109)),"Regulatory Agency",
        ISNUMBER(SEARCH("My Business Services",M109)),"Service Provider",
        ISNUMBER(SEARCH("National Water Company",M109)),"Utility Provider",
        ISNUMBER(SEARCH("Rania Contracting",M109)),"Supplier",
        ISNUMBER(SEARCH("Sahab United Motors",M109)),"Supplier",
        ISNUMBER(SEARCH("Saudi Electric Company",M109)),"Utility Provider",
        ISNUMBER(SEARCH("Saudi Vetonit",M109)),"Supplier",
        ISNUMBER(SEARCH("Shomoul Eng",M109)),"Service Provider",
        ISNUMBER(SEARCH("STC",M109)),"Utility Provider",
        ISNUMBER(SEARCH("The General Organization for Social Insurance",M109)),"Social Insurance Agency",
        ISNUMBER(SEARCH("TUV Rheinland",M109)),"Service Provider",
        ISNUMBER(SEARCH("Al Arabia Ceramic",M109)),"Supplier",
        ISNUMBER(SEARCH("National Company for Building",M109)),"Customer",
        ISNUMBER(SEARCH("Athraa Holding",M109)),"Customer",
        ISNUMBER(SEARCH("Al Rasan",M109)),"Supplier",
        ISNUMBER(SEARCH("Raboua Al Haid",M109)),"Customer",
        ISNUMBER(SEARCH("Al Jazeera Paint",M109)),"Supplier",
        ISNUMBER(SEARCH("Rania Works Contracting",M109)),"Supplier",
        ISNUMBER(SEARCH("Bandar Jarallah",M109)),"Supplier",
        TRUE,"Supplier"
    ),
    "-"
)</f>
        <v>Government</v>
      </c>
      <c r="AD109" s="25" t="str" cm="1">
        <f t="array" ref="AD109">_xlfn.IFNA(
    _xlfn.IFS(
        AC109="Same Company","High",
        AC109="Shareholder","High",
        AC109="Government","High",
        AC109="Bank","High",
        AC109="Lender","High",
        AC109="Unknown","Low",
        AC109="-","Low",
        TRUE,"Medium"
    ),
    "-"
)</f>
        <v>High</v>
      </c>
      <c r="AE109" s="25" t="str">
        <f t="shared" si="6"/>
        <v>-</v>
      </c>
      <c r="AF109" s="25" t="str" cm="1">
        <f t="array" ref="AF109">_xlfn.IFNA(
    _xlfn.IFS(
        K109="Credit",
            _xlfn.IFS(
                OR(ISNUMBER(SEARCH("Rejected",L109)),ISNUMBER(SEARCH("Returned",L109))),"Other Income",
                TRUE,"Revenue"
            ),
        K109="Debit",
            _xlfn.IFS(
                ISNUMBER(SEARCH("Payroll",L109)),"OPEX",
                ISNUMBER(SEARCH("Expatriate",L109)),"OPEX",
                ISNUMBER(SEARCH("Zakat",M109)),"ZATCA",
                ISNUMBER(SEARCH("General Organization for Social Insurance",M109)),"OPEX",
                ISNUMBER(SEARCH("Saudi Electric",M109)),"OPEX",
                ISNUMBER(SEARCH("STC",M109)),"OPEX",
                ISNUMBER(SEARCH("National Water",M109)),"OPEX",
                ISNUMBER(SEARCH("Bupa",M109)),"OPEX",
                ISNUMBER(SEARCH("Abdullah Abdulkarim",M109)),"OPEX",
                ISNUMBER(SEARCH("Abdullah Fahad",M109)),"OPEX",
                ISNUMBER(SEARCH("ISO Arabia",M109)),"OPEX",
                ISNUMBER(SEARCH("Gulf Voyager",M109)),"OPEX",
                ISNUMBER(SEARCH("Ministry",M109)),"OPEX",
                ISNUMBER(SEARCH("General Authority of Zakat",M109)),"ZATCA",
                ISNUMBER(SEARCH("Rejected",L109)),"Other Income",
                TRUE,"COGS"
            ),
        TRUE,"-"
    ),
    "-"
)</f>
        <v>OPEX</v>
      </c>
      <c r="AG109" s="25" t="str" cm="1">
        <f t="array" ref="AG109">_xlfn.IFNA(
    _xlfn.IFS(
        ISNUMBER(SEARCH("Payroll",L109)),"Payroll",
        ISNUMBER(SEARCH("Expatriate",L109)),"Government Fees",
        ISNUMBER(SEARCH("Zakat",M109)),"Zakat",
        ISNUMBER(SEARCH("Social Insurance",M109)),"Social Insurance",
        ISNUMBER(SEARCH("Saudi Electric",M109)),"Electricity",
        ISNUMBER(SEARCH("STC",M109)),"Telecom",
        ISNUMBER(SEARCH("National Water",M109)),"Water",
        ISNUMBER(SEARCH("Bupa",M109)),"Insurance",
        ISNUMBER(SEARCH("Gulf Voyager",M109)),"Travel",
        ISNUMBER(SEARCH("Ministry",M109)),"Government Fees",
        ISNUMBER(SEARCH("Abdullah Abdulkarim",M109)),"Consulting",
        ISNUMBER(SEARCH("Abdullah Fahad",M109)),"Accounting",
        ISNUMBER(SEARCH("ISO Arabia",M109)),"Consulting",
        ISNUMBER(SEARCH("Rejected",L109)),"Refund",
        AF109="COGS","Inventory Purchase",
        AF109="Revenue","Revenue",
        AF109="OPEX","Other",
        AF109="ZATCA","Zakat",
        TRUE,"-"
    ),
    "-"
)</f>
        <v>Government Fees</v>
      </c>
      <c r="AH109" s="25" t="str" cm="1">
        <f t="array" ref="AH109">_xlfn.IFNA(
    _xlfn.IFS(
        AF109="-","Low",
        AF109="Other","Low",
        TRUE,"Medium"
    ),
    "-"
)</f>
        <v>Medium</v>
      </c>
      <c r="AI109" s="25" t="str">
        <f t="shared" si="7"/>
        <v>-</v>
      </c>
    </row>
    <row r="110" spans="1:35" x14ac:dyDescent="0.25">
      <c r="A110" s="10">
        <v>6</v>
      </c>
      <c r="B110" s="10" t="s">
        <v>35</v>
      </c>
      <c r="C110" s="10" t="s">
        <v>36</v>
      </c>
      <c r="D110" s="10" t="s">
        <v>37</v>
      </c>
      <c r="E110" s="10" t="s">
        <v>38</v>
      </c>
      <c r="F110" s="11" t="s">
        <v>39</v>
      </c>
      <c r="G110" s="11" t="s">
        <v>40</v>
      </c>
      <c r="H110" s="12">
        <v>44952</v>
      </c>
      <c r="I110" s="20">
        <v>54935.74</v>
      </c>
      <c r="J110" s="20">
        <v>24250</v>
      </c>
      <c r="K110" s="10" t="s">
        <v>41</v>
      </c>
      <c r="L110" s="9" t="s">
        <v>147</v>
      </c>
      <c r="M110" s="9" t="s">
        <v>148</v>
      </c>
      <c r="N110" s="9">
        <v>11440701758329</v>
      </c>
      <c r="O110" s="9" t="s">
        <v>44</v>
      </c>
      <c r="P110" s="15">
        <v>44952</v>
      </c>
      <c r="Q110" s="9" t="s">
        <v>152</v>
      </c>
      <c r="R110" s="16">
        <v>24250</v>
      </c>
      <c r="U110" s="9" t="s">
        <v>46</v>
      </c>
      <c r="V110" s="24" t="str" cm="1">
        <f t="array" ref="V110">_xlfn.IFNA(
    _xlfn.IFS(
        ISNUMBER(SEARCH("Fast Outgoing Transfer",L110)),"Transfer",
        ISNUMBER(SEARCH("Incoming Fast Transfer",L110)),"Transfer",
        ISNUMBER(SEARCH("Outgoing International Transfer",L110)),"Transfer",
        ISNUMBER(SEARCH("Bill Payment",L110)),"SADAD",
        ISNUMBER(SEARCH("Payroll",L110)),"Payroll",
        ISNUMBER(SEARCH("Cash Deposit",L110)),"Cash",
        ISNUMBER(SEARCH("Internal Transfer",L110)),"Transfer",
        ISNUMBER(SEARCH("Expatriate Services Payment",L110)),"SADAD",
        ISNUMBER(SEARCH("Rejected",L110)),"Transfer"
    ),
    "-"
)</f>
        <v>SADAD</v>
      </c>
      <c r="W110" s="25" t="str" cm="1">
        <f t="array" ref="W110">_xlfn.IFNA(
    _xlfn.IFS(
        AND(V110="Transfer",ISNUMBER(SEARCH("RIYAD BANK",L110))),"External FI",
        AND(V110="Transfer",ISNUMBER(SEARCH("Al Ahli",L110))),"External FI",
        AND(V110="Transfer",ISNUMBER(SEARCH("CIB via",L110))),"Local Transfer",
        AND(V110="Transfer",ISNUMBER(SEARCH("CIB)",L110))),"Local Transfer",
        AND(V110="Transfer",ISNUMBER(SEARCH("SMRT",L110))),"Local Transfer",
        AND(V110="Transfer",ISNUMBER(SEARCH("Al Murabba",L110))),"Local Transfer",
        AND(V110="Transfer",ISNUMBER(SEARCH("Internal Transfer",L110))),"Same FI",
        AND(V110="Transfer",ISNUMBER(SEARCH("Rejected",L110))),"Failed",
        V110="SADAD",
            _xlfn.IFS(
                ISNUMBER(SEARCH("Expatriate",L110)),"Expat Fees",
                TRUE,"Online Payment"
            ),
        V110="Payroll","Payroll",
        V110="Cash","Deposit",
        TRUE,"-"
    ),
    "-"
)</f>
        <v>Online Payment</v>
      </c>
      <c r="X110" s="25" t="str" cm="1">
        <f t="array" ref="X110">_xlfn.IFNA(
    _xlfn.IFS(
        V110="-","Low",
        W110="-","Low",
        TRUE,"High"
    ),
    "-"
)</f>
        <v>High</v>
      </c>
      <c r="Y110" s="25" t="str">
        <f t="shared" si="4"/>
        <v>-</v>
      </c>
      <c r="Z110" s="25" t="str" cm="1">
        <f t="array" ref="Z110">_xlfn.IFNA(
    _xlfn.IFS(
        ISNUMBER(SEARCH("Abdul Latif Jameel",M110)),"Lender",
        ISNUMBER(SEARCH("Abdullah Abdulkarim Al Sudais",M110)),"Accounting",
        ISNUMBER(SEARCH("Abdullah Fahad for Accounting",M110)),"Accounting",
        ISNUMBER(SEARCH("Abdullah Rashid Shaikh",M110)),"Shareholder",
        ISNUMBER(SEARCH("Advanced Equipments",M110)),"Equipment Rental",
        ISNUMBER(SEARCH("Al Banuk Sana",M110)),"Telecom Company",
        ISNUMBER(SEARCH("Al Khaleefa Factory",M110)),"Manufacturer",
        ISNUMBER(SEARCH("Al Saadeh Trading",M110)),"Trading Company",
        ISNUMBER(SEARCH("Al Zaehaan",M110)),"Trading Company",
        ISNUMBER(SEARCH("Ali Abdullah K Al Darwish",M110)),"Airlines",
        ISNUMBER(SEARCH("Bupa Arabia",M110)),"Health Insurance",
        ISNUMBER(SEARCH("Dar Fahoosaat",M110)),"Consultant",
        ISNUMBER(SEARCH("General Authority of Zakat",M110)),"Tax Collection",
        ISNUMBER(SEARCH("Gulf Voyager",M110)),"Travel Agency",
        ISNUMBER(SEARCH("Hopeway Trading",M110)),"Trading Company",
        ISNUMBER(SEARCH("Interhealth Medical",M110)),"Medical Services",
        ISNUMBER(SEARCH("Ishaar",M110)),"Online Payment Service",
        ISNUMBER(SEARCH("ISO Arabia",M110)),"Certification",
        ISNUMBER(SEARCH("Khalid Saad Al Otaibi",M110)),"Trading Company",
        ISNUMBER(SEARCH("MERAS for Decoration",M110)),"Decor Company",
        ISNUMBER(SEARCH("Middle East Customs Clearance",M110)),"Customs",
        ISNUMBER(SEARCH("Ministry of Human Resources",M110)),"Government",
        ISNUMBER(SEARCH("My Business Services",M110)),"Service Provider",
        ISNUMBER(SEARCH("National Water Company",M110)),"Water Company",
        ISNUMBER(SEARCH("Rania Contracting",M110)),"Contracting",
        ISNUMBER(SEARCH("Rashid Ali Sheikh",M110)),"Shareholder",
        ISNUMBER(SEARCH("Sahab United Motors",M110)),"Car Show Room",
        ISNUMBER(SEARCH("Saud Mohammed Al Tamimi",M110)),"Shareholder",
        ISNUMBER(SEARCH("Saud Mohammed Tamimi",M110)),"Shareholder",
        ISNUMBER(SEARCH("Saudi Electric Company",M110)),"Electricity Company",
        ISNUMBER(SEARCH("Saudi Vetonit",M110)),"Building Materials",
        ISNUMBER(SEARCH("Shomoul Eng",M110)),"Safety",
        ISNUMBER(SEARCH("STC",M110)),"Telecom Company",
        ISNUMBER(SEARCH("The General Organization for Social Insurance",M110)),"Social Insurance Agency",
        ISNUMBER(SEARCH("TUV Rheinland",M110)),"Certification",
        ISNUMBER(SEARCH("Al Arabia Ceramic",M110)),"Building Materials",
        ISNUMBER(SEARCH("National Company for Building and Marketing",M110)),"Parent Company",
        ISNUMBER(SEARCH("Athraa Holding",M110)),"Holding Company",
        ISNUMBER(SEARCH("Al Rasan",M110)),"Contracting",
        ISNUMBER(SEARCH("Raboua Al Haid",M110)),"Trading Company",
        ISNUMBER(SEARCH("Al Jazeera Paint",M110)),"Manufacturer",
        ISNUMBER(SEARCH("Rania Works Contracting",M110)),"Contracting",
        ISNUMBER(SEARCH("Bandar Jarallah",M110)),"Trading Establishment",
        ISNUMBER(SEARCH("RS Infratec Saudi",M110)),"Same Company",
        ISNUMBER(SEARCH("Payroll",M110)),"Bank",
        ISNUMBER(SEARCH("Expatriate",M110)),"Government",
        ISNUMBER(SEARCH("Unknown Sender",M110)),"Unknown",
        TRUE,"Unknown"
    ),
    "-"
)</f>
        <v>Government</v>
      </c>
      <c r="AA110" s="25" t="str" cm="1">
        <f t="array" ref="AA110">_xlfn.IFNA(
    _xlfn.IFS(
        Z110="Lender","Financing",
        Z110="Accounting","Accounting",
        Z110="Shareholder","Individual",
        Z110="Equipment Rental","Equipment Rental",
        Z110="Telecom Company","Telecom",
        Z110="Manufacturer","Manufacturer",
        Z110="Trading Company","Trading And Transport",
        Z110="Trading Establishment","Trading",
        Z110="Airlines","Airlines",
        Z110="Health Insurance","Insurance",
        Z110="Consultant","Consultant",
        Z110="Tax Collection","Government",
        Z110="Travel Agency","Travel Agency",
        Z110="Medical Services","Medical Center",
        Z110="Online Payment Service","Payment Facilitator",
        Z110="Certification","Safety",
        Z110="Decor Company","Design",
        Z110="Customs","Customs",
        Z110="Government","Government",
        Z110="Service Provider","Service Provider",
        Z110="Water Company","Water Company",
        Z110="Contracting","Contracting",
        Z110="Car Show Room","Car Trader",
        Z110="Electricity Company","Electricity Company",
        Z110="Building Materials","Building Materials",
        Z110="Safety","Safety",
        Z110="Social Insurance Agency","Government Fund",
        Z110="Parent Company","Holding Company",
        Z110="Holding Company","Holding Company",
        Z110="Same Company","Construction",
        Z110="Bank","Bank",
        Z110="Unknown","Unknown",
        TRUE,"-"
    ),
    "-"
)</f>
        <v>Government</v>
      </c>
      <c r="AB110" s="25" t="str">
        <f t="shared" si="5"/>
        <v>-</v>
      </c>
      <c r="AC110" s="25" t="str" cm="1">
        <f t="array" ref="AC110">_xlfn.IFNA(
    _xlfn.IFS(
        Z110="Shareholder","Shareholder",
        Z110="Same Company","Same Company",
        Z110="Bank","Bank",
        Z110="Government","Government",
        Z110="Social Insurance Agency","Government",
        Z110="Parent Company","Customer",
        Z110="Lender","Lender",
        Z110="Unknown","Unknown",
        ISNUMBER(SEARCH("Abdullah Abdulkarim",M110)),"Service Provider",
        ISNUMBER(SEARCH("Abdullah Fahad",M110)),"Service Provider",
        ISNUMBER(SEARCH("Advanced Equipments",M110)),"Supplier",
        ISNUMBER(SEARCH("Al Banuk Sana",M110)),"Supplier",
        ISNUMBER(SEARCH("Al Khaleefa Factory",M110)),"Supplier",
        ISNUMBER(SEARCH("Al Saadeh Trading",M110)),"Supplier",
        ISNUMBER(SEARCH("Al Zaehaan",M110)),"Supplier",
        ISNUMBER(SEARCH("Ali Abdullah K Al Darwish",M110)),"Service Provider",
        ISNUMBER(SEARCH("Bupa Arabia",M110)),"Insurance Company",
        ISNUMBER(SEARCH("Dar Fahoosaat",M110)),"Service Provider",
        ISNUMBER(SEARCH("General Authority of Zakat",M110)),"Tax Authority",
        ISNUMBER(SEARCH("Gulf Voyager",M110)),"Service Provider",
        ISNUMBER(SEARCH("Hopeway Trading",M110)),"Supplier",
        ISNUMBER(SEARCH("Interhealth Medical",M110)),"Customer",
        ISNUMBER(SEARCH("Ishaar",M110)),"Service Provider",
        ISNUMBER(SEARCH("ISO Arabia",M110)),"Service Provider",
        ISNUMBER(SEARCH("Khalid Saad Al Otaibi",M110)),"Supplier",
        ISNUMBER(SEARCH("MERAS for Decoration",M110)),"Supplier",
        ISNUMBER(SEARCH("Middle East Customs Clearance",M110)),"Service Provider",
        ISNUMBER(SEARCH("Ministry of Human Resources",M110)),"Regulatory Agency",
        ISNUMBER(SEARCH("My Business Services",M110)),"Service Provider",
        ISNUMBER(SEARCH("National Water Company",M110)),"Utility Provider",
        ISNUMBER(SEARCH("Rania Contracting",M110)),"Supplier",
        ISNUMBER(SEARCH("Sahab United Motors",M110)),"Supplier",
        ISNUMBER(SEARCH("Saudi Electric Company",M110)),"Utility Provider",
        ISNUMBER(SEARCH("Saudi Vetonit",M110)),"Supplier",
        ISNUMBER(SEARCH("Shomoul Eng",M110)),"Service Provider",
        ISNUMBER(SEARCH("STC",M110)),"Utility Provider",
        ISNUMBER(SEARCH("The General Organization for Social Insurance",M110)),"Social Insurance Agency",
        ISNUMBER(SEARCH("TUV Rheinland",M110)),"Service Provider",
        ISNUMBER(SEARCH("Al Arabia Ceramic",M110)),"Supplier",
        ISNUMBER(SEARCH("National Company for Building",M110)),"Customer",
        ISNUMBER(SEARCH("Athraa Holding",M110)),"Customer",
        ISNUMBER(SEARCH("Al Rasan",M110)),"Supplier",
        ISNUMBER(SEARCH("Raboua Al Haid",M110)),"Customer",
        ISNUMBER(SEARCH("Al Jazeera Paint",M110)),"Supplier",
        ISNUMBER(SEARCH("Rania Works Contracting",M110)),"Supplier",
        ISNUMBER(SEARCH("Bandar Jarallah",M110)),"Supplier",
        TRUE,"Supplier"
    ),
    "-"
)</f>
        <v>Government</v>
      </c>
      <c r="AD110" s="25" t="str" cm="1">
        <f t="array" ref="AD110">_xlfn.IFNA(
    _xlfn.IFS(
        AC110="Same Company","High",
        AC110="Shareholder","High",
        AC110="Government","High",
        AC110="Bank","High",
        AC110="Lender","High",
        AC110="Unknown","Low",
        AC110="-","Low",
        TRUE,"Medium"
    ),
    "-"
)</f>
        <v>High</v>
      </c>
      <c r="AE110" s="25" t="str">
        <f t="shared" si="6"/>
        <v>-</v>
      </c>
      <c r="AF110" s="25" t="str" cm="1">
        <f t="array" ref="AF110">_xlfn.IFNA(
    _xlfn.IFS(
        K110="Credit",
            _xlfn.IFS(
                OR(ISNUMBER(SEARCH("Rejected",L110)),ISNUMBER(SEARCH("Returned",L110))),"Other Income",
                TRUE,"Revenue"
            ),
        K110="Debit",
            _xlfn.IFS(
                ISNUMBER(SEARCH("Payroll",L110)),"OPEX",
                ISNUMBER(SEARCH("Expatriate",L110)),"OPEX",
                ISNUMBER(SEARCH("Zakat",M110)),"ZATCA",
                ISNUMBER(SEARCH("General Organization for Social Insurance",M110)),"OPEX",
                ISNUMBER(SEARCH("Saudi Electric",M110)),"OPEX",
                ISNUMBER(SEARCH("STC",M110)),"OPEX",
                ISNUMBER(SEARCH("National Water",M110)),"OPEX",
                ISNUMBER(SEARCH("Bupa",M110)),"OPEX",
                ISNUMBER(SEARCH("Abdullah Abdulkarim",M110)),"OPEX",
                ISNUMBER(SEARCH("Abdullah Fahad",M110)),"OPEX",
                ISNUMBER(SEARCH("ISO Arabia",M110)),"OPEX",
                ISNUMBER(SEARCH("Gulf Voyager",M110)),"OPEX",
                ISNUMBER(SEARCH("Ministry",M110)),"OPEX",
                ISNUMBER(SEARCH("General Authority of Zakat",M110)),"ZATCA",
                ISNUMBER(SEARCH("Rejected",L110)),"Other Income",
                TRUE,"COGS"
            ),
        TRUE,"-"
    ),
    "-"
)</f>
        <v>OPEX</v>
      </c>
      <c r="AG110" s="25" t="str" cm="1">
        <f t="array" ref="AG110">_xlfn.IFNA(
    _xlfn.IFS(
        ISNUMBER(SEARCH("Payroll",L110)),"Payroll",
        ISNUMBER(SEARCH("Expatriate",L110)),"Government Fees",
        ISNUMBER(SEARCH("Zakat",M110)),"Zakat",
        ISNUMBER(SEARCH("Social Insurance",M110)),"Social Insurance",
        ISNUMBER(SEARCH("Saudi Electric",M110)),"Electricity",
        ISNUMBER(SEARCH("STC",M110)),"Telecom",
        ISNUMBER(SEARCH("National Water",M110)),"Water",
        ISNUMBER(SEARCH("Bupa",M110)),"Insurance",
        ISNUMBER(SEARCH("Gulf Voyager",M110)),"Travel",
        ISNUMBER(SEARCH("Ministry",M110)),"Government Fees",
        ISNUMBER(SEARCH("Abdullah Abdulkarim",M110)),"Consulting",
        ISNUMBER(SEARCH("Abdullah Fahad",M110)),"Accounting",
        ISNUMBER(SEARCH("ISO Arabia",M110)),"Consulting",
        ISNUMBER(SEARCH("Rejected",L110)),"Refund",
        AF110="COGS","Inventory Purchase",
        AF110="Revenue","Revenue",
        AF110="OPEX","Other",
        AF110="ZATCA","Zakat",
        TRUE,"-"
    ),
    "-"
)</f>
        <v>Government Fees</v>
      </c>
      <c r="AH110" s="25" t="str" cm="1">
        <f t="array" ref="AH110">_xlfn.IFNA(
    _xlfn.IFS(
        AF110="-","Low",
        AF110="Other","Low",
        TRUE,"Medium"
    ),
    "-"
)</f>
        <v>Medium</v>
      </c>
      <c r="AI110" s="25" t="str">
        <f t="shared" si="7"/>
        <v>-</v>
      </c>
    </row>
    <row r="111" spans="1:35" x14ac:dyDescent="0.25">
      <c r="A111" s="10">
        <v>6</v>
      </c>
      <c r="B111" s="10" t="s">
        <v>35</v>
      </c>
      <c r="C111" s="10" t="s">
        <v>36</v>
      </c>
      <c r="D111" s="10" t="s">
        <v>37</v>
      </c>
      <c r="E111" s="10" t="s">
        <v>38</v>
      </c>
      <c r="F111" s="11" t="s">
        <v>39</v>
      </c>
      <c r="G111" s="11" t="s">
        <v>40</v>
      </c>
      <c r="H111" s="12">
        <v>44952</v>
      </c>
      <c r="I111" s="20">
        <v>52510.74</v>
      </c>
      <c r="J111" s="20">
        <v>2425</v>
      </c>
      <c r="K111" s="10" t="s">
        <v>41</v>
      </c>
      <c r="L111" s="9" t="s">
        <v>147</v>
      </c>
      <c r="M111" s="9" t="s">
        <v>148</v>
      </c>
      <c r="N111" s="9">
        <v>16440701758441</v>
      </c>
      <c r="O111" s="9" t="s">
        <v>44</v>
      </c>
      <c r="P111" s="15">
        <v>44952</v>
      </c>
      <c r="Q111" s="9" t="s">
        <v>153</v>
      </c>
      <c r="R111" s="16">
        <v>2425</v>
      </c>
      <c r="U111" s="9" t="s">
        <v>46</v>
      </c>
      <c r="V111" s="24" t="str" cm="1">
        <f t="array" ref="V111">_xlfn.IFNA(
    _xlfn.IFS(
        ISNUMBER(SEARCH("Fast Outgoing Transfer",L111)),"Transfer",
        ISNUMBER(SEARCH("Incoming Fast Transfer",L111)),"Transfer",
        ISNUMBER(SEARCH("Outgoing International Transfer",L111)),"Transfer",
        ISNUMBER(SEARCH("Bill Payment",L111)),"SADAD",
        ISNUMBER(SEARCH("Payroll",L111)),"Payroll",
        ISNUMBER(SEARCH("Cash Deposit",L111)),"Cash",
        ISNUMBER(SEARCH("Internal Transfer",L111)),"Transfer",
        ISNUMBER(SEARCH("Expatriate Services Payment",L111)),"SADAD",
        ISNUMBER(SEARCH("Rejected",L111)),"Transfer"
    ),
    "-"
)</f>
        <v>SADAD</v>
      </c>
      <c r="W111" s="25" t="str" cm="1">
        <f t="array" ref="W111">_xlfn.IFNA(
    _xlfn.IFS(
        AND(V111="Transfer",ISNUMBER(SEARCH("RIYAD BANK",L111))),"External FI",
        AND(V111="Transfer",ISNUMBER(SEARCH("Al Ahli",L111))),"External FI",
        AND(V111="Transfer",ISNUMBER(SEARCH("CIB via",L111))),"Local Transfer",
        AND(V111="Transfer",ISNUMBER(SEARCH("CIB)",L111))),"Local Transfer",
        AND(V111="Transfer",ISNUMBER(SEARCH("SMRT",L111))),"Local Transfer",
        AND(V111="Transfer",ISNUMBER(SEARCH("Al Murabba",L111))),"Local Transfer",
        AND(V111="Transfer",ISNUMBER(SEARCH("Internal Transfer",L111))),"Same FI",
        AND(V111="Transfer",ISNUMBER(SEARCH("Rejected",L111))),"Failed",
        V111="SADAD",
            _xlfn.IFS(
                ISNUMBER(SEARCH("Expatriate",L111)),"Expat Fees",
                TRUE,"Online Payment"
            ),
        V111="Payroll","Payroll",
        V111="Cash","Deposit",
        TRUE,"-"
    ),
    "-"
)</f>
        <v>Online Payment</v>
      </c>
      <c r="X111" s="25" t="str" cm="1">
        <f t="array" ref="X111">_xlfn.IFNA(
    _xlfn.IFS(
        V111="-","Low",
        W111="-","Low",
        TRUE,"High"
    ),
    "-"
)</f>
        <v>High</v>
      </c>
      <c r="Y111" s="25" t="str">
        <f t="shared" si="4"/>
        <v>-</v>
      </c>
      <c r="Z111" s="25" t="str" cm="1">
        <f t="array" ref="Z111">_xlfn.IFNA(
    _xlfn.IFS(
        ISNUMBER(SEARCH("Abdul Latif Jameel",M111)),"Lender",
        ISNUMBER(SEARCH("Abdullah Abdulkarim Al Sudais",M111)),"Accounting",
        ISNUMBER(SEARCH("Abdullah Fahad for Accounting",M111)),"Accounting",
        ISNUMBER(SEARCH("Abdullah Rashid Shaikh",M111)),"Shareholder",
        ISNUMBER(SEARCH("Advanced Equipments",M111)),"Equipment Rental",
        ISNUMBER(SEARCH("Al Banuk Sana",M111)),"Telecom Company",
        ISNUMBER(SEARCH("Al Khaleefa Factory",M111)),"Manufacturer",
        ISNUMBER(SEARCH("Al Saadeh Trading",M111)),"Trading Company",
        ISNUMBER(SEARCH("Al Zaehaan",M111)),"Trading Company",
        ISNUMBER(SEARCH("Ali Abdullah K Al Darwish",M111)),"Airlines",
        ISNUMBER(SEARCH("Bupa Arabia",M111)),"Health Insurance",
        ISNUMBER(SEARCH("Dar Fahoosaat",M111)),"Consultant",
        ISNUMBER(SEARCH("General Authority of Zakat",M111)),"Tax Collection",
        ISNUMBER(SEARCH("Gulf Voyager",M111)),"Travel Agency",
        ISNUMBER(SEARCH("Hopeway Trading",M111)),"Trading Company",
        ISNUMBER(SEARCH("Interhealth Medical",M111)),"Medical Services",
        ISNUMBER(SEARCH("Ishaar",M111)),"Online Payment Service",
        ISNUMBER(SEARCH("ISO Arabia",M111)),"Certification",
        ISNUMBER(SEARCH("Khalid Saad Al Otaibi",M111)),"Trading Company",
        ISNUMBER(SEARCH("MERAS for Decoration",M111)),"Decor Company",
        ISNUMBER(SEARCH("Middle East Customs Clearance",M111)),"Customs",
        ISNUMBER(SEARCH("Ministry of Human Resources",M111)),"Government",
        ISNUMBER(SEARCH("My Business Services",M111)),"Service Provider",
        ISNUMBER(SEARCH("National Water Company",M111)),"Water Company",
        ISNUMBER(SEARCH("Rania Contracting",M111)),"Contracting",
        ISNUMBER(SEARCH("Rashid Ali Sheikh",M111)),"Shareholder",
        ISNUMBER(SEARCH("Sahab United Motors",M111)),"Car Show Room",
        ISNUMBER(SEARCH("Saud Mohammed Al Tamimi",M111)),"Shareholder",
        ISNUMBER(SEARCH("Saud Mohammed Tamimi",M111)),"Shareholder",
        ISNUMBER(SEARCH("Saudi Electric Company",M111)),"Electricity Company",
        ISNUMBER(SEARCH("Saudi Vetonit",M111)),"Building Materials",
        ISNUMBER(SEARCH("Shomoul Eng",M111)),"Safety",
        ISNUMBER(SEARCH("STC",M111)),"Telecom Company",
        ISNUMBER(SEARCH("The General Organization for Social Insurance",M111)),"Social Insurance Agency",
        ISNUMBER(SEARCH("TUV Rheinland",M111)),"Certification",
        ISNUMBER(SEARCH("Al Arabia Ceramic",M111)),"Building Materials",
        ISNUMBER(SEARCH("National Company for Building and Marketing",M111)),"Parent Company",
        ISNUMBER(SEARCH("Athraa Holding",M111)),"Holding Company",
        ISNUMBER(SEARCH("Al Rasan",M111)),"Contracting",
        ISNUMBER(SEARCH("Raboua Al Haid",M111)),"Trading Company",
        ISNUMBER(SEARCH("Al Jazeera Paint",M111)),"Manufacturer",
        ISNUMBER(SEARCH("Rania Works Contracting",M111)),"Contracting",
        ISNUMBER(SEARCH("Bandar Jarallah",M111)),"Trading Establishment",
        ISNUMBER(SEARCH("RS Infratec Saudi",M111)),"Same Company",
        ISNUMBER(SEARCH("Payroll",M111)),"Bank",
        ISNUMBER(SEARCH("Expatriate",M111)),"Government",
        ISNUMBER(SEARCH("Unknown Sender",M111)),"Unknown",
        TRUE,"Unknown"
    ),
    "-"
)</f>
        <v>Government</v>
      </c>
      <c r="AA111" s="25" t="str" cm="1">
        <f t="array" ref="AA111">_xlfn.IFNA(
    _xlfn.IFS(
        Z111="Lender","Financing",
        Z111="Accounting","Accounting",
        Z111="Shareholder","Individual",
        Z111="Equipment Rental","Equipment Rental",
        Z111="Telecom Company","Telecom",
        Z111="Manufacturer","Manufacturer",
        Z111="Trading Company","Trading And Transport",
        Z111="Trading Establishment","Trading",
        Z111="Airlines","Airlines",
        Z111="Health Insurance","Insurance",
        Z111="Consultant","Consultant",
        Z111="Tax Collection","Government",
        Z111="Travel Agency","Travel Agency",
        Z111="Medical Services","Medical Center",
        Z111="Online Payment Service","Payment Facilitator",
        Z111="Certification","Safety",
        Z111="Decor Company","Design",
        Z111="Customs","Customs",
        Z111="Government","Government",
        Z111="Service Provider","Service Provider",
        Z111="Water Company","Water Company",
        Z111="Contracting","Contracting",
        Z111="Car Show Room","Car Trader",
        Z111="Electricity Company","Electricity Company",
        Z111="Building Materials","Building Materials",
        Z111="Safety","Safety",
        Z111="Social Insurance Agency","Government Fund",
        Z111="Parent Company","Holding Company",
        Z111="Holding Company","Holding Company",
        Z111="Same Company","Construction",
        Z111="Bank","Bank",
        Z111="Unknown","Unknown",
        TRUE,"-"
    ),
    "-"
)</f>
        <v>Government</v>
      </c>
      <c r="AB111" s="25" t="str">
        <f t="shared" si="5"/>
        <v>-</v>
      </c>
      <c r="AC111" s="25" t="str" cm="1">
        <f t="array" ref="AC111">_xlfn.IFNA(
    _xlfn.IFS(
        Z111="Shareholder","Shareholder",
        Z111="Same Company","Same Company",
        Z111="Bank","Bank",
        Z111="Government","Government",
        Z111="Social Insurance Agency","Government",
        Z111="Parent Company","Customer",
        Z111="Lender","Lender",
        Z111="Unknown","Unknown",
        ISNUMBER(SEARCH("Abdullah Abdulkarim",M111)),"Service Provider",
        ISNUMBER(SEARCH("Abdullah Fahad",M111)),"Service Provider",
        ISNUMBER(SEARCH("Advanced Equipments",M111)),"Supplier",
        ISNUMBER(SEARCH("Al Banuk Sana",M111)),"Supplier",
        ISNUMBER(SEARCH("Al Khaleefa Factory",M111)),"Supplier",
        ISNUMBER(SEARCH("Al Saadeh Trading",M111)),"Supplier",
        ISNUMBER(SEARCH("Al Zaehaan",M111)),"Supplier",
        ISNUMBER(SEARCH("Ali Abdullah K Al Darwish",M111)),"Service Provider",
        ISNUMBER(SEARCH("Bupa Arabia",M111)),"Insurance Company",
        ISNUMBER(SEARCH("Dar Fahoosaat",M111)),"Service Provider",
        ISNUMBER(SEARCH("General Authority of Zakat",M111)),"Tax Authority",
        ISNUMBER(SEARCH("Gulf Voyager",M111)),"Service Provider",
        ISNUMBER(SEARCH("Hopeway Trading",M111)),"Supplier",
        ISNUMBER(SEARCH("Interhealth Medical",M111)),"Customer",
        ISNUMBER(SEARCH("Ishaar",M111)),"Service Provider",
        ISNUMBER(SEARCH("ISO Arabia",M111)),"Service Provider",
        ISNUMBER(SEARCH("Khalid Saad Al Otaibi",M111)),"Supplier",
        ISNUMBER(SEARCH("MERAS for Decoration",M111)),"Supplier",
        ISNUMBER(SEARCH("Middle East Customs Clearance",M111)),"Service Provider",
        ISNUMBER(SEARCH("Ministry of Human Resources",M111)),"Regulatory Agency",
        ISNUMBER(SEARCH("My Business Services",M111)),"Service Provider",
        ISNUMBER(SEARCH("National Water Company",M111)),"Utility Provider",
        ISNUMBER(SEARCH("Rania Contracting",M111)),"Supplier",
        ISNUMBER(SEARCH("Sahab United Motors",M111)),"Supplier",
        ISNUMBER(SEARCH("Saudi Electric Company",M111)),"Utility Provider",
        ISNUMBER(SEARCH("Saudi Vetonit",M111)),"Supplier",
        ISNUMBER(SEARCH("Shomoul Eng",M111)),"Service Provider",
        ISNUMBER(SEARCH("STC",M111)),"Utility Provider",
        ISNUMBER(SEARCH("The General Organization for Social Insurance",M111)),"Social Insurance Agency",
        ISNUMBER(SEARCH("TUV Rheinland",M111)),"Service Provider",
        ISNUMBER(SEARCH("Al Arabia Ceramic",M111)),"Supplier",
        ISNUMBER(SEARCH("National Company for Building",M111)),"Customer",
        ISNUMBER(SEARCH("Athraa Holding",M111)),"Customer",
        ISNUMBER(SEARCH("Al Rasan",M111)),"Supplier",
        ISNUMBER(SEARCH("Raboua Al Haid",M111)),"Customer",
        ISNUMBER(SEARCH("Al Jazeera Paint",M111)),"Supplier",
        ISNUMBER(SEARCH("Rania Works Contracting",M111)),"Supplier",
        ISNUMBER(SEARCH("Bandar Jarallah",M111)),"Supplier",
        TRUE,"Supplier"
    ),
    "-"
)</f>
        <v>Government</v>
      </c>
      <c r="AD111" s="25" t="str" cm="1">
        <f t="array" ref="AD111">_xlfn.IFNA(
    _xlfn.IFS(
        AC111="Same Company","High",
        AC111="Shareholder","High",
        AC111="Government","High",
        AC111="Bank","High",
        AC111="Lender","High",
        AC111="Unknown","Low",
        AC111="-","Low",
        TRUE,"Medium"
    ),
    "-"
)</f>
        <v>High</v>
      </c>
      <c r="AE111" s="25" t="str">
        <f t="shared" si="6"/>
        <v>-</v>
      </c>
      <c r="AF111" s="25" t="str" cm="1">
        <f t="array" ref="AF111">_xlfn.IFNA(
    _xlfn.IFS(
        K111="Credit",
            _xlfn.IFS(
                OR(ISNUMBER(SEARCH("Rejected",L111)),ISNUMBER(SEARCH("Returned",L111))),"Other Income",
                TRUE,"Revenue"
            ),
        K111="Debit",
            _xlfn.IFS(
                ISNUMBER(SEARCH("Payroll",L111)),"OPEX",
                ISNUMBER(SEARCH("Expatriate",L111)),"OPEX",
                ISNUMBER(SEARCH("Zakat",M111)),"ZATCA",
                ISNUMBER(SEARCH("General Organization for Social Insurance",M111)),"OPEX",
                ISNUMBER(SEARCH("Saudi Electric",M111)),"OPEX",
                ISNUMBER(SEARCH("STC",M111)),"OPEX",
                ISNUMBER(SEARCH("National Water",M111)),"OPEX",
                ISNUMBER(SEARCH("Bupa",M111)),"OPEX",
                ISNUMBER(SEARCH("Abdullah Abdulkarim",M111)),"OPEX",
                ISNUMBER(SEARCH("Abdullah Fahad",M111)),"OPEX",
                ISNUMBER(SEARCH("ISO Arabia",M111)),"OPEX",
                ISNUMBER(SEARCH("Gulf Voyager",M111)),"OPEX",
                ISNUMBER(SEARCH("Ministry",M111)),"OPEX",
                ISNUMBER(SEARCH("General Authority of Zakat",M111)),"ZATCA",
                ISNUMBER(SEARCH("Rejected",L111)),"Other Income",
                TRUE,"COGS"
            ),
        TRUE,"-"
    ),
    "-"
)</f>
        <v>OPEX</v>
      </c>
      <c r="AG111" s="25" t="str" cm="1">
        <f t="array" ref="AG111">_xlfn.IFNA(
    _xlfn.IFS(
        ISNUMBER(SEARCH("Payroll",L111)),"Payroll",
        ISNUMBER(SEARCH("Expatriate",L111)),"Government Fees",
        ISNUMBER(SEARCH("Zakat",M111)),"Zakat",
        ISNUMBER(SEARCH("Social Insurance",M111)),"Social Insurance",
        ISNUMBER(SEARCH("Saudi Electric",M111)),"Electricity",
        ISNUMBER(SEARCH("STC",M111)),"Telecom",
        ISNUMBER(SEARCH("National Water",M111)),"Water",
        ISNUMBER(SEARCH("Bupa",M111)),"Insurance",
        ISNUMBER(SEARCH("Gulf Voyager",M111)),"Travel",
        ISNUMBER(SEARCH("Ministry",M111)),"Government Fees",
        ISNUMBER(SEARCH("Abdullah Abdulkarim",M111)),"Consulting",
        ISNUMBER(SEARCH("Abdullah Fahad",M111)),"Accounting",
        ISNUMBER(SEARCH("ISO Arabia",M111)),"Consulting",
        ISNUMBER(SEARCH("Rejected",L111)),"Refund",
        AF111="COGS","Inventory Purchase",
        AF111="Revenue","Revenue",
        AF111="OPEX","Other",
        AF111="ZATCA","Zakat",
        TRUE,"-"
    ),
    "-"
)</f>
        <v>Government Fees</v>
      </c>
      <c r="AH111" s="25" t="str" cm="1">
        <f t="array" ref="AH111">_xlfn.IFNA(
    _xlfn.IFS(
        AF111="-","Low",
        AF111="Other","Low",
        TRUE,"Medium"
    ),
    "-"
)</f>
        <v>Medium</v>
      </c>
      <c r="AI111" s="25" t="str">
        <f t="shared" si="7"/>
        <v>-</v>
      </c>
    </row>
    <row r="112" spans="1:35" x14ac:dyDescent="0.25">
      <c r="A112" s="10">
        <v>6</v>
      </c>
      <c r="B112" s="10" t="s">
        <v>35</v>
      </c>
      <c r="C112" s="10" t="s">
        <v>36</v>
      </c>
      <c r="D112" s="10" t="s">
        <v>37</v>
      </c>
      <c r="E112" s="10" t="s">
        <v>38</v>
      </c>
      <c r="F112" s="11" t="s">
        <v>39</v>
      </c>
      <c r="G112" s="11" t="s">
        <v>40</v>
      </c>
      <c r="H112" s="12">
        <v>44962</v>
      </c>
      <c r="I112" s="20">
        <v>16293.07</v>
      </c>
      <c r="J112" s="20">
        <v>9700</v>
      </c>
      <c r="K112" s="10" t="s">
        <v>41</v>
      </c>
      <c r="L112" s="9" t="s">
        <v>147</v>
      </c>
      <c r="M112" s="9" t="s">
        <v>148</v>
      </c>
      <c r="N112" s="9">
        <v>18440701047497</v>
      </c>
      <c r="O112" s="9" t="s">
        <v>44</v>
      </c>
      <c r="P112" s="15">
        <v>44962</v>
      </c>
      <c r="Q112" s="9" t="s">
        <v>154</v>
      </c>
      <c r="R112" s="16">
        <v>9700</v>
      </c>
      <c r="U112" s="9" t="s">
        <v>46</v>
      </c>
      <c r="V112" s="24" t="str" cm="1">
        <f t="array" ref="V112">_xlfn.IFNA(
    _xlfn.IFS(
        ISNUMBER(SEARCH("Fast Outgoing Transfer",L112)),"Transfer",
        ISNUMBER(SEARCH("Incoming Fast Transfer",L112)),"Transfer",
        ISNUMBER(SEARCH("Outgoing International Transfer",L112)),"Transfer",
        ISNUMBER(SEARCH("Bill Payment",L112)),"SADAD",
        ISNUMBER(SEARCH("Payroll",L112)),"Payroll",
        ISNUMBER(SEARCH("Cash Deposit",L112)),"Cash",
        ISNUMBER(SEARCH("Internal Transfer",L112)),"Transfer",
        ISNUMBER(SEARCH("Expatriate Services Payment",L112)),"SADAD",
        ISNUMBER(SEARCH("Rejected",L112)),"Transfer"
    ),
    "-"
)</f>
        <v>SADAD</v>
      </c>
      <c r="W112" s="25" t="str" cm="1">
        <f t="array" ref="W112">_xlfn.IFNA(
    _xlfn.IFS(
        AND(V112="Transfer",ISNUMBER(SEARCH("RIYAD BANK",L112))),"External FI",
        AND(V112="Transfer",ISNUMBER(SEARCH("Al Ahli",L112))),"External FI",
        AND(V112="Transfer",ISNUMBER(SEARCH("CIB via",L112))),"Local Transfer",
        AND(V112="Transfer",ISNUMBER(SEARCH("CIB)",L112))),"Local Transfer",
        AND(V112="Transfer",ISNUMBER(SEARCH("SMRT",L112))),"Local Transfer",
        AND(V112="Transfer",ISNUMBER(SEARCH("Al Murabba",L112))),"Local Transfer",
        AND(V112="Transfer",ISNUMBER(SEARCH("Internal Transfer",L112))),"Same FI",
        AND(V112="Transfer",ISNUMBER(SEARCH("Rejected",L112))),"Failed",
        V112="SADAD",
            _xlfn.IFS(
                ISNUMBER(SEARCH("Expatriate",L112)),"Expat Fees",
                TRUE,"Online Payment"
            ),
        V112="Payroll","Payroll",
        V112="Cash","Deposit",
        TRUE,"-"
    ),
    "-"
)</f>
        <v>Online Payment</v>
      </c>
      <c r="X112" s="25" t="str" cm="1">
        <f t="array" ref="X112">_xlfn.IFNA(
    _xlfn.IFS(
        V112="-","Low",
        W112="-","Low",
        TRUE,"High"
    ),
    "-"
)</f>
        <v>High</v>
      </c>
      <c r="Y112" s="25" t="str">
        <f t="shared" si="4"/>
        <v>-</v>
      </c>
      <c r="Z112" s="25" t="str" cm="1">
        <f t="array" ref="Z112">_xlfn.IFNA(
    _xlfn.IFS(
        ISNUMBER(SEARCH("Abdul Latif Jameel",M112)),"Lender",
        ISNUMBER(SEARCH("Abdullah Abdulkarim Al Sudais",M112)),"Accounting",
        ISNUMBER(SEARCH("Abdullah Fahad for Accounting",M112)),"Accounting",
        ISNUMBER(SEARCH("Abdullah Rashid Shaikh",M112)),"Shareholder",
        ISNUMBER(SEARCH("Advanced Equipments",M112)),"Equipment Rental",
        ISNUMBER(SEARCH("Al Banuk Sana",M112)),"Telecom Company",
        ISNUMBER(SEARCH("Al Khaleefa Factory",M112)),"Manufacturer",
        ISNUMBER(SEARCH("Al Saadeh Trading",M112)),"Trading Company",
        ISNUMBER(SEARCH("Al Zaehaan",M112)),"Trading Company",
        ISNUMBER(SEARCH("Ali Abdullah K Al Darwish",M112)),"Airlines",
        ISNUMBER(SEARCH("Bupa Arabia",M112)),"Health Insurance",
        ISNUMBER(SEARCH("Dar Fahoosaat",M112)),"Consultant",
        ISNUMBER(SEARCH("General Authority of Zakat",M112)),"Tax Collection",
        ISNUMBER(SEARCH("Gulf Voyager",M112)),"Travel Agency",
        ISNUMBER(SEARCH("Hopeway Trading",M112)),"Trading Company",
        ISNUMBER(SEARCH("Interhealth Medical",M112)),"Medical Services",
        ISNUMBER(SEARCH("Ishaar",M112)),"Online Payment Service",
        ISNUMBER(SEARCH("ISO Arabia",M112)),"Certification",
        ISNUMBER(SEARCH("Khalid Saad Al Otaibi",M112)),"Trading Company",
        ISNUMBER(SEARCH("MERAS for Decoration",M112)),"Decor Company",
        ISNUMBER(SEARCH("Middle East Customs Clearance",M112)),"Customs",
        ISNUMBER(SEARCH("Ministry of Human Resources",M112)),"Government",
        ISNUMBER(SEARCH("My Business Services",M112)),"Service Provider",
        ISNUMBER(SEARCH("National Water Company",M112)),"Water Company",
        ISNUMBER(SEARCH("Rania Contracting",M112)),"Contracting",
        ISNUMBER(SEARCH("Rashid Ali Sheikh",M112)),"Shareholder",
        ISNUMBER(SEARCH("Sahab United Motors",M112)),"Car Show Room",
        ISNUMBER(SEARCH("Saud Mohammed Al Tamimi",M112)),"Shareholder",
        ISNUMBER(SEARCH("Saud Mohammed Tamimi",M112)),"Shareholder",
        ISNUMBER(SEARCH("Saudi Electric Company",M112)),"Electricity Company",
        ISNUMBER(SEARCH("Saudi Vetonit",M112)),"Building Materials",
        ISNUMBER(SEARCH("Shomoul Eng",M112)),"Safety",
        ISNUMBER(SEARCH("STC",M112)),"Telecom Company",
        ISNUMBER(SEARCH("The General Organization for Social Insurance",M112)),"Social Insurance Agency",
        ISNUMBER(SEARCH("TUV Rheinland",M112)),"Certification",
        ISNUMBER(SEARCH("Al Arabia Ceramic",M112)),"Building Materials",
        ISNUMBER(SEARCH("National Company for Building and Marketing",M112)),"Parent Company",
        ISNUMBER(SEARCH("Athraa Holding",M112)),"Holding Company",
        ISNUMBER(SEARCH("Al Rasan",M112)),"Contracting",
        ISNUMBER(SEARCH("Raboua Al Haid",M112)),"Trading Company",
        ISNUMBER(SEARCH("Al Jazeera Paint",M112)),"Manufacturer",
        ISNUMBER(SEARCH("Rania Works Contracting",M112)),"Contracting",
        ISNUMBER(SEARCH("Bandar Jarallah",M112)),"Trading Establishment",
        ISNUMBER(SEARCH("RS Infratec Saudi",M112)),"Same Company",
        ISNUMBER(SEARCH("Payroll",M112)),"Bank",
        ISNUMBER(SEARCH("Expatriate",M112)),"Government",
        ISNUMBER(SEARCH("Unknown Sender",M112)),"Unknown",
        TRUE,"Unknown"
    ),
    "-"
)</f>
        <v>Government</v>
      </c>
      <c r="AA112" s="25" t="str" cm="1">
        <f t="array" ref="AA112">_xlfn.IFNA(
    _xlfn.IFS(
        Z112="Lender","Financing",
        Z112="Accounting","Accounting",
        Z112="Shareholder","Individual",
        Z112="Equipment Rental","Equipment Rental",
        Z112="Telecom Company","Telecom",
        Z112="Manufacturer","Manufacturer",
        Z112="Trading Company","Trading And Transport",
        Z112="Trading Establishment","Trading",
        Z112="Airlines","Airlines",
        Z112="Health Insurance","Insurance",
        Z112="Consultant","Consultant",
        Z112="Tax Collection","Government",
        Z112="Travel Agency","Travel Agency",
        Z112="Medical Services","Medical Center",
        Z112="Online Payment Service","Payment Facilitator",
        Z112="Certification","Safety",
        Z112="Decor Company","Design",
        Z112="Customs","Customs",
        Z112="Government","Government",
        Z112="Service Provider","Service Provider",
        Z112="Water Company","Water Company",
        Z112="Contracting","Contracting",
        Z112="Car Show Room","Car Trader",
        Z112="Electricity Company","Electricity Company",
        Z112="Building Materials","Building Materials",
        Z112="Safety","Safety",
        Z112="Social Insurance Agency","Government Fund",
        Z112="Parent Company","Holding Company",
        Z112="Holding Company","Holding Company",
        Z112="Same Company","Construction",
        Z112="Bank","Bank",
        Z112="Unknown","Unknown",
        TRUE,"-"
    ),
    "-"
)</f>
        <v>Government</v>
      </c>
      <c r="AB112" s="25" t="str">
        <f t="shared" si="5"/>
        <v>-</v>
      </c>
      <c r="AC112" s="25" t="str" cm="1">
        <f t="array" ref="AC112">_xlfn.IFNA(
    _xlfn.IFS(
        Z112="Shareholder","Shareholder",
        Z112="Same Company","Same Company",
        Z112="Bank","Bank",
        Z112="Government","Government",
        Z112="Social Insurance Agency","Government",
        Z112="Parent Company","Customer",
        Z112="Lender","Lender",
        Z112="Unknown","Unknown",
        ISNUMBER(SEARCH("Abdullah Abdulkarim",M112)),"Service Provider",
        ISNUMBER(SEARCH("Abdullah Fahad",M112)),"Service Provider",
        ISNUMBER(SEARCH("Advanced Equipments",M112)),"Supplier",
        ISNUMBER(SEARCH("Al Banuk Sana",M112)),"Supplier",
        ISNUMBER(SEARCH("Al Khaleefa Factory",M112)),"Supplier",
        ISNUMBER(SEARCH("Al Saadeh Trading",M112)),"Supplier",
        ISNUMBER(SEARCH("Al Zaehaan",M112)),"Supplier",
        ISNUMBER(SEARCH("Ali Abdullah K Al Darwish",M112)),"Service Provider",
        ISNUMBER(SEARCH("Bupa Arabia",M112)),"Insurance Company",
        ISNUMBER(SEARCH("Dar Fahoosaat",M112)),"Service Provider",
        ISNUMBER(SEARCH("General Authority of Zakat",M112)),"Tax Authority",
        ISNUMBER(SEARCH("Gulf Voyager",M112)),"Service Provider",
        ISNUMBER(SEARCH("Hopeway Trading",M112)),"Supplier",
        ISNUMBER(SEARCH("Interhealth Medical",M112)),"Customer",
        ISNUMBER(SEARCH("Ishaar",M112)),"Service Provider",
        ISNUMBER(SEARCH("ISO Arabia",M112)),"Service Provider",
        ISNUMBER(SEARCH("Khalid Saad Al Otaibi",M112)),"Supplier",
        ISNUMBER(SEARCH("MERAS for Decoration",M112)),"Supplier",
        ISNUMBER(SEARCH("Middle East Customs Clearance",M112)),"Service Provider",
        ISNUMBER(SEARCH("Ministry of Human Resources",M112)),"Regulatory Agency",
        ISNUMBER(SEARCH("My Business Services",M112)),"Service Provider",
        ISNUMBER(SEARCH("National Water Company",M112)),"Utility Provider",
        ISNUMBER(SEARCH("Rania Contracting",M112)),"Supplier",
        ISNUMBER(SEARCH("Sahab United Motors",M112)),"Supplier",
        ISNUMBER(SEARCH("Saudi Electric Company",M112)),"Utility Provider",
        ISNUMBER(SEARCH("Saudi Vetonit",M112)),"Supplier",
        ISNUMBER(SEARCH("Shomoul Eng",M112)),"Service Provider",
        ISNUMBER(SEARCH("STC",M112)),"Utility Provider",
        ISNUMBER(SEARCH("The General Organization for Social Insurance",M112)),"Social Insurance Agency",
        ISNUMBER(SEARCH("TUV Rheinland",M112)),"Service Provider",
        ISNUMBER(SEARCH("Al Arabia Ceramic",M112)),"Supplier",
        ISNUMBER(SEARCH("National Company for Building",M112)),"Customer",
        ISNUMBER(SEARCH("Athraa Holding",M112)),"Customer",
        ISNUMBER(SEARCH("Al Rasan",M112)),"Supplier",
        ISNUMBER(SEARCH("Raboua Al Haid",M112)),"Customer",
        ISNUMBER(SEARCH("Al Jazeera Paint",M112)),"Supplier",
        ISNUMBER(SEARCH("Rania Works Contracting",M112)),"Supplier",
        ISNUMBER(SEARCH("Bandar Jarallah",M112)),"Supplier",
        TRUE,"Supplier"
    ),
    "-"
)</f>
        <v>Government</v>
      </c>
      <c r="AD112" s="25" t="str" cm="1">
        <f t="array" ref="AD112">_xlfn.IFNA(
    _xlfn.IFS(
        AC112="Same Company","High",
        AC112="Shareholder","High",
        AC112="Government","High",
        AC112="Bank","High",
        AC112="Lender","High",
        AC112="Unknown","Low",
        AC112="-","Low",
        TRUE,"Medium"
    ),
    "-"
)</f>
        <v>High</v>
      </c>
      <c r="AE112" s="25" t="str">
        <f t="shared" si="6"/>
        <v>-</v>
      </c>
      <c r="AF112" s="25" t="str" cm="1">
        <f t="array" ref="AF112">_xlfn.IFNA(
    _xlfn.IFS(
        K112="Credit",
            _xlfn.IFS(
                OR(ISNUMBER(SEARCH("Rejected",L112)),ISNUMBER(SEARCH("Returned",L112))),"Other Income",
                TRUE,"Revenue"
            ),
        K112="Debit",
            _xlfn.IFS(
                ISNUMBER(SEARCH("Payroll",L112)),"OPEX",
                ISNUMBER(SEARCH("Expatriate",L112)),"OPEX",
                ISNUMBER(SEARCH("Zakat",M112)),"ZATCA",
                ISNUMBER(SEARCH("General Organization for Social Insurance",M112)),"OPEX",
                ISNUMBER(SEARCH("Saudi Electric",M112)),"OPEX",
                ISNUMBER(SEARCH("STC",M112)),"OPEX",
                ISNUMBER(SEARCH("National Water",M112)),"OPEX",
                ISNUMBER(SEARCH("Bupa",M112)),"OPEX",
                ISNUMBER(SEARCH("Abdullah Abdulkarim",M112)),"OPEX",
                ISNUMBER(SEARCH("Abdullah Fahad",M112)),"OPEX",
                ISNUMBER(SEARCH("ISO Arabia",M112)),"OPEX",
                ISNUMBER(SEARCH("Gulf Voyager",M112)),"OPEX",
                ISNUMBER(SEARCH("Ministry",M112)),"OPEX",
                ISNUMBER(SEARCH("General Authority of Zakat",M112)),"ZATCA",
                ISNUMBER(SEARCH("Rejected",L112)),"Other Income",
                TRUE,"COGS"
            ),
        TRUE,"-"
    ),
    "-"
)</f>
        <v>OPEX</v>
      </c>
      <c r="AG112" s="25" t="str" cm="1">
        <f t="array" ref="AG112">_xlfn.IFNA(
    _xlfn.IFS(
        ISNUMBER(SEARCH("Payroll",L112)),"Payroll",
        ISNUMBER(SEARCH("Expatriate",L112)),"Government Fees",
        ISNUMBER(SEARCH("Zakat",M112)),"Zakat",
        ISNUMBER(SEARCH("Social Insurance",M112)),"Social Insurance",
        ISNUMBER(SEARCH("Saudi Electric",M112)),"Electricity",
        ISNUMBER(SEARCH("STC",M112)),"Telecom",
        ISNUMBER(SEARCH("National Water",M112)),"Water",
        ISNUMBER(SEARCH("Bupa",M112)),"Insurance",
        ISNUMBER(SEARCH("Gulf Voyager",M112)),"Travel",
        ISNUMBER(SEARCH("Ministry",M112)),"Government Fees",
        ISNUMBER(SEARCH("Abdullah Abdulkarim",M112)),"Consulting",
        ISNUMBER(SEARCH("Abdullah Fahad",M112)),"Accounting",
        ISNUMBER(SEARCH("ISO Arabia",M112)),"Consulting",
        ISNUMBER(SEARCH("Rejected",L112)),"Refund",
        AF112="COGS","Inventory Purchase",
        AF112="Revenue","Revenue",
        AF112="OPEX","Other",
        AF112="ZATCA","Zakat",
        TRUE,"-"
    ),
    "-"
)</f>
        <v>Government Fees</v>
      </c>
      <c r="AH112" s="25" t="str" cm="1">
        <f t="array" ref="AH112">_xlfn.IFNA(
    _xlfn.IFS(
        AF112="-","Low",
        AF112="Other","Low",
        TRUE,"Medium"
    ),
    "-"
)</f>
        <v>Medium</v>
      </c>
      <c r="AI112" s="25" t="str">
        <f t="shared" si="7"/>
        <v>-</v>
      </c>
    </row>
    <row r="113" spans="1:35" x14ac:dyDescent="0.25">
      <c r="A113" s="10">
        <v>6</v>
      </c>
      <c r="B113" s="10" t="s">
        <v>35</v>
      </c>
      <c r="C113" s="10" t="s">
        <v>36</v>
      </c>
      <c r="D113" s="10" t="s">
        <v>37</v>
      </c>
      <c r="E113" s="10" t="s">
        <v>38</v>
      </c>
      <c r="F113" s="11" t="s">
        <v>39</v>
      </c>
      <c r="G113" s="11" t="s">
        <v>40</v>
      </c>
      <c r="H113" s="12">
        <v>45049</v>
      </c>
      <c r="I113" s="20">
        <v>79409.17</v>
      </c>
      <c r="J113" s="20">
        <v>2600</v>
      </c>
      <c r="K113" s="10" t="s">
        <v>41</v>
      </c>
      <c r="L113" s="9" t="s">
        <v>224</v>
      </c>
      <c r="M113" s="9" t="s">
        <v>297</v>
      </c>
      <c r="N113" s="9">
        <v>68203274589000</v>
      </c>
      <c r="O113" s="9" t="s">
        <v>226</v>
      </c>
      <c r="P113" s="15">
        <v>45049</v>
      </c>
      <c r="Q113" s="9" t="s">
        <v>298</v>
      </c>
      <c r="R113" s="16">
        <v>2600</v>
      </c>
      <c r="U113" s="9" t="s">
        <v>55</v>
      </c>
      <c r="V113" s="24" t="str" cm="1">
        <f t="array" ref="V113">_xlfn.IFNA(
    _xlfn.IFS(
        ISNUMBER(SEARCH("Fast Outgoing Transfer",L113)),"Transfer",
        ISNUMBER(SEARCH("Incoming Fast Transfer",L113)),"Transfer",
        ISNUMBER(SEARCH("Outgoing International Transfer",L113)),"Transfer",
        ISNUMBER(SEARCH("Bill Payment",L113)),"SADAD",
        ISNUMBER(SEARCH("Payroll",L113)),"Payroll",
        ISNUMBER(SEARCH("Cash Deposit",L113)),"Cash",
        ISNUMBER(SEARCH("Internal Transfer",L113)),"Transfer",
        ISNUMBER(SEARCH("Expatriate Services Payment",L113)),"SADAD",
        ISNUMBER(SEARCH("Rejected",L113)),"Transfer"
    ),
    "-"
)</f>
        <v>Transfer</v>
      </c>
      <c r="W113" s="25" t="str" cm="1">
        <f t="array" ref="W113">_xlfn.IFNA(
    _xlfn.IFS(
        AND(V113="Transfer",ISNUMBER(SEARCH("RIYAD BANK",L113))),"External FI",
        AND(V113="Transfer",ISNUMBER(SEARCH("Al Ahli",L113))),"External FI",
        AND(V113="Transfer",ISNUMBER(SEARCH("CIB via",L113))),"Local Transfer",
        AND(V113="Transfer",ISNUMBER(SEARCH("CIB)",L113))),"Local Transfer",
        AND(V113="Transfer",ISNUMBER(SEARCH("SMRT",L113))),"Local Transfer",
        AND(V113="Transfer",ISNUMBER(SEARCH("Al Murabba",L113))),"Local Transfer",
        AND(V113="Transfer",ISNUMBER(SEARCH("Internal Transfer",L113))),"Same FI",
        AND(V113="Transfer",ISNUMBER(SEARCH("Rejected",L113))),"Failed",
        V113="SADAD",
            _xlfn.IFS(
                ISNUMBER(SEARCH("Expatriate",L113)),"Expat Fees",
                TRUE,"Online Payment"
            ),
        V113="Payroll","Payroll",
        V113="Cash","Deposit",
        TRUE,"-"
    ),
    "-"
)</f>
        <v>Local Transfer</v>
      </c>
      <c r="X113" s="25" t="str" cm="1">
        <f t="array" ref="X113">_xlfn.IFNA(
    _xlfn.IFS(
        V113="-","Low",
        W113="-","Low",
        TRUE,"High"
    ),
    "-"
)</f>
        <v>High</v>
      </c>
      <c r="Y113" s="25" t="str">
        <f t="shared" si="4"/>
        <v>-</v>
      </c>
      <c r="Z113" s="25" t="str" cm="1">
        <f t="array" ref="Z113">_xlfn.IFNA(
    _xlfn.IFS(
        ISNUMBER(SEARCH("Abdul Latif Jameel",M113)),"Lender",
        ISNUMBER(SEARCH("Abdullah Abdulkarim Al Sudais",M113)),"Accounting",
        ISNUMBER(SEARCH("Abdullah Fahad for Accounting",M113)),"Accounting",
        ISNUMBER(SEARCH("Abdullah Rashid Shaikh",M113)),"Shareholder",
        ISNUMBER(SEARCH("Advanced Equipments",M113)),"Equipment Rental",
        ISNUMBER(SEARCH("Al Banuk Sana",M113)),"Telecom Company",
        ISNUMBER(SEARCH("Al Khaleefa Factory",M113)),"Manufacturer",
        ISNUMBER(SEARCH("Al Saadeh Trading",M113)),"Trading Company",
        ISNUMBER(SEARCH("Al Zaehaan",M113)),"Trading Company",
        ISNUMBER(SEARCH("Ali Abdullah K Al Darwish",M113)),"Airlines",
        ISNUMBER(SEARCH("Bupa Arabia",M113)),"Health Insurance",
        ISNUMBER(SEARCH("Dar Fahoosaat",M113)),"Consultant",
        ISNUMBER(SEARCH("General Authority of Zakat",M113)),"Tax Collection",
        ISNUMBER(SEARCH("Gulf Voyager",M113)),"Travel Agency",
        ISNUMBER(SEARCH("Hopeway Trading",M113)),"Trading Company",
        ISNUMBER(SEARCH("Interhealth Medical",M113)),"Medical Services",
        ISNUMBER(SEARCH("Ishaar",M113)),"Online Payment Service",
        ISNUMBER(SEARCH("ISO Arabia",M113)),"Certification",
        ISNUMBER(SEARCH("Khalid Saad Al Otaibi",M113)),"Trading Company",
        ISNUMBER(SEARCH("MERAS for Decoration",M113)),"Decor Company",
        ISNUMBER(SEARCH("Middle East Customs Clearance",M113)),"Customs",
        ISNUMBER(SEARCH("Ministry of Human Resources",M113)),"Government",
        ISNUMBER(SEARCH("My Business Services",M113)),"Service Provider",
        ISNUMBER(SEARCH("National Water Company",M113)),"Water Company",
        ISNUMBER(SEARCH("Rania Contracting",M113)),"Contracting",
        ISNUMBER(SEARCH("Rashid Ali Sheikh",M113)),"Shareholder",
        ISNUMBER(SEARCH("Sahab United Motors",M113)),"Car Show Room",
        ISNUMBER(SEARCH("Saud Mohammed Al Tamimi",M113)),"Shareholder",
        ISNUMBER(SEARCH("Saud Mohammed Tamimi",M113)),"Shareholder",
        ISNUMBER(SEARCH("Saudi Electric Company",M113)),"Electricity Company",
        ISNUMBER(SEARCH("Saudi Vetonit",M113)),"Building Materials",
        ISNUMBER(SEARCH("Shomoul Eng",M113)),"Safety",
        ISNUMBER(SEARCH("STC",M113)),"Telecom Company",
        ISNUMBER(SEARCH("The General Organization for Social Insurance",M113)),"Social Insurance Agency",
        ISNUMBER(SEARCH("TUV Rheinland",M113)),"Certification",
        ISNUMBER(SEARCH("Al Arabia Ceramic",M113)),"Building Materials",
        ISNUMBER(SEARCH("National Company for Building and Marketing",M113)),"Parent Company",
        ISNUMBER(SEARCH("Athraa Holding",M113)),"Holding Company",
        ISNUMBER(SEARCH("Al Rasan",M113)),"Contracting",
        ISNUMBER(SEARCH("Raboua Al Haid",M113)),"Trading Company",
        ISNUMBER(SEARCH("Al Jazeera Paint",M113)),"Manufacturer",
        ISNUMBER(SEARCH("Rania Works Contracting",M113)),"Contracting",
        ISNUMBER(SEARCH("Bandar Jarallah",M113)),"Trading Establishment",
        ISNUMBER(SEARCH("RS Infratec Saudi",M113)),"Same Company",
        ISNUMBER(SEARCH("Payroll",M113)),"Bank",
        ISNUMBER(SEARCH("Expatriate",M113)),"Government",
        ISNUMBER(SEARCH("Unknown Sender",M113)),"Unknown",
        TRUE,"Unknown"
    ),
    "-"
)</f>
        <v>Contracting</v>
      </c>
      <c r="AA113" s="25" t="str" cm="1">
        <f t="array" ref="AA113">_xlfn.IFNA(
    _xlfn.IFS(
        Z113="Lender","Financing",
        Z113="Accounting","Accounting",
        Z113="Shareholder","Individual",
        Z113="Equipment Rental","Equipment Rental",
        Z113="Telecom Company","Telecom",
        Z113="Manufacturer","Manufacturer",
        Z113="Trading Company","Trading And Transport",
        Z113="Trading Establishment","Trading",
        Z113="Airlines","Airlines",
        Z113="Health Insurance","Insurance",
        Z113="Consultant","Consultant",
        Z113="Tax Collection","Government",
        Z113="Travel Agency","Travel Agency",
        Z113="Medical Services","Medical Center",
        Z113="Online Payment Service","Payment Facilitator",
        Z113="Certification","Safety",
        Z113="Decor Company","Design",
        Z113="Customs","Customs",
        Z113="Government","Government",
        Z113="Service Provider","Service Provider",
        Z113="Water Company","Water Company",
        Z113="Contracting","Contracting",
        Z113="Car Show Room","Car Trader",
        Z113="Electricity Company","Electricity Company",
        Z113="Building Materials","Building Materials",
        Z113="Safety","Safety",
        Z113="Social Insurance Agency","Government Fund",
        Z113="Parent Company","Holding Company",
        Z113="Holding Company","Holding Company",
        Z113="Same Company","Construction",
        Z113="Bank","Bank",
        Z113="Unknown","Unknown",
        TRUE,"-"
    ),
    "-"
)</f>
        <v>Contracting</v>
      </c>
      <c r="AB113" s="25" t="str">
        <f t="shared" si="5"/>
        <v>-</v>
      </c>
      <c r="AC113" s="25" t="str" cm="1">
        <f t="array" ref="AC113">_xlfn.IFNA(
    _xlfn.IFS(
        Z113="Shareholder","Shareholder",
        Z113="Same Company","Same Company",
        Z113="Bank","Bank",
        Z113="Government","Government",
        Z113="Social Insurance Agency","Government",
        Z113="Parent Company","Customer",
        Z113="Lender","Lender",
        Z113="Unknown","Unknown",
        ISNUMBER(SEARCH("Abdullah Abdulkarim",M113)),"Service Provider",
        ISNUMBER(SEARCH("Abdullah Fahad",M113)),"Service Provider",
        ISNUMBER(SEARCH("Advanced Equipments",M113)),"Supplier",
        ISNUMBER(SEARCH("Al Banuk Sana",M113)),"Supplier",
        ISNUMBER(SEARCH("Al Khaleefa Factory",M113)),"Supplier",
        ISNUMBER(SEARCH("Al Saadeh Trading",M113)),"Supplier",
        ISNUMBER(SEARCH("Al Zaehaan",M113)),"Supplier",
        ISNUMBER(SEARCH("Ali Abdullah K Al Darwish",M113)),"Service Provider",
        ISNUMBER(SEARCH("Bupa Arabia",M113)),"Insurance Company",
        ISNUMBER(SEARCH("Dar Fahoosaat",M113)),"Service Provider",
        ISNUMBER(SEARCH("General Authority of Zakat",M113)),"Tax Authority",
        ISNUMBER(SEARCH("Gulf Voyager",M113)),"Service Provider",
        ISNUMBER(SEARCH("Hopeway Trading",M113)),"Supplier",
        ISNUMBER(SEARCH("Interhealth Medical",M113)),"Customer",
        ISNUMBER(SEARCH("Ishaar",M113)),"Service Provider",
        ISNUMBER(SEARCH("ISO Arabia",M113)),"Service Provider",
        ISNUMBER(SEARCH("Khalid Saad Al Otaibi",M113)),"Supplier",
        ISNUMBER(SEARCH("MERAS for Decoration",M113)),"Supplier",
        ISNUMBER(SEARCH("Middle East Customs Clearance",M113)),"Service Provider",
        ISNUMBER(SEARCH("Ministry of Human Resources",M113)),"Regulatory Agency",
        ISNUMBER(SEARCH("My Business Services",M113)),"Service Provider",
        ISNUMBER(SEARCH("National Water Company",M113)),"Utility Provider",
        ISNUMBER(SEARCH("Rania Contracting",M113)),"Supplier",
        ISNUMBER(SEARCH("Sahab United Motors",M113)),"Supplier",
        ISNUMBER(SEARCH("Saudi Electric Company",M113)),"Utility Provider",
        ISNUMBER(SEARCH("Saudi Vetonit",M113)),"Supplier",
        ISNUMBER(SEARCH("Shomoul Eng",M113)),"Service Provider",
        ISNUMBER(SEARCH("STC",M113)),"Utility Provider",
        ISNUMBER(SEARCH("The General Organization for Social Insurance",M113)),"Social Insurance Agency",
        ISNUMBER(SEARCH("TUV Rheinland",M113)),"Service Provider",
        ISNUMBER(SEARCH("Al Arabia Ceramic",M113)),"Supplier",
        ISNUMBER(SEARCH("National Company for Building",M113)),"Customer",
        ISNUMBER(SEARCH("Athraa Holding",M113)),"Customer",
        ISNUMBER(SEARCH("Al Rasan",M113)),"Supplier",
        ISNUMBER(SEARCH("Raboua Al Haid",M113)),"Customer",
        ISNUMBER(SEARCH("Al Jazeera Paint",M113)),"Supplier",
        ISNUMBER(SEARCH("Rania Works Contracting",M113)),"Supplier",
        ISNUMBER(SEARCH("Bandar Jarallah",M113)),"Supplier",
        TRUE,"Supplier"
    ),
    "-"
)</f>
        <v>Supplier</v>
      </c>
      <c r="AD113" s="25" t="str" cm="1">
        <f t="array" ref="AD113">_xlfn.IFNA(
    _xlfn.IFS(
        AC113="Same Company","High",
        AC113="Shareholder","High",
        AC113="Government","High",
        AC113="Bank","High",
        AC113="Lender","High",
        AC113="Unknown","Low",
        AC113="-","Low",
        TRUE,"Medium"
    ),
    "-"
)</f>
        <v>Medium</v>
      </c>
      <c r="AE113" s="25" t="str">
        <f t="shared" si="6"/>
        <v>-</v>
      </c>
      <c r="AF113" s="25" t="str" cm="1">
        <f t="array" ref="AF113">_xlfn.IFNA(
    _xlfn.IFS(
        K113="Credit",
            _xlfn.IFS(
                OR(ISNUMBER(SEARCH("Rejected",L113)),ISNUMBER(SEARCH("Returned",L113))),"Other Income",
                TRUE,"Revenue"
            ),
        K113="Debit",
            _xlfn.IFS(
                ISNUMBER(SEARCH("Payroll",L113)),"OPEX",
                ISNUMBER(SEARCH("Expatriate",L113)),"OPEX",
                ISNUMBER(SEARCH("Zakat",M113)),"ZATCA",
                ISNUMBER(SEARCH("General Organization for Social Insurance",M113)),"OPEX",
                ISNUMBER(SEARCH("Saudi Electric",M113)),"OPEX",
                ISNUMBER(SEARCH("STC",M113)),"OPEX",
                ISNUMBER(SEARCH("National Water",M113)),"OPEX",
                ISNUMBER(SEARCH("Bupa",M113)),"OPEX",
                ISNUMBER(SEARCH("Abdullah Abdulkarim",M113)),"OPEX",
                ISNUMBER(SEARCH("Abdullah Fahad",M113)),"OPEX",
                ISNUMBER(SEARCH("ISO Arabia",M113)),"OPEX",
                ISNUMBER(SEARCH("Gulf Voyager",M113)),"OPEX",
                ISNUMBER(SEARCH("Ministry",M113)),"OPEX",
                ISNUMBER(SEARCH("General Authority of Zakat",M113)),"ZATCA",
                ISNUMBER(SEARCH("Rejected",L113)),"Other Income",
                TRUE,"COGS"
            ),
        TRUE,"-"
    ),
    "-"
)</f>
        <v>COGS</v>
      </c>
      <c r="AG113" s="25" t="str" cm="1">
        <f t="array" ref="AG113">_xlfn.IFNA(
    _xlfn.IFS(
        ISNUMBER(SEARCH("Payroll",L113)),"Payroll",
        ISNUMBER(SEARCH("Expatriate",L113)),"Government Fees",
        ISNUMBER(SEARCH("Zakat",M113)),"Zakat",
        ISNUMBER(SEARCH("Social Insurance",M113)),"Social Insurance",
        ISNUMBER(SEARCH("Saudi Electric",M113)),"Electricity",
        ISNUMBER(SEARCH("STC",M113)),"Telecom",
        ISNUMBER(SEARCH("National Water",M113)),"Water",
        ISNUMBER(SEARCH("Bupa",M113)),"Insurance",
        ISNUMBER(SEARCH("Gulf Voyager",M113)),"Travel",
        ISNUMBER(SEARCH("Ministry",M113)),"Government Fees",
        ISNUMBER(SEARCH("Abdullah Abdulkarim",M113)),"Consulting",
        ISNUMBER(SEARCH("Abdullah Fahad",M113)),"Accounting",
        ISNUMBER(SEARCH("ISO Arabia",M113)),"Consulting",
        ISNUMBER(SEARCH("Rejected",L113)),"Refund",
        AF113="COGS","Inventory Purchase",
        AF113="Revenue","Revenue",
        AF113="OPEX","Other",
        AF113="ZATCA","Zakat",
        TRUE,"-"
    ),
    "-"
)</f>
        <v>Inventory Purchase</v>
      </c>
      <c r="AH113" s="25" t="str" cm="1">
        <f t="array" ref="AH113">_xlfn.IFNA(
    _xlfn.IFS(
        AF113="-","Low",
        AF113="Other","Low",
        TRUE,"Medium"
    ),
    "-"
)</f>
        <v>Medium</v>
      </c>
      <c r="AI113" s="25" t="str">
        <f t="shared" si="7"/>
        <v>-</v>
      </c>
    </row>
    <row r="114" spans="1:35" x14ac:dyDescent="0.25">
      <c r="A114" s="10">
        <v>6</v>
      </c>
      <c r="B114" s="10" t="s">
        <v>35</v>
      </c>
      <c r="C114" s="10" t="s">
        <v>36</v>
      </c>
      <c r="D114" s="10" t="s">
        <v>37</v>
      </c>
      <c r="E114" s="10" t="s">
        <v>38</v>
      </c>
      <c r="F114" s="11" t="s">
        <v>39</v>
      </c>
      <c r="G114" s="11" t="s">
        <v>40</v>
      </c>
      <c r="H114" s="12">
        <v>45049</v>
      </c>
      <c r="I114" s="20">
        <v>8665.2000000000007</v>
      </c>
      <c r="J114" s="20">
        <v>26675</v>
      </c>
      <c r="K114" s="10" t="s">
        <v>41</v>
      </c>
      <c r="L114" s="9" t="s">
        <v>224</v>
      </c>
      <c r="M114" s="9" t="s">
        <v>297</v>
      </c>
      <c r="N114" s="9">
        <v>68203274589000</v>
      </c>
      <c r="O114" s="9" t="s">
        <v>226</v>
      </c>
      <c r="P114" s="15">
        <v>45049</v>
      </c>
      <c r="Q114" s="9" t="s">
        <v>299</v>
      </c>
      <c r="R114" s="16">
        <v>26675</v>
      </c>
      <c r="U114" s="9" t="s">
        <v>55</v>
      </c>
      <c r="V114" s="24" t="str" cm="1">
        <f t="array" ref="V114">_xlfn.IFNA(
    _xlfn.IFS(
        ISNUMBER(SEARCH("Fast Outgoing Transfer",L114)),"Transfer",
        ISNUMBER(SEARCH("Incoming Fast Transfer",L114)),"Transfer",
        ISNUMBER(SEARCH("Outgoing International Transfer",L114)),"Transfer",
        ISNUMBER(SEARCH("Bill Payment",L114)),"SADAD",
        ISNUMBER(SEARCH("Payroll",L114)),"Payroll",
        ISNUMBER(SEARCH("Cash Deposit",L114)),"Cash",
        ISNUMBER(SEARCH("Internal Transfer",L114)),"Transfer",
        ISNUMBER(SEARCH("Expatriate Services Payment",L114)),"SADAD",
        ISNUMBER(SEARCH("Rejected",L114)),"Transfer"
    ),
    "-"
)</f>
        <v>Transfer</v>
      </c>
      <c r="W114" s="25" t="str" cm="1">
        <f t="array" ref="W114">_xlfn.IFNA(
    _xlfn.IFS(
        AND(V114="Transfer",ISNUMBER(SEARCH("RIYAD BANK",L114))),"External FI",
        AND(V114="Transfer",ISNUMBER(SEARCH("Al Ahli",L114))),"External FI",
        AND(V114="Transfer",ISNUMBER(SEARCH("CIB via",L114))),"Local Transfer",
        AND(V114="Transfer",ISNUMBER(SEARCH("CIB)",L114))),"Local Transfer",
        AND(V114="Transfer",ISNUMBER(SEARCH("SMRT",L114))),"Local Transfer",
        AND(V114="Transfer",ISNUMBER(SEARCH("Al Murabba",L114))),"Local Transfer",
        AND(V114="Transfer",ISNUMBER(SEARCH("Internal Transfer",L114))),"Same FI",
        AND(V114="Transfer",ISNUMBER(SEARCH("Rejected",L114))),"Failed",
        V114="SADAD",
            _xlfn.IFS(
                ISNUMBER(SEARCH("Expatriate",L114)),"Expat Fees",
                TRUE,"Online Payment"
            ),
        V114="Payroll","Payroll",
        V114="Cash","Deposit",
        TRUE,"-"
    ),
    "-"
)</f>
        <v>Local Transfer</v>
      </c>
      <c r="X114" s="25" t="str" cm="1">
        <f t="array" ref="X114">_xlfn.IFNA(
    _xlfn.IFS(
        V114="-","Low",
        W114="-","Low",
        TRUE,"High"
    ),
    "-"
)</f>
        <v>High</v>
      </c>
      <c r="Y114" s="25" t="str">
        <f t="shared" si="4"/>
        <v>-</v>
      </c>
      <c r="Z114" s="25" t="str" cm="1">
        <f t="array" ref="Z114">_xlfn.IFNA(
    _xlfn.IFS(
        ISNUMBER(SEARCH("Abdul Latif Jameel",M114)),"Lender",
        ISNUMBER(SEARCH("Abdullah Abdulkarim Al Sudais",M114)),"Accounting",
        ISNUMBER(SEARCH("Abdullah Fahad for Accounting",M114)),"Accounting",
        ISNUMBER(SEARCH("Abdullah Rashid Shaikh",M114)),"Shareholder",
        ISNUMBER(SEARCH("Advanced Equipments",M114)),"Equipment Rental",
        ISNUMBER(SEARCH("Al Banuk Sana",M114)),"Telecom Company",
        ISNUMBER(SEARCH("Al Khaleefa Factory",M114)),"Manufacturer",
        ISNUMBER(SEARCH("Al Saadeh Trading",M114)),"Trading Company",
        ISNUMBER(SEARCH("Al Zaehaan",M114)),"Trading Company",
        ISNUMBER(SEARCH("Ali Abdullah K Al Darwish",M114)),"Airlines",
        ISNUMBER(SEARCH("Bupa Arabia",M114)),"Health Insurance",
        ISNUMBER(SEARCH("Dar Fahoosaat",M114)),"Consultant",
        ISNUMBER(SEARCH("General Authority of Zakat",M114)),"Tax Collection",
        ISNUMBER(SEARCH("Gulf Voyager",M114)),"Travel Agency",
        ISNUMBER(SEARCH("Hopeway Trading",M114)),"Trading Company",
        ISNUMBER(SEARCH("Interhealth Medical",M114)),"Medical Services",
        ISNUMBER(SEARCH("Ishaar",M114)),"Online Payment Service",
        ISNUMBER(SEARCH("ISO Arabia",M114)),"Certification",
        ISNUMBER(SEARCH("Khalid Saad Al Otaibi",M114)),"Trading Company",
        ISNUMBER(SEARCH("MERAS for Decoration",M114)),"Decor Company",
        ISNUMBER(SEARCH("Middle East Customs Clearance",M114)),"Customs",
        ISNUMBER(SEARCH("Ministry of Human Resources",M114)),"Government",
        ISNUMBER(SEARCH("My Business Services",M114)),"Service Provider",
        ISNUMBER(SEARCH("National Water Company",M114)),"Water Company",
        ISNUMBER(SEARCH("Rania Contracting",M114)),"Contracting",
        ISNUMBER(SEARCH("Rashid Ali Sheikh",M114)),"Shareholder",
        ISNUMBER(SEARCH("Sahab United Motors",M114)),"Car Show Room",
        ISNUMBER(SEARCH("Saud Mohammed Al Tamimi",M114)),"Shareholder",
        ISNUMBER(SEARCH("Saud Mohammed Tamimi",M114)),"Shareholder",
        ISNUMBER(SEARCH("Saudi Electric Company",M114)),"Electricity Company",
        ISNUMBER(SEARCH("Saudi Vetonit",M114)),"Building Materials",
        ISNUMBER(SEARCH("Shomoul Eng",M114)),"Safety",
        ISNUMBER(SEARCH("STC",M114)),"Telecom Company",
        ISNUMBER(SEARCH("The General Organization for Social Insurance",M114)),"Social Insurance Agency",
        ISNUMBER(SEARCH("TUV Rheinland",M114)),"Certification",
        ISNUMBER(SEARCH("Al Arabia Ceramic",M114)),"Building Materials",
        ISNUMBER(SEARCH("National Company for Building and Marketing",M114)),"Parent Company",
        ISNUMBER(SEARCH("Athraa Holding",M114)),"Holding Company",
        ISNUMBER(SEARCH("Al Rasan",M114)),"Contracting",
        ISNUMBER(SEARCH("Raboua Al Haid",M114)),"Trading Company",
        ISNUMBER(SEARCH("Al Jazeera Paint",M114)),"Manufacturer",
        ISNUMBER(SEARCH("Rania Works Contracting",M114)),"Contracting",
        ISNUMBER(SEARCH("Bandar Jarallah",M114)),"Trading Establishment",
        ISNUMBER(SEARCH("RS Infratec Saudi",M114)),"Same Company",
        ISNUMBER(SEARCH("Payroll",M114)),"Bank",
        ISNUMBER(SEARCH("Expatriate",M114)),"Government",
        ISNUMBER(SEARCH("Unknown Sender",M114)),"Unknown",
        TRUE,"Unknown"
    ),
    "-"
)</f>
        <v>Contracting</v>
      </c>
      <c r="AA114" s="25" t="str" cm="1">
        <f t="array" ref="AA114">_xlfn.IFNA(
    _xlfn.IFS(
        Z114="Lender","Financing",
        Z114="Accounting","Accounting",
        Z114="Shareholder","Individual",
        Z114="Equipment Rental","Equipment Rental",
        Z114="Telecom Company","Telecom",
        Z114="Manufacturer","Manufacturer",
        Z114="Trading Company","Trading And Transport",
        Z114="Trading Establishment","Trading",
        Z114="Airlines","Airlines",
        Z114="Health Insurance","Insurance",
        Z114="Consultant","Consultant",
        Z114="Tax Collection","Government",
        Z114="Travel Agency","Travel Agency",
        Z114="Medical Services","Medical Center",
        Z114="Online Payment Service","Payment Facilitator",
        Z114="Certification","Safety",
        Z114="Decor Company","Design",
        Z114="Customs","Customs",
        Z114="Government","Government",
        Z114="Service Provider","Service Provider",
        Z114="Water Company","Water Company",
        Z114="Contracting","Contracting",
        Z114="Car Show Room","Car Trader",
        Z114="Electricity Company","Electricity Company",
        Z114="Building Materials","Building Materials",
        Z114="Safety","Safety",
        Z114="Social Insurance Agency","Government Fund",
        Z114="Parent Company","Holding Company",
        Z114="Holding Company","Holding Company",
        Z114="Same Company","Construction",
        Z114="Bank","Bank",
        Z114="Unknown","Unknown",
        TRUE,"-"
    ),
    "-"
)</f>
        <v>Contracting</v>
      </c>
      <c r="AB114" s="25" t="str">
        <f t="shared" si="5"/>
        <v>-</v>
      </c>
      <c r="AC114" s="25" t="str" cm="1">
        <f t="array" ref="AC114">_xlfn.IFNA(
    _xlfn.IFS(
        Z114="Shareholder","Shareholder",
        Z114="Same Company","Same Company",
        Z114="Bank","Bank",
        Z114="Government","Government",
        Z114="Social Insurance Agency","Government",
        Z114="Parent Company","Customer",
        Z114="Lender","Lender",
        Z114="Unknown","Unknown",
        ISNUMBER(SEARCH("Abdullah Abdulkarim",M114)),"Service Provider",
        ISNUMBER(SEARCH("Abdullah Fahad",M114)),"Service Provider",
        ISNUMBER(SEARCH("Advanced Equipments",M114)),"Supplier",
        ISNUMBER(SEARCH("Al Banuk Sana",M114)),"Supplier",
        ISNUMBER(SEARCH("Al Khaleefa Factory",M114)),"Supplier",
        ISNUMBER(SEARCH("Al Saadeh Trading",M114)),"Supplier",
        ISNUMBER(SEARCH("Al Zaehaan",M114)),"Supplier",
        ISNUMBER(SEARCH("Ali Abdullah K Al Darwish",M114)),"Service Provider",
        ISNUMBER(SEARCH("Bupa Arabia",M114)),"Insurance Company",
        ISNUMBER(SEARCH("Dar Fahoosaat",M114)),"Service Provider",
        ISNUMBER(SEARCH("General Authority of Zakat",M114)),"Tax Authority",
        ISNUMBER(SEARCH("Gulf Voyager",M114)),"Service Provider",
        ISNUMBER(SEARCH("Hopeway Trading",M114)),"Supplier",
        ISNUMBER(SEARCH("Interhealth Medical",M114)),"Customer",
        ISNUMBER(SEARCH("Ishaar",M114)),"Service Provider",
        ISNUMBER(SEARCH("ISO Arabia",M114)),"Service Provider",
        ISNUMBER(SEARCH("Khalid Saad Al Otaibi",M114)),"Supplier",
        ISNUMBER(SEARCH("MERAS for Decoration",M114)),"Supplier",
        ISNUMBER(SEARCH("Middle East Customs Clearance",M114)),"Service Provider",
        ISNUMBER(SEARCH("Ministry of Human Resources",M114)),"Regulatory Agency",
        ISNUMBER(SEARCH("My Business Services",M114)),"Service Provider",
        ISNUMBER(SEARCH("National Water Company",M114)),"Utility Provider",
        ISNUMBER(SEARCH("Rania Contracting",M114)),"Supplier",
        ISNUMBER(SEARCH("Sahab United Motors",M114)),"Supplier",
        ISNUMBER(SEARCH("Saudi Electric Company",M114)),"Utility Provider",
        ISNUMBER(SEARCH("Saudi Vetonit",M114)),"Supplier",
        ISNUMBER(SEARCH("Shomoul Eng",M114)),"Service Provider",
        ISNUMBER(SEARCH("STC",M114)),"Utility Provider",
        ISNUMBER(SEARCH("The General Organization for Social Insurance",M114)),"Social Insurance Agency",
        ISNUMBER(SEARCH("TUV Rheinland",M114)),"Service Provider",
        ISNUMBER(SEARCH("Al Arabia Ceramic",M114)),"Supplier",
        ISNUMBER(SEARCH("National Company for Building",M114)),"Customer",
        ISNUMBER(SEARCH("Athraa Holding",M114)),"Customer",
        ISNUMBER(SEARCH("Al Rasan",M114)),"Supplier",
        ISNUMBER(SEARCH("Raboua Al Haid",M114)),"Customer",
        ISNUMBER(SEARCH("Al Jazeera Paint",M114)),"Supplier",
        ISNUMBER(SEARCH("Rania Works Contracting",M114)),"Supplier",
        ISNUMBER(SEARCH("Bandar Jarallah",M114)),"Supplier",
        TRUE,"Supplier"
    ),
    "-"
)</f>
        <v>Supplier</v>
      </c>
      <c r="AD114" s="25" t="str" cm="1">
        <f t="array" ref="AD114">_xlfn.IFNA(
    _xlfn.IFS(
        AC114="Same Company","High",
        AC114="Shareholder","High",
        AC114="Government","High",
        AC114="Bank","High",
        AC114="Lender","High",
        AC114="Unknown","Low",
        AC114="-","Low",
        TRUE,"Medium"
    ),
    "-"
)</f>
        <v>Medium</v>
      </c>
      <c r="AE114" s="25" t="str">
        <f t="shared" si="6"/>
        <v>-</v>
      </c>
      <c r="AF114" s="25" t="str" cm="1">
        <f t="array" ref="AF114">_xlfn.IFNA(
    _xlfn.IFS(
        K114="Credit",
            _xlfn.IFS(
                OR(ISNUMBER(SEARCH("Rejected",L114)),ISNUMBER(SEARCH("Returned",L114))),"Other Income",
                TRUE,"Revenue"
            ),
        K114="Debit",
            _xlfn.IFS(
                ISNUMBER(SEARCH("Payroll",L114)),"OPEX",
                ISNUMBER(SEARCH("Expatriate",L114)),"OPEX",
                ISNUMBER(SEARCH("Zakat",M114)),"ZATCA",
                ISNUMBER(SEARCH("General Organization for Social Insurance",M114)),"OPEX",
                ISNUMBER(SEARCH("Saudi Electric",M114)),"OPEX",
                ISNUMBER(SEARCH("STC",M114)),"OPEX",
                ISNUMBER(SEARCH("National Water",M114)),"OPEX",
                ISNUMBER(SEARCH("Bupa",M114)),"OPEX",
                ISNUMBER(SEARCH("Abdullah Abdulkarim",M114)),"OPEX",
                ISNUMBER(SEARCH("Abdullah Fahad",M114)),"OPEX",
                ISNUMBER(SEARCH("ISO Arabia",M114)),"OPEX",
                ISNUMBER(SEARCH("Gulf Voyager",M114)),"OPEX",
                ISNUMBER(SEARCH("Ministry",M114)),"OPEX",
                ISNUMBER(SEARCH("General Authority of Zakat",M114)),"ZATCA",
                ISNUMBER(SEARCH("Rejected",L114)),"Other Income",
                TRUE,"COGS"
            ),
        TRUE,"-"
    ),
    "-"
)</f>
        <v>COGS</v>
      </c>
      <c r="AG114" s="25" t="str" cm="1">
        <f t="array" ref="AG114">_xlfn.IFNA(
    _xlfn.IFS(
        ISNUMBER(SEARCH("Payroll",L114)),"Payroll",
        ISNUMBER(SEARCH("Expatriate",L114)),"Government Fees",
        ISNUMBER(SEARCH("Zakat",M114)),"Zakat",
        ISNUMBER(SEARCH("Social Insurance",M114)),"Social Insurance",
        ISNUMBER(SEARCH("Saudi Electric",M114)),"Electricity",
        ISNUMBER(SEARCH("STC",M114)),"Telecom",
        ISNUMBER(SEARCH("National Water",M114)),"Water",
        ISNUMBER(SEARCH("Bupa",M114)),"Insurance",
        ISNUMBER(SEARCH("Gulf Voyager",M114)),"Travel",
        ISNUMBER(SEARCH("Ministry",M114)),"Government Fees",
        ISNUMBER(SEARCH("Abdullah Abdulkarim",M114)),"Consulting",
        ISNUMBER(SEARCH("Abdullah Fahad",M114)),"Accounting",
        ISNUMBER(SEARCH("ISO Arabia",M114)),"Consulting",
        ISNUMBER(SEARCH("Rejected",L114)),"Refund",
        AF114="COGS","Inventory Purchase",
        AF114="Revenue","Revenue",
        AF114="OPEX","Other",
        AF114="ZATCA","Zakat",
        TRUE,"-"
    ),
    "-"
)</f>
        <v>Inventory Purchase</v>
      </c>
      <c r="AH114" s="25" t="str" cm="1">
        <f t="array" ref="AH114">_xlfn.IFNA(
    _xlfn.IFS(
        AF114="-","Low",
        AF114="Other","Low",
        TRUE,"Medium"
    ),
    "-"
)</f>
        <v>Medium</v>
      </c>
      <c r="AI114" s="25" t="str">
        <f t="shared" si="7"/>
        <v>-</v>
      </c>
    </row>
    <row r="115" spans="1:35" x14ac:dyDescent="0.25">
      <c r="A115" s="10">
        <v>6</v>
      </c>
      <c r="B115" s="10" t="s">
        <v>35</v>
      </c>
      <c r="C115" s="10" t="s">
        <v>36</v>
      </c>
      <c r="D115" s="10" t="s">
        <v>37</v>
      </c>
      <c r="E115" s="10" t="s">
        <v>38</v>
      </c>
      <c r="F115" s="11" t="s">
        <v>39</v>
      </c>
      <c r="G115" s="11" t="s">
        <v>40</v>
      </c>
      <c r="H115" s="12">
        <v>45049</v>
      </c>
      <c r="I115" s="20">
        <v>6065.2</v>
      </c>
      <c r="J115" s="20">
        <v>2600</v>
      </c>
      <c r="K115" s="10" t="s">
        <v>41</v>
      </c>
      <c r="L115" s="9" t="s">
        <v>224</v>
      </c>
      <c r="M115" s="9" t="s">
        <v>297</v>
      </c>
      <c r="N115" s="9">
        <v>68203274589000</v>
      </c>
      <c r="O115" s="9" t="s">
        <v>226</v>
      </c>
      <c r="P115" s="15">
        <v>45049</v>
      </c>
      <c r="Q115" s="9" t="s">
        <v>300</v>
      </c>
      <c r="R115" s="16">
        <v>2600</v>
      </c>
      <c r="U115" s="9" t="s">
        <v>55</v>
      </c>
      <c r="V115" s="24" t="str" cm="1">
        <f t="array" ref="V115">_xlfn.IFNA(
    _xlfn.IFS(
        ISNUMBER(SEARCH("Fast Outgoing Transfer",L115)),"Transfer",
        ISNUMBER(SEARCH("Incoming Fast Transfer",L115)),"Transfer",
        ISNUMBER(SEARCH("Outgoing International Transfer",L115)),"Transfer",
        ISNUMBER(SEARCH("Bill Payment",L115)),"SADAD",
        ISNUMBER(SEARCH("Payroll",L115)),"Payroll",
        ISNUMBER(SEARCH("Cash Deposit",L115)),"Cash",
        ISNUMBER(SEARCH("Internal Transfer",L115)),"Transfer",
        ISNUMBER(SEARCH("Expatriate Services Payment",L115)),"SADAD",
        ISNUMBER(SEARCH("Rejected",L115)),"Transfer"
    ),
    "-"
)</f>
        <v>Transfer</v>
      </c>
      <c r="W115" s="25" t="str" cm="1">
        <f t="array" ref="W115">_xlfn.IFNA(
    _xlfn.IFS(
        AND(V115="Transfer",ISNUMBER(SEARCH("RIYAD BANK",L115))),"External FI",
        AND(V115="Transfer",ISNUMBER(SEARCH("Al Ahli",L115))),"External FI",
        AND(V115="Transfer",ISNUMBER(SEARCH("CIB via",L115))),"Local Transfer",
        AND(V115="Transfer",ISNUMBER(SEARCH("CIB)",L115))),"Local Transfer",
        AND(V115="Transfer",ISNUMBER(SEARCH("SMRT",L115))),"Local Transfer",
        AND(V115="Transfer",ISNUMBER(SEARCH("Al Murabba",L115))),"Local Transfer",
        AND(V115="Transfer",ISNUMBER(SEARCH("Internal Transfer",L115))),"Same FI",
        AND(V115="Transfer",ISNUMBER(SEARCH("Rejected",L115))),"Failed",
        V115="SADAD",
            _xlfn.IFS(
                ISNUMBER(SEARCH("Expatriate",L115)),"Expat Fees",
                TRUE,"Online Payment"
            ),
        V115="Payroll","Payroll",
        V115="Cash","Deposit",
        TRUE,"-"
    ),
    "-"
)</f>
        <v>Local Transfer</v>
      </c>
      <c r="X115" s="25" t="str" cm="1">
        <f t="array" ref="X115">_xlfn.IFNA(
    _xlfn.IFS(
        V115="-","Low",
        W115="-","Low",
        TRUE,"High"
    ),
    "-"
)</f>
        <v>High</v>
      </c>
      <c r="Y115" s="25" t="str">
        <f t="shared" si="4"/>
        <v>-</v>
      </c>
      <c r="Z115" s="25" t="str" cm="1">
        <f t="array" ref="Z115">_xlfn.IFNA(
    _xlfn.IFS(
        ISNUMBER(SEARCH("Abdul Latif Jameel",M115)),"Lender",
        ISNUMBER(SEARCH("Abdullah Abdulkarim Al Sudais",M115)),"Accounting",
        ISNUMBER(SEARCH("Abdullah Fahad for Accounting",M115)),"Accounting",
        ISNUMBER(SEARCH("Abdullah Rashid Shaikh",M115)),"Shareholder",
        ISNUMBER(SEARCH("Advanced Equipments",M115)),"Equipment Rental",
        ISNUMBER(SEARCH("Al Banuk Sana",M115)),"Telecom Company",
        ISNUMBER(SEARCH("Al Khaleefa Factory",M115)),"Manufacturer",
        ISNUMBER(SEARCH("Al Saadeh Trading",M115)),"Trading Company",
        ISNUMBER(SEARCH("Al Zaehaan",M115)),"Trading Company",
        ISNUMBER(SEARCH("Ali Abdullah K Al Darwish",M115)),"Airlines",
        ISNUMBER(SEARCH("Bupa Arabia",M115)),"Health Insurance",
        ISNUMBER(SEARCH("Dar Fahoosaat",M115)),"Consultant",
        ISNUMBER(SEARCH("General Authority of Zakat",M115)),"Tax Collection",
        ISNUMBER(SEARCH("Gulf Voyager",M115)),"Travel Agency",
        ISNUMBER(SEARCH("Hopeway Trading",M115)),"Trading Company",
        ISNUMBER(SEARCH("Interhealth Medical",M115)),"Medical Services",
        ISNUMBER(SEARCH("Ishaar",M115)),"Online Payment Service",
        ISNUMBER(SEARCH("ISO Arabia",M115)),"Certification",
        ISNUMBER(SEARCH("Khalid Saad Al Otaibi",M115)),"Trading Company",
        ISNUMBER(SEARCH("MERAS for Decoration",M115)),"Decor Company",
        ISNUMBER(SEARCH("Middle East Customs Clearance",M115)),"Customs",
        ISNUMBER(SEARCH("Ministry of Human Resources",M115)),"Government",
        ISNUMBER(SEARCH("My Business Services",M115)),"Service Provider",
        ISNUMBER(SEARCH("National Water Company",M115)),"Water Company",
        ISNUMBER(SEARCH("Rania Contracting",M115)),"Contracting",
        ISNUMBER(SEARCH("Rashid Ali Sheikh",M115)),"Shareholder",
        ISNUMBER(SEARCH("Sahab United Motors",M115)),"Car Show Room",
        ISNUMBER(SEARCH("Saud Mohammed Al Tamimi",M115)),"Shareholder",
        ISNUMBER(SEARCH("Saud Mohammed Tamimi",M115)),"Shareholder",
        ISNUMBER(SEARCH("Saudi Electric Company",M115)),"Electricity Company",
        ISNUMBER(SEARCH("Saudi Vetonit",M115)),"Building Materials",
        ISNUMBER(SEARCH("Shomoul Eng",M115)),"Safety",
        ISNUMBER(SEARCH("STC",M115)),"Telecom Company",
        ISNUMBER(SEARCH("The General Organization for Social Insurance",M115)),"Social Insurance Agency",
        ISNUMBER(SEARCH("TUV Rheinland",M115)),"Certification",
        ISNUMBER(SEARCH("Al Arabia Ceramic",M115)),"Building Materials",
        ISNUMBER(SEARCH("National Company for Building and Marketing",M115)),"Parent Company",
        ISNUMBER(SEARCH("Athraa Holding",M115)),"Holding Company",
        ISNUMBER(SEARCH("Al Rasan",M115)),"Contracting",
        ISNUMBER(SEARCH("Raboua Al Haid",M115)),"Trading Company",
        ISNUMBER(SEARCH("Al Jazeera Paint",M115)),"Manufacturer",
        ISNUMBER(SEARCH("Rania Works Contracting",M115)),"Contracting",
        ISNUMBER(SEARCH("Bandar Jarallah",M115)),"Trading Establishment",
        ISNUMBER(SEARCH("RS Infratec Saudi",M115)),"Same Company",
        ISNUMBER(SEARCH("Payroll",M115)),"Bank",
        ISNUMBER(SEARCH("Expatriate",M115)),"Government",
        ISNUMBER(SEARCH("Unknown Sender",M115)),"Unknown",
        TRUE,"Unknown"
    ),
    "-"
)</f>
        <v>Contracting</v>
      </c>
      <c r="AA115" s="25" t="str" cm="1">
        <f t="array" ref="AA115">_xlfn.IFNA(
    _xlfn.IFS(
        Z115="Lender","Financing",
        Z115="Accounting","Accounting",
        Z115="Shareholder","Individual",
        Z115="Equipment Rental","Equipment Rental",
        Z115="Telecom Company","Telecom",
        Z115="Manufacturer","Manufacturer",
        Z115="Trading Company","Trading And Transport",
        Z115="Trading Establishment","Trading",
        Z115="Airlines","Airlines",
        Z115="Health Insurance","Insurance",
        Z115="Consultant","Consultant",
        Z115="Tax Collection","Government",
        Z115="Travel Agency","Travel Agency",
        Z115="Medical Services","Medical Center",
        Z115="Online Payment Service","Payment Facilitator",
        Z115="Certification","Safety",
        Z115="Decor Company","Design",
        Z115="Customs","Customs",
        Z115="Government","Government",
        Z115="Service Provider","Service Provider",
        Z115="Water Company","Water Company",
        Z115="Contracting","Contracting",
        Z115="Car Show Room","Car Trader",
        Z115="Electricity Company","Electricity Company",
        Z115="Building Materials","Building Materials",
        Z115="Safety","Safety",
        Z115="Social Insurance Agency","Government Fund",
        Z115="Parent Company","Holding Company",
        Z115="Holding Company","Holding Company",
        Z115="Same Company","Construction",
        Z115="Bank","Bank",
        Z115="Unknown","Unknown",
        TRUE,"-"
    ),
    "-"
)</f>
        <v>Contracting</v>
      </c>
      <c r="AB115" s="25" t="str">
        <f t="shared" si="5"/>
        <v>-</v>
      </c>
      <c r="AC115" s="25" t="str" cm="1">
        <f t="array" ref="AC115">_xlfn.IFNA(
    _xlfn.IFS(
        Z115="Shareholder","Shareholder",
        Z115="Same Company","Same Company",
        Z115="Bank","Bank",
        Z115="Government","Government",
        Z115="Social Insurance Agency","Government",
        Z115="Parent Company","Customer",
        Z115="Lender","Lender",
        Z115="Unknown","Unknown",
        ISNUMBER(SEARCH("Abdullah Abdulkarim",M115)),"Service Provider",
        ISNUMBER(SEARCH("Abdullah Fahad",M115)),"Service Provider",
        ISNUMBER(SEARCH("Advanced Equipments",M115)),"Supplier",
        ISNUMBER(SEARCH("Al Banuk Sana",M115)),"Supplier",
        ISNUMBER(SEARCH("Al Khaleefa Factory",M115)),"Supplier",
        ISNUMBER(SEARCH("Al Saadeh Trading",M115)),"Supplier",
        ISNUMBER(SEARCH("Al Zaehaan",M115)),"Supplier",
        ISNUMBER(SEARCH("Ali Abdullah K Al Darwish",M115)),"Service Provider",
        ISNUMBER(SEARCH("Bupa Arabia",M115)),"Insurance Company",
        ISNUMBER(SEARCH("Dar Fahoosaat",M115)),"Service Provider",
        ISNUMBER(SEARCH("General Authority of Zakat",M115)),"Tax Authority",
        ISNUMBER(SEARCH("Gulf Voyager",M115)),"Service Provider",
        ISNUMBER(SEARCH("Hopeway Trading",M115)),"Supplier",
        ISNUMBER(SEARCH("Interhealth Medical",M115)),"Customer",
        ISNUMBER(SEARCH("Ishaar",M115)),"Service Provider",
        ISNUMBER(SEARCH("ISO Arabia",M115)),"Service Provider",
        ISNUMBER(SEARCH("Khalid Saad Al Otaibi",M115)),"Supplier",
        ISNUMBER(SEARCH("MERAS for Decoration",M115)),"Supplier",
        ISNUMBER(SEARCH("Middle East Customs Clearance",M115)),"Service Provider",
        ISNUMBER(SEARCH("Ministry of Human Resources",M115)),"Regulatory Agency",
        ISNUMBER(SEARCH("My Business Services",M115)),"Service Provider",
        ISNUMBER(SEARCH("National Water Company",M115)),"Utility Provider",
        ISNUMBER(SEARCH("Rania Contracting",M115)),"Supplier",
        ISNUMBER(SEARCH("Sahab United Motors",M115)),"Supplier",
        ISNUMBER(SEARCH("Saudi Electric Company",M115)),"Utility Provider",
        ISNUMBER(SEARCH("Saudi Vetonit",M115)),"Supplier",
        ISNUMBER(SEARCH("Shomoul Eng",M115)),"Service Provider",
        ISNUMBER(SEARCH("STC",M115)),"Utility Provider",
        ISNUMBER(SEARCH("The General Organization for Social Insurance",M115)),"Social Insurance Agency",
        ISNUMBER(SEARCH("TUV Rheinland",M115)),"Service Provider",
        ISNUMBER(SEARCH("Al Arabia Ceramic",M115)),"Supplier",
        ISNUMBER(SEARCH("National Company for Building",M115)),"Customer",
        ISNUMBER(SEARCH("Athraa Holding",M115)),"Customer",
        ISNUMBER(SEARCH("Al Rasan",M115)),"Supplier",
        ISNUMBER(SEARCH("Raboua Al Haid",M115)),"Customer",
        ISNUMBER(SEARCH("Al Jazeera Paint",M115)),"Supplier",
        ISNUMBER(SEARCH("Rania Works Contracting",M115)),"Supplier",
        ISNUMBER(SEARCH("Bandar Jarallah",M115)),"Supplier",
        TRUE,"Supplier"
    ),
    "-"
)</f>
        <v>Supplier</v>
      </c>
      <c r="AD115" s="25" t="str" cm="1">
        <f t="array" ref="AD115">_xlfn.IFNA(
    _xlfn.IFS(
        AC115="Same Company","High",
        AC115="Shareholder","High",
        AC115="Government","High",
        AC115="Bank","High",
        AC115="Lender","High",
        AC115="Unknown","Low",
        AC115="-","Low",
        TRUE,"Medium"
    ),
    "-"
)</f>
        <v>Medium</v>
      </c>
      <c r="AE115" s="25" t="str">
        <f t="shared" si="6"/>
        <v>-</v>
      </c>
      <c r="AF115" s="25" t="str" cm="1">
        <f t="array" ref="AF115">_xlfn.IFNA(
    _xlfn.IFS(
        K115="Credit",
            _xlfn.IFS(
                OR(ISNUMBER(SEARCH("Rejected",L115)),ISNUMBER(SEARCH("Returned",L115))),"Other Income",
                TRUE,"Revenue"
            ),
        K115="Debit",
            _xlfn.IFS(
                ISNUMBER(SEARCH("Payroll",L115)),"OPEX",
                ISNUMBER(SEARCH("Expatriate",L115)),"OPEX",
                ISNUMBER(SEARCH("Zakat",M115)),"ZATCA",
                ISNUMBER(SEARCH("General Organization for Social Insurance",M115)),"OPEX",
                ISNUMBER(SEARCH("Saudi Electric",M115)),"OPEX",
                ISNUMBER(SEARCH("STC",M115)),"OPEX",
                ISNUMBER(SEARCH("National Water",M115)),"OPEX",
                ISNUMBER(SEARCH("Bupa",M115)),"OPEX",
                ISNUMBER(SEARCH("Abdullah Abdulkarim",M115)),"OPEX",
                ISNUMBER(SEARCH("Abdullah Fahad",M115)),"OPEX",
                ISNUMBER(SEARCH("ISO Arabia",M115)),"OPEX",
                ISNUMBER(SEARCH("Gulf Voyager",M115)),"OPEX",
                ISNUMBER(SEARCH("Ministry",M115)),"OPEX",
                ISNUMBER(SEARCH("General Authority of Zakat",M115)),"ZATCA",
                ISNUMBER(SEARCH("Rejected",L115)),"Other Income",
                TRUE,"COGS"
            ),
        TRUE,"-"
    ),
    "-"
)</f>
        <v>COGS</v>
      </c>
      <c r="AG115" s="25" t="str" cm="1">
        <f t="array" ref="AG115">_xlfn.IFNA(
    _xlfn.IFS(
        ISNUMBER(SEARCH("Payroll",L115)),"Payroll",
        ISNUMBER(SEARCH("Expatriate",L115)),"Government Fees",
        ISNUMBER(SEARCH("Zakat",M115)),"Zakat",
        ISNUMBER(SEARCH("Social Insurance",M115)),"Social Insurance",
        ISNUMBER(SEARCH("Saudi Electric",M115)),"Electricity",
        ISNUMBER(SEARCH("STC",M115)),"Telecom",
        ISNUMBER(SEARCH("National Water",M115)),"Water",
        ISNUMBER(SEARCH("Bupa",M115)),"Insurance",
        ISNUMBER(SEARCH("Gulf Voyager",M115)),"Travel",
        ISNUMBER(SEARCH("Ministry",M115)),"Government Fees",
        ISNUMBER(SEARCH("Abdullah Abdulkarim",M115)),"Consulting",
        ISNUMBER(SEARCH("Abdullah Fahad",M115)),"Accounting",
        ISNUMBER(SEARCH("ISO Arabia",M115)),"Consulting",
        ISNUMBER(SEARCH("Rejected",L115)),"Refund",
        AF115="COGS","Inventory Purchase",
        AF115="Revenue","Revenue",
        AF115="OPEX","Other",
        AF115="ZATCA","Zakat",
        TRUE,"-"
    ),
    "-"
)</f>
        <v>Inventory Purchase</v>
      </c>
      <c r="AH115" s="25" t="str" cm="1">
        <f t="array" ref="AH115">_xlfn.IFNA(
    _xlfn.IFS(
        AF115="-","Low",
        AF115="Other","Low",
        TRUE,"Medium"
    ),
    "-"
)</f>
        <v>Medium</v>
      </c>
      <c r="AI115" s="25" t="str">
        <f t="shared" si="7"/>
        <v>-</v>
      </c>
    </row>
    <row r="116" spans="1:35" x14ac:dyDescent="0.25">
      <c r="A116" s="10">
        <v>6</v>
      </c>
      <c r="B116" s="10" t="s">
        <v>35</v>
      </c>
      <c r="C116" s="10" t="s">
        <v>36</v>
      </c>
      <c r="D116" s="10" t="s">
        <v>37</v>
      </c>
      <c r="E116" s="10" t="s">
        <v>38</v>
      </c>
      <c r="F116" s="11" t="s">
        <v>39</v>
      </c>
      <c r="G116" s="11" t="s">
        <v>40</v>
      </c>
      <c r="H116" s="12">
        <v>45061</v>
      </c>
      <c r="I116" s="20">
        <v>91804.4</v>
      </c>
      <c r="J116" s="20">
        <v>11500</v>
      </c>
      <c r="K116" s="10" t="s">
        <v>41</v>
      </c>
      <c r="L116" s="9" t="s">
        <v>224</v>
      </c>
      <c r="M116" s="9" t="s">
        <v>297</v>
      </c>
      <c r="N116" s="9">
        <v>68203274589000</v>
      </c>
      <c r="O116" s="9" t="s">
        <v>226</v>
      </c>
      <c r="P116" s="15">
        <v>45061</v>
      </c>
      <c r="Q116" s="9" t="s">
        <v>301</v>
      </c>
      <c r="R116" s="16">
        <v>11500</v>
      </c>
      <c r="U116" s="9" t="s">
        <v>55</v>
      </c>
      <c r="V116" s="24" t="str" cm="1">
        <f t="array" ref="V116">_xlfn.IFNA(
    _xlfn.IFS(
        ISNUMBER(SEARCH("Fast Outgoing Transfer",L116)),"Transfer",
        ISNUMBER(SEARCH("Incoming Fast Transfer",L116)),"Transfer",
        ISNUMBER(SEARCH("Outgoing International Transfer",L116)),"Transfer",
        ISNUMBER(SEARCH("Bill Payment",L116)),"SADAD",
        ISNUMBER(SEARCH("Payroll",L116)),"Payroll",
        ISNUMBER(SEARCH("Cash Deposit",L116)),"Cash",
        ISNUMBER(SEARCH("Internal Transfer",L116)),"Transfer",
        ISNUMBER(SEARCH("Expatriate Services Payment",L116)),"SADAD",
        ISNUMBER(SEARCH("Rejected",L116)),"Transfer"
    ),
    "-"
)</f>
        <v>Transfer</v>
      </c>
      <c r="W116" s="25" t="str" cm="1">
        <f t="array" ref="W116">_xlfn.IFNA(
    _xlfn.IFS(
        AND(V116="Transfer",ISNUMBER(SEARCH("RIYAD BANK",L116))),"External FI",
        AND(V116="Transfer",ISNUMBER(SEARCH("Al Ahli",L116))),"External FI",
        AND(V116="Transfer",ISNUMBER(SEARCH("CIB via",L116))),"Local Transfer",
        AND(V116="Transfer",ISNUMBER(SEARCH("CIB)",L116))),"Local Transfer",
        AND(V116="Transfer",ISNUMBER(SEARCH("SMRT",L116))),"Local Transfer",
        AND(V116="Transfer",ISNUMBER(SEARCH("Al Murabba",L116))),"Local Transfer",
        AND(V116="Transfer",ISNUMBER(SEARCH("Internal Transfer",L116))),"Same FI",
        AND(V116="Transfer",ISNUMBER(SEARCH("Rejected",L116))),"Failed",
        V116="SADAD",
            _xlfn.IFS(
                ISNUMBER(SEARCH("Expatriate",L116)),"Expat Fees",
                TRUE,"Online Payment"
            ),
        V116="Payroll","Payroll",
        V116="Cash","Deposit",
        TRUE,"-"
    ),
    "-"
)</f>
        <v>Local Transfer</v>
      </c>
      <c r="X116" s="25" t="str" cm="1">
        <f t="array" ref="X116">_xlfn.IFNA(
    _xlfn.IFS(
        V116="-","Low",
        W116="-","Low",
        TRUE,"High"
    ),
    "-"
)</f>
        <v>High</v>
      </c>
      <c r="Y116" s="25" t="str">
        <f t="shared" si="4"/>
        <v>-</v>
      </c>
      <c r="Z116" s="25" t="str" cm="1">
        <f t="array" ref="Z116">_xlfn.IFNA(
    _xlfn.IFS(
        ISNUMBER(SEARCH("Abdul Latif Jameel",M116)),"Lender",
        ISNUMBER(SEARCH("Abdullah Abdulkarim Al Sudais",M116)),"Accounting",
        ISNUMBER(SEARCH("Abdullah Fahad for Accounting",M116)),"Accounting",
        ISNUMBER(SEARCH("Abdullah Rashid Shaikh",M116)),"Shareholder",
        ISNUMBER(SEARCH("Advanced Equipments",M116)),"Equipment Rental",
        ISNUMBER(SEARCH("Al Banuk Sana",M116)),"Telecom Company",
        ISNUMBER(SEARCH("Al Khaleefa Factory",M116)),"Manufacturer",
        ISNUMBER(SEARCH("Al Saadeh Trading",M116)),"Trading Company",
        ISNUMBER(SEARCH("Al Zaehaan",M116)),"Trading Company",
        ISNUMBER(SEARCH("Ali Abdullah K Al Darwish",M116)),"Airlines",
        ISNUMBER(SEARCH("Bupa Arabia",M116)),"Health Insurance",
        ISNUMBER(SEARCH("Dar Fahoosaat",M116)),"Consultant",
        ISNUMBER(SEARCH("General Authority of Zakat",M116)),"Tax Collection",
        ISNUMBER(SEARCH("Gulf Voyager",M116)),"Travel Agency",
        ISNUMBER(SEARCH("Hopeway Trading",M116)),"Trading Company",
        ISNUMBER(SEARCH("Interhealth Medical",M116)),"Medical Services",
        ISNUMBER(SEARCH("Ishaar",M116)),"Online Payment Service",
        ISNUMBER(SEARCH("ISO Arabia",M116)),"Certification",
        ISNUMBER(SEARCH("Khalid Saad Al Otaibi",M116)),"Trading Company",
        ISNUMBER(SEARCH("MERAS for Decoration",M116)),"Decor Company",
        ISNUMBER(SEARCH("Middle East Customs Clearance",M116)),"Customs",
        ISNUMBER(SEARCH("Ministry of Human Resources",M116)),"Government",
        ISNUMBER(SEARCH("My Business Services",M116)),"Service Provider",
        ISNUMBER(SEARCH("National Water Company",M116)),"Water Company",
        ISNUMBER(SEARCH("Rania Contracting",M116)),"Contracting",
        ISNUMBER(SEARCH("Rashid Ali Sheikh",M116)),"Shareholder",
        ISNUMBER(SEARCH("Sahab United Motors",M116)),"Car Show Room",
        ISNUMBER(SEARCH("Saud Mohammed Al Tamimi",M116)),"Shareholder",
        ISNUMBER(SEARCH("Saud Mohammed Tamimi",M116)),"Shareholder",
        ISNUMBER(SEARCH("Saudi Electric Company",M116)),"Electricity Company",
        ISNUMBER(SEARCH("Saudi Vetonit",M116)),"Building Materials",
        ISNUMBER(SEARCH("Shomoul Eng",M116)),"Safety",
        ISNUMBER(SEARCH("STC",M116)),"Telecom Company",
        ISNUMBER(SEARCH("The General Organization for Social Insurance",M116)),"Social Insurance Agency",
        ISNUMBER(SEARCH("TUV Rheinland",M116)),"Certification",
        ISNUMBER(SEARCH("Al Arabia Ceramic",M116)),"Building Materials",
        ISNUMBER(SEARCH("National Company for Building and Marketing",M116)),"Parent Company",
        ISNUMBER(SEARCH("Athraa Holding",M116)),"Holding Company",
        ISNUMBER(SEARCH("Al Rasan",M116)),"Contracting",
        ISNUMBER(SEARCH("Raboua Al Haid",M116)),"Trading Company",
        ISNUMBER(SEARCH("Al Jazeera Paint",M116)),"Manufacturer",
        ISNUMBER(SEARCH("Rania Works Contracting",M116)),"Contracting",
        ISNUMBER(SEARCH("Bandar Jarallah",M116)),"Trading Establishment",
        ISNUMBER(SEARCH("RS Infratec Saudi",M116)),"Same Company",
        ISNUMBER(SEARCH("Payroll",M116)),"Bank",
        ISNUMBER(SEARCH("Expatriate",M116)),"Government",
        ISNUMBER(SEARCH("Unknown Sender",M116)),"Unknown",
        TRUE,"Unknown"
    ),
    "-"
)</f>
        <v>Contracting</v>
      </c>
      <c r="AA116" s="25" t="str" cm="1">
        <f t="array" ref="AA116">_xlfn.IFNA(
    _xlfn.IFS(
        Z116="Lender","Financing",
        Z116="Accounting","Accounting",
        Z116="Shareholder","Individual",
        Z116="Equipment Rental","Equipment Rental",
        Z116="Telecom Company","Telecom",
        Z116="Manufacturer","Manufacturer",
        Z116="Trading Company","Trading And Transport",
        Z116="Trading Establishment","Trading",
        Z116="Airlines","Airlines",
        Z116="Health Insurance","Insurance",
        Z116="Consultant","Consultant",
        Z116="Tax Collection","Government",
        Z116="Travel Agency","Travel Agency",
        Z116="Medical Services","Medical Center",
        Z116="Online Payment Service","Payment Facilitator",
        Z116="Certification","Safety",
        Z116="Decor Company","Design",
        Z116="Customs","Customs",
        Z116="Government","Government",
        Z116="Service Provider","Service Provider",
        Z116="Water Company","Water Company",
        Z116="Contracting","Contracting",
        Z116="Car Show Room","Car Trader",
        Z116="Electricity Company","Electricity Company",
        Z116="Building Materials","Building Materials",
        Z116="Safety","Safety",
        Z116="Social Insurance Agency","Government Fund",
        Z116="Parent Company","Holding Company",
        Z116="Holding Company","Holding Company",
        Z116="Same Company","Construction",
        Z116="Bank","Bank",
        Z116="Unknown","Unknown",
        TRUE,"-"
    ),
    "-"
)</f>
        <v>Contracting</v>
      </c>
      <c r="AB116" s="25" t="str">
        <f t="shared" si="5"/>
        <v>-</v>
      </c>
      <c r="AC116" s="25" t="str" cm="1">
        <f t="array" ref="AC116">_xlfn.IFNA(
    _xlfn.IFS(
        Z116="Shareholder","Shareholder",
        Z116="Same Company","Same Company",
        Z116="Bank","Bank",
        Z116="Government","Government",
        Z116="Social Insurance Agency","Government",
        Z116="Parent Company","Customer",
        Z116="Lender","Lender",
        Z116="Unknown","Unknown",
        ISNUMBER(SEARCH("Abdullah Abdulkarim",M116)),"Service Provider",
        ISNUMBER(SEARCH("Abdullah Fahad",M116)),"Service Provider",
        ISNUMBER(SEARCH("Advanced Equipments",M116)),"Supplier",
        ISNUMBER(SEARCH("Al Banuk Sana",M116)),"Supplier",
        ISNUMBER(SEARCH("Al Khaleefa Factory",M116)),"Supplier",
        ISNUMBER(SEARCH("Al Saadeh Trading",M116)),"Supplier",
        ISNUMBER(SEARCH("Al Zaehaan",M116)),"Supplier",
        ISNUMBER(SEARCH("Ali Abdullah K Al Darwish",M116)),"Service Provider",
        ISNUMBER(SEARCH("Bupa Arabia",M116)),"Insurance Company",
        ISNUMBER(SEARCH("Dar Fahoosaat",M116)),"Service Provider",
        ISNUMBER(SEARCH("General Authority of Zakat",M116)),"Tax Authority",
        ISNUMBER(SEARCH("Gulf Voyager",M116)),"Service Provider",
        ISNUMBER(SEARCH("Hopeway Trading",M116)),"Supplier",
        ISNUMBER(SEARCH("Interhealth Medical",M116)),"Customer",
        ISNUMBER(SEARCH("Ishaar",M116)),"Service Provider",
        ISNUMBER(SEARCH("ISO Arabia",M116)),"Service Provider",
        ISNUMBER(SEARCH("Khalid Saad Al Otaibi",M116)),"Supplier",
        ISNUMBER(SEARCH("MERAS for Decoration",M116)),"Supplier",
        ISNUMBER(SEARCH("Middle East Customs Clearance",M116)),"Service Provider",
        ISNUMBER(SEARCH("Ministry of Human Resources",M116)),"Regulatory Agency",
        ISNUMBER(SEARCH("My Business Services",M116)),"Service Provider",
        ISNUMBER(SEARCH("National Water Company",M116)),"Utility Provider",
        ISNUMBER(SEARCH("Rania Contracting",M116)),"Supplier",
        ISNUMBER(SEARCH("Sahab United Motors",M116)),"Supplier",
        ISNUMBER(SEARCH("Saudi Electric Company",M116)),"Utility Provider",
        ISNUMBER(SEARCH("Saudi Vetonit",M116)),"Supplier",
        ISNUMBER(SEARCH("Shomoul Eng",M116)),"Service Provider",
        ISNUMBER(SEARCH("STC",M116)),"Utility Provider",
        ISNUMBER(SEARCH("The General Organization for Social Insurance",M116)),"Social Insurance Agency",
        ISNUMBER(SEARCH("TUV Rheinland",M116)),"Service Provider",
        ISNUMBER(SEARCH("Al Arabia Ceramic",M116)),"Supplier",
        ISNUMBER(SEARCH("National Company for Building",M116)),"Customer",
        ISNUMBER(SEARCH("Athraa Holding",M116)),"Customer",
        ISNUMBER(SEARCH("Al Rasan",M116)),"Supplier",
        ISNUMBER(SEARCH("Raboua Al Haid",M116)),"Customer",
        ISNUMBER(SEARCH("Al Jazeera Paint",M116)),"Supplier",
        ISNUMBER(SEARCH("Rania Works Contracting",M116)),"Supplier",
        ISNUMBER(SEARCH("Bandar Jarallah",M116)),"Supplier",
        TRUE,"Supplier"
    ),
    "-"
)</f>
        <v>Supplier</v>
      </c>
      <c r="AD116" s="25" t="str" cm="1">
        <f t="array" ref="AD116">_xlfn.IFNA(
    _xlfn.IFS(
        AC116="Same Company","High",
        AC116="Shareholder","High",
        AC116="Government","High",
        AC116="Bank","High",
        AC116="Lender","High",
        AC116="Unknown","Low",
        AC116="-","Low",
        TRUE,"Medium"
    ),
    "-"
)</f>
        <v>Medium</v>
      </c>
      <c r="AE116" s="25" t="str">
        <f t="shared" si="6"/>
        <v>-</v>
      </c>
      <c r="AF116" s="25" t="str" cm="1">
        <f t="array" ref="AF116">_xlfn.IFNA(
    _xlfn.IFS(
        K116="Credit",
            _xlfn.IFS(
                OR(ISNUMBER(SEARCH("Rejected",L116)),ISNUMBER(SEARCH("Returned",L116))),"Other Income",
                TRUE,"Revenue"
            ),
        K116="Debit",
            _xlfn.IFS(
                ISNUMBER(SEARCH("Payroll",L116)),"OPEX",
                ISNUMBER(SEARCH("Expatriate",L116)),"OPEX",
                ISNUMBER(SEARCH("Zakat",M116)),"ZATCA",
                ISNUMBER(SEARCH("General Organization for Social Insurance",M116)),"OPEX",
                ISNUMBER(SEARCH("Saudi Electric",M116)),"OPEX",
                ISNUMBER(SEARCH("STC",M116)),"OPEX",
                ISNUMBER(SEARCH("National Water",M116)),"OPEX",
                ISNUMBER(SEARCH("Bupa",M116)),"OPEX",
                ISNUMBER(SEARCH("Abdullah Abdulkarim",M116)),"OPEX",
                ISNUMBER(SEARCH("Abdullah Fahad",M116)),"OPEX",
                ISNUMBER(SEARCH("ISO Arabia",M116)),"OPEX",
                ISNUMBER(SEARCH("Gulf Voyager",M116)),"OPEX",
                ISNUMBER(SEARCH("Ministry",M116)),"OPEX",
                ISNUMBER(SEARCH("General Authority of Zakat",M116)),"ZATCA",
                ISNUMBER(SEARCH("Rejected",L116)),"Other Income",
                TRUE,"COGS"
            ),
        TRUE,"-"
    ),
    "-"
)</f>
        <v>COGS</v>
      </c>
      <c r="AG116" s="25" t="str" cm="1">
        <f t="array" ref="AG116">_xlfn.IFNA(
    _xlfn.IFS(
        ISNUMBER(SEARCH("Payroll",L116)),"Payroll",
        ISNUMBER(SEARCH("Expatriate",L116)),"Government Fees",
        ISNUMBER(SEARCH("Zakat",M116)),"Zakat",
        ISNUMBER(SEARCH("Social Insurance",M116)),"Social Insurance",
        ISNUMBER(SEARCH("Saudi Electric",M116)),"Electricity",
        ISNUMBER(SEARCH("STC",M116)),"Telecom",
        ISNUMBER(SEARCH("National Water",M116)),"Water",
        ISNUMBER(SEARCH("Bupa",M116)),"Insurance",
        ISNUMBER(SEARCH("Gulf Voyager",M116)),"Travel",
        ISNUMBER(SEARCH("Ministry",M116)),"Government Fees",
        ISNUMBER(SEARCH("Abdullah Abdulkarim",M116)),"Consulting",
        ISNUMBER(SEARCH("Abdullah Fahad",M116)),"Accounting",
        ISNUMBER(SEARCH("ISO Arabia",M116)),"Consulting",
        ISNUMBER(SEARCH("Rejected",L116)),"Refund",
        AF116="COGS","Inventory Purchase",
        AF116="Revenue","Revenue",
        AF116="OPEX","Other",
        AF116="ZATCA","Zakat",
        TRUE,"-"
    ),
    "-"
)</f>
        <v>Inventory Purchase</v>
      </c>
      <c r="AH116" s="25" t="str" cm="1">
        <f t="array" ref="AH116">_xlfn.IFNA(
    _xlfn.IFS(
        AF116="-","Low",
        AF116="Other","Low",
        TRUE,"Medium"
    ),
    "-"
)</f>
        <v>Medium</v>
      </c>
      <c r="AI116" s="25" t="str">
        <f t="shared" si="7"/>
        <v>-</v>
      </c>
    </row>
    <row r="117" spans="1:35" x14ac:dyDescent="0.25">
      <c r="A117" s="10">
        <v>6</v>
      </c>
      <c r="B117" s="10" t="s">
        <v>35</v>
      </c>
      <c r="C117" s="10" t="s">
        <v>36</v>
      </c>
      <c r="D117" s="10" t="s">
        <v>37</v>
      </c>
      <c r="E117" s="10" t="s">
        <v>38</v>
      </c>
      <c r="F117" s="11" t="s">
        <v>39</v>
      </c>
      <c r="G117" s="11" t="s">
        <v>40</v>
      </c>
      <c r="H117" s="12">
        <v>45063</v>
      </c>
      <c r="I117" s="20">
        <v>49374.95</v>
      </c>
      <c r="J117" s="20">
        <v>50000</v>
      </c>
      <c r="K117" s="10" t="s">
        <v>41</v>
      </c>
      <c r="L117" s="9" t="s">
        <v>224</v>
      </c>
      <c r="M117" s="9" t="s">
        <v>297</v>
      </c>
      <c r="N117" s="9">
        <v>68203274589000</v>
      </c>
      <c r="O117" s="9" t="s">
        <v>226</v>
      </c>
      <c r="P117" s="15">
        <v>45063</v>
      </c>
      <c r="Q117" s="9" t="s">
        <v>302</v>
      </c>
      <c r="R117" s="16">
        <v>50000</v>
      </c>
      <c r="U117" s="9" t="s">
        <v>55</v>
      </c>
      <c r="V117" s="24" t="str" cm="1">
        <f t="array" ref="V117">_xlfn.IFNA(
    _xlfn.IFS(
        ISNUMBER(SEARCH("Fast Outgoing Transfer",L117)),"Transfer",
        ISNUMBER(SEARCH("Incoming Fast Transfer",L117)),"Transfer",
        ISNUMBER(SEARCH("Outgoing International Transfer",L117)),"Transfer",
        ISNUMBER(SEARCH("Bill Payment",L117)),"SADAD",
        ISNUMBER(SEARCH("Payroll",L117)),"Payroll",
        ISNUMBER(SEARCH("Cash Deposit",L117)),"Cash",
        ISNUMBER(SEARCH("Internal Transfer",L117)),"Transfer",
        ISNUMBER(SEARCH("Expatriate Services Payment",L117)),"SADAD",
        ISNUMBER(SEARCH("Rejected",L117)),"Transfer"
    ),
    "-"
)</f>
        <v>Transfer</v>
      </c>
      <c r="W117" s="25" t="str" cm="1">
        <f t="array" ref="W117">_xlfn.IFNA(
    _xlfn.IFS(
        AND(V117="Transfer",ISNUMBER(SEARCH("RIYAD BANK",L117))),"External FI",
        AND(V117="Transfer",ISNUMBER(SEARCH("Al Ahli",L117))),"External FI",
        AND(V117="Transfer",ISNUMBER(SEARCH("CIB via",L117))),"Local Transfer",
        AND(V117="Transfer",ISNUMBER(SEARCH("CIB)",L117))),"Local Transfer",
        AND(V117="Transfer",ISNUMBER(SEARCH("SMRT",L117))),"Local Transfer",
        AND(V117="Transfer",ISNUMBER(SEARCH("Al Murabba",L117))),"Local Transfer",
        AND(V117="Transfer",ISNUMBER(SEARCH("Internal Transfer",L117))),"Same FI",
        AND(V117="Transfer",ISNUMBER(SEARCH("Rejected",L117))),"Failed",
        V117="SADAD",
            _xlfn.IFS(
                ISNUMBER(SEARCH("Expatriate",L117)),"Expat Fees",
                TRUE,"Online Payment"
            ),
        V117="Payroll","Payroll",
        V117="Cash","Deposit",
        TRUE,"-"
    ),
    "-"
)</f>
        <v>Local Transfer</v>
      </c>
      <c r="X117" s="25" t="str" cm="1">
        <f t="array" ref="X117">_xlfn.IFNA(
    _xlfn.IFS(
        V117="-","Low",
        W117="-","Low",
        TRUE,"High"
    ),
    "-"
)</f>
        <v>High</v>
      </c>
      <c r="Y117" s="25" t="str">
        <f t="shared" si="4"/>
        <v>-</v>
      </c>
      <c r="Z117" s="25" t="str" cm="1">
        <f t="array" ref="Z117">_xlfn.IFNA(
    _xlfn.IFS(
        ISNUMBER(SEARCH("Abdul Latif Jameel",M117)),"Lender",
        ISNUMBER(SEARCH("Abdullah Abdulkarim Al Sudais",M117)),"Accounting",
        ISNUMBER(SEARCH("Abdullah Fahad for Accounting",M117)),"Accounting",
        ISNUMBER(SEARCH("Abdullah Rashid Shaikh",M117)),"Shareholder",
        ISNUMBER(SEARCH("Advanced Equipments",M117)),"Equipment Rental",
        ISNUMBER(SEARCH("Al Banuk Sana",M117)),"Telecom Company",
        ISNUMBER(SEARCH("Al Khaleefa Factory",M117)),"Manufacturer",
        ISNUMBER(SEARCH("Al Saadeh Trading",M117)),"Trading Company",
        ISNUMBER(SEARCH("Al Zaehaan",M117)),"Trading Company",
        ISNUMBER(SEARCH("Ali Abdullah K Al Darwish",M117)),"Airlines",
        ISNUMBER(SEARCH("Bupa Arabia",M117)),"Health Insurance",
        ISNUMBER(SEARCH("Dar Fahoosaat",M117)),"Consultant",
        ISNUMBER(SEARCH("General Authority of Zakat",M117)),"Tax Collection",
        ISNUMBER(SEARCH("Gulf Voyager",M117)),"Travel Agency",
        ISNUMBER(SEARCH("Hopeway Trading",M117)),"Trading Company",
        ISNUMBER(SEARCH("Interhealth Medical",M117)),"Medical Services",
        ISNUMBER(SEARCH("Ishaar",M117)),"Online Payment Service",
        ISNUMBER(SEARCH("ISO Arabia",M117)),"Certification",
        ISNUMBER(SEARCH("Khalid Saad Al Otaibi",M117)),"Trading Company",
        ISNUMBER(SEARCH("MERAS for Decoration",M117)),"Decor Company",
        ISNUMBER(SEARCH("Middle East Customs Clearance",M117)),"Customs",
        ISNUMBER(SEARCH("Ministry of Human Resources",M117)),"Government",
        ISNUMBER(SEARCH("My Business Services",M117)),"Service Provider",
        ISNUMBER(SEARCH("National Water Company",M117)),"Water Company",
        ISNUMBER(SEARCH("Rania Contracting",M117)),"Contracting",
        ISNUMBER(SEARCH("Rashid Ali Sheikh",M117)),"Shareholder",
        ISNUMBER(SEARCH("Sahab United Motors",M117)),"Car Show Room",
        ISNUMBER(SEARCH("Saud Mohammed Al Tamimi",M117)),"Shareholder",
        ISNUMBER(SEARCH("Saud Mohammed Tamimi",M117)),"Shareholder",
        ISNUMBER(SEARCH("Saudi Electric Company",M117)),"Electricity Company",
        ISNUMBER(SEARCH("Saudi Vetonit",M117)),"Building Materials",
        ISNUMBER(SEARCH("Shomoul Eng",M117)),"Safety",
        ISNUMBER(SEARCH("STC",M117)),"Telecom Company",
        ISNUMBER(SEARCH("The General Organization for Social Insurance",M117)),"Social Insurance Agency",
        ISNUMBER(SEARCH("TUV Rheinland",M117)),"Certification",
        ISNUMBER(SEARCH("Al Arabia Ceramic",M117)),"Building Materials",
        ISNUMBER(SEARCH("National Company for Building and Marketing",M117)),"Parent Company",
        ISNUMBER(SEARCH("Athraa Holding",M117)),"Holding Company",
        ISNUMBER(SEARCH("Al Rasan",M117)),"Contracting",
        ISNUMBER(SEARCH("Raboua Al Haid",M117)),"Trading Company",
        ISNUMBER(SEARCH("Al Jazeera Paint",M117)),"Manufacturer",
        ISNUMBER(SEARCH("Rania Works Contracting",M117)),"Contracting",
        ISNUMBER(SEARCH("Bandar Jarallah",M117)),"Trading Establishment",
        ISNUMBER(SEARCH("RS Infratec Saudi",M117)),"Same Company",
        ISNUMBER(SEARCH("Payroll",M117)),"Bank",
        ISNUMBER(SEARCH("Expatriate",M117)),"Government",
        ISNUMBER(SEARCH("Unknown Sender",M117)),"Unknown",
        TRUE,"Unknown"
    ),
    "-"
)</f>
        <v>Contracting</v>
      </c>
      <c r="AA117" s="25" t="str" cm="1">
        <f t="array" ref="AA117">_xlfn.IFNA(
    _xlfn.IFS(
        Z117="Lender","Financing",
        Z117="Accounting","Accounting",
        Z117="Shareholder","Individual",
        Z117="Equipment Rental","Equipment Rental",
        Z117="Telecom Company","Telecom",
        Z117="Manufacturer","Manufacturer",
        Z117="Trading Company","Trading And Transport",
        Z117="Trading Establishment","Trading",
        Z117="Airlines","Airlines",
        Z117="Health Insurance","Insurance",
        Z117="Consultant","Consultant",
        Z117="Tax Collection","Government",
        Z117="Travel Agency","Travel Agency",
        Z117="Medical Services","Medical Center",
        Z117="Online Payment Service","Payment Facilitator",
        Z117="Certification","Safety",
        Z117="Decor Company","Design",
        Z117="Customs","Customs",
        Z117="Government","Government",
        Z117="Service Provider","Service Provider",
        Z117="Water Company","Water Company",
        Z117="Contracting","Contracting",
        Z117="Car Show Room","Car Trader",
        Z117="Electricity Company","Electricity Company",
        Z117="Building Materials","Building Materials",
        Z117="Safety","Safety",
        Z117="Social Insurance Agency","Government Fund",
        Z117="Parent Company","Holding Company",
        Z117="Holding Company","Holding Company",
        Z117="Same Company","Construction",
        Z117="Bank","Bank",
        Z117="Unknown","Unknown",
        TRUE,"-"
    ),
    "-"
)</f>
        <v>Contracting</v>
      </c>
      <c r="AB117" s="25" t="str">
        <f t="shared" si="5"/>
        <v>-</v>
      </c>
      <c r="AC117" s="25" t="str" cm="1">
        <f t="array" ref="AC117">_xlfn.IFNA(
    _xlfn.IFS(
        Z117="Shareholder","Shareholder",
        Z117="Same Company","Same Company",
        Z117="Bank","Bank",
        Z117="Government","Government",
        Z117="Social Insurance Agency","Government",
        Z117="Parent Company","Customer",
        Z117="Lender","Lender",
        Z117="Unknown","Unknown",
        ISNUMBER(SEARCH("Abdullah Abdulkarim",M117)),"Service Provider",
        ISNUMBER(SEARCH("Abdullah Fahad",M117)),"Service Provider",
        ISNUMBER(SEARCH("Advanced Equipments",M117)),"Supplier",
        ISNUMBER(SEARCH("Al Banuk Sana",M117)),"Supplier",
        ISNUMBER(SEARCH("Al Khaleefa Factory",M117)),"Supplier",
        ISNUMBER(SEARCH("Al Saadeh Trading",M117)),"Supplier",
        ISNUMBER(SEARCH("Al Zaehaan",M117)),"Supplier",
        ISNUMBER(SEARCH("Ali Abdullah K Al Darwish",M117)),"Service Provider",
        ISNUMBER(SEARCH("Bupa Arabia",M117)),"Insurance Company",
        ISNUMBER(SEARCH("Dar Fahoosaat",M117)),"Service Provider",
        ISNUMBER(SEARCH("General Authority of Zakat",M117)),"Tax Authority",
        ISNUMBER(SEARCH("Gulf Voyager",M117)),"Service Provider",
        ISNUMBER(SEARCH("Hopeway Trading",M117)),"Supplier",
        ISNUMBER(SEARCH("Interhealth Medical",M117)),"Customer",
        ISNUMBER(SEARCH("Ishaar",M117)),"Service Provider",
        ISNUMBER(SEARCH("ISO Arabia",M117)),"Service Provider",
        ISNUMBER(SEARCH("Khalid Saad Al Otaibi",M117)),"Supplier",
        ISNUMBER(SEARCH("MERAS for Decoration",M117)),"Supplier",
        ISNUMBER(SEARCH("Middle East Customs Clearance",M117)),"Service Provider",
        ISNUMBER(SEARCH("Ministry of Human Resources",M117)),"Regulatory Agency",
        ISNUMBER(SEARCH("My Business Services",M117)),"Service Provider",
        ISNUMBER(SEARCH("National Water Company",M117)),"Utility Provider",
        ISNUMBER(SEARCH("Rania Contracting",M117)),"Supplier",
        ISNUMBER(SEARCH("Sahab United Motors",M117)),"Supplier",
        ISNUMBER(SEARCH("Saudi Electric Company",M117)),"Utility Provider",
        ISNUMBER(SEARCH("Saudi Vetonit",M117)),"Supplier",
        ISNUMBER(SEARCH("Shomoul Eng",M117)),"Service Provider",
        ISNUMBER(SEARCH("STC",M117)),"Utility Provider",
        ISNUMBER(SEARCH("The General Organization for Social Insurance",M117)),"Social Insurance Agency",
        ISNUMBER(SEARCH("TUV Rheinland",M117)),"Service Provider",
        ISNUMBER(SEARCH("Al Arabia Ceramic",M117)),"Supplier",
        ISNUMBER(SEARCH("National Company for Building",M117)),"Customer",
        ISNUMBER(SEARCH("Athraa Holding",M117)),"Customer",
        ISNUMBER(SEARCH("Al Rasan",M117)),"Supplier",
        ISNUMBER(SEARCH("Raboua Al Haid",M117)),"Customer",
        ISNUMBER(SEARCH("Al Jazeera Paint",M117)),"Supplier",
        ISNUMBER(SEARCH("Rania Works Contracting",M117)),"Supplier",
        ISNUMBER(SEARCH("Bandar Jarallah",M117)),"Supplier",
        TRUE,"Supplier"
    ),
    "-"
)</f>
        <v>Supplier</v>
      </c>
      <c r="AD117" s="25" t="str" cm="1">
        <f t="array" ref="AD117">_xlfn.IFNA(
    _xlfn.IFS(
        AC117="Same Company","High",
        AC117="Shareholder","High",
        AC117="Government","High",
        AC117="Bank","High",
        AC117="Lender","High",
        AC117="Unknown","Low",
        AC117="-","Low",
        TRUE,"Medium"
    ),
    "-"
)</f>
        <v>Medium</v>
      </c>
      <c r="AE117" s="25" t="str">
        <f t="shared" si="6"/>
        <v>-</v>
      </c>
      <c r="AF117" s="25" t="str" cm="1">
        <f t="array" ref="AF117">_xlfn.IFNA(
    _xlfn.IFS(
        K117="Credit",
            _xlfn.IFS(
                OR(ISNUMBER(SEARCH("Rejected",L117)),ISNUMBER(SEARCH("Returned",L117))),"Other Income",
                TRUE,"Revenue"
            ),
        K117="Debit",
            _xlfn.IFS(
                ISNUMBER(SEARCH("Payroll",L117)),"OPEX",
                ISNUMBER(SEARCH("Expatriate",L117)),"OPEX",
                ISNUMBER(SEARCH("Zakat",M117)),"ZATCA",
                ISNUMBER(SEARCH("General Organization for Social Insurance",M117)),"OPEX",
                ISNUMBER(SEARCH("Saudi Electric",M117)),"OPEX",
                ISNUMBER(SEARCH("STC",M117)),"OPEX",
                ISNUMBER(SEARCH("National Water",M117)),"OPEX",
                ISNUMBER(SEARCH("Bupa",M117)),"OPEX",
                ISNUMBER(SEARCH("Abdullah Abdulkarim",M117)),"OPEX",
                ISNUMBER(SEARCH("Abdullah Fahad",M117)),"OPEX",
                ISNUMBER(SEARCH("ISO Arabia",M117)),"OPEX",
                ISNUMBER(SEARCH("Gulf Voyager",M117)),"OPEX",
                ISNUMBER(SEARCH("Ministry",M117)),"OPEX",
                ISNUMBER(SEARCH("General Authority of Zakat",M117)),"ZATCA",
                ISNUMBER(SEARCH("Rejected",L117)),"Other Income",
                TRUE,"COGS"
            ),
        TRUE,"-"
    ),
    "-"
)</f>
        <v>COGS</v>
      </c>
      <c r="AG117" s="25" t="str" cm="1">
        <f t="array" ref="AG117">_xlfn.IFNA(
    _xlfn.IFS(
        ISNUMBER(SEARCH("Payroll",L117)),"Payroll",
        ISNUMBER(SEARCH("Expatriate",L117)),"Government Fees",
        ISNUMBER(SEARCH("Zakat",M117)),"Zakat",
        ISNUMBER(SEARCH("Social Insurance",M117)),"Social Insurance",
        ISNUMBER(SEARCH("Saudi Electric",M117)),"Electricity",
        ISNUMBER(SEARCH("STC",M117)),"Telecom",
        ISNUMBER(SEARCH("National Water",M117)),"Water",
        ISNUMBER(SEARCH("Bupa",M117)),"Insurance",
        ISNUMBER(SEARCH("Gulf Voyager",M117)),"Travel",
        ISNUMBER(SEARCH("Ministry",M117)),"Government Fees",
        ISNUMBER(SEARCH("Abdullah Abdulkarim",M117)),"Consulting",
        ISNUMBER(SEARCH("Abdullah Fahad",M117)),"Accounting",
        ISNUMBER(SEARCH("ISO Arabia",M117)),"Consulting",
        ISNUMBER(SEARCH("Rejected",L117)),"Refund",
        AF117="COGS","Inventory Purchase",
        AF117="Revenue","Revenue",
        AF117="OPEX","Other",
        AF117="ZATCA","Zakat",
        TRUE,"-"
    ),
    "-"
)</f>
        <v>Inventory Purchase</v>
      </c>
      <c r="AH117" s="25" t="str" cm="1">
        <f t="array" ref="AH117">_xlfn.IFNA(
    _xlfn.IFS(
        AF117="-","Low",
        AF117="Other","Low",
        TRUE,"Medium"
    ),
    "-"
)</f>
        <v>Medium</v>
      </c>
      <c r="AI117" s="25" t="str">
        <f t="shared" si="7"/>
        <v>-</v>
      </c>
    </row>
    <row r="118" spans="1:35" x14ac:dyDescent="0.25">
      <c r="A118" s="10">
        <v>6</v>
      </c>
      <c r="B118" s="10" t="s">
        <v>35</v>
      </c>
      <c r="C118" s="10" t="s">
        <v>36</v>
      </c>
      <c r="D118" s="10" t="s">
        <v>37</v>
      </c>
      <c r="E118" s="10" t="s">
        <v>38</v>
      </c>
      <c r="F118" s="11" t="s">
        <v>39</v>
      </c>
      <c r="G118" s="11" t="s">
        <v>40</v>
      </c>
      <c r="H118" s="12">
        <v>45068</v>
      </c>
      <c r="I118" s="20">
        <v>19533.36</v>
      </c>
      <c r="J118" s="20">
        <v>13000</v>
      </c>
      <c r="K118" s="10" t="s">
        <v>41</v>
      </c>
      <c r="L118" s="9" t="s">
        <v>224</v>
      </c>
      <c r="M118" s="9" t="s">
        <v>297</v>
      </c>
      <c r="N118" s="9">
        <v>68203274589000</v>
      </c>
      <c r="O118" s="9" t="s">
        <v>226</v>
      </c>
      <c r="P118" s="15">
        <v>45068</v>
      </c>
      <c r="Q118" s="9" t="s">
        <v>303</v>
      </c>
      <c r="R118" s="16">
        <v>13000</v>
      </c>
      <c r="U118" s="9" t="s">
        <v>55</v>
      </c>
      <c r="V118" s="24" t="str" cm="1">
        <f t="array" ref="V118">_xlfn.IFNA(
    _xlfn.IFS(
        ISNUMBER(SEARCH("Fast Outgoing Transfer",L118)),"Transfer",
        ISNUMBER(SEARCH("Incoming Fast Transfer",L118)),"Transfer",
        ISNUMBER(SEARCH("Outgoing International Transfer",L118)),"Transfer",
        ISNUMBER(SEARCH("Bill Payment",L118)),"SADAD",
        ISNUMBER(SEARCH("Payroll",L118)),"Payroll",
        ISNUMBER(SEARCH("Cash Deposit",L118)),"Cash",
        ISNUMBER(SEARCH("Internal Transfer",L118)),"Transfer",
        ISNUMBER(SEARCH("Expatriate Services Payment",L118)),"SADAD",
        ISNUMBER(SEARCH("Rejected",L118)),"Transfer"
    ),
    "-"
)</f>
        <v>Transfer</v>
      </c>
      <c r="W118" s="25" t="str" cm="1">
        <f t="array" ref="W118">_xlfn.IFNA(
    _xlfn.IFS(
        AND(V118="Transfer",ISNUMBER(SEARCH("RIYAD BANK",L118))),"External FI",
        AND(V118="Transfer",ISNUMBER(SEARCH("Al Ahli",L118))),"External FI",
        AND(V118="Transfer",ISNUMBER(SEARCH("CIB via",L118))),"Local Transfer",
        AND(V118="Transfer",ISNUMBER(SEARCH("CIB)",L118))),"Local Transfer",
        AND(V118="Transfer",ISNUMBER(SEARCH("SMRT",L118))),"Local Transfer",
        AND(V118="Transfer",ISNUMBER(SEARCH("Al Murabba",L118))),"Local Transfer",
        AND(V118="Transfer",ISNUMBER(SEARCH("Internal Transfer",L118))),"Same FI",
        AND(V118="Transfer",ISNUMBER(SEARCH("Rejected",L118))),"Failed",
        V118="SADAD",
            _xlfn.IFS(
                ISNUMBER(SEARCH("Expatriate",L118)),"Expat Fees",
                TRUE,"Online Payment"
            ),
        V118="Payroll","Payroll",
        V118="Cash","Deposit",
        TRUE,"-"
    ),
    "-"
)</f>
        <v>Local Transfer</v>
      </c>
      <c r="X118" s="25" t="str" cm="1">
        <f t="array" ref="X118">_xlfn.IFNA(
    _xlfn.IFS(
        V118="-","Low",
        W118="-","Low",
        TRUE,"High"
    ),
    "-"
)</f>
        <v>High</v>
      </c>
      <c r="Y118" s="25" t="str">
        <f t="shared" si="4"/>
        <v>-</v>
      </c>
      <c r="Z118" s="25" t="str" cm="1">
        <f t="array" ref="Z118">_xlfn.IFNA(
    _xlfn.IFS(
        ISNUMBER(SEARCH("Abdul Latif Jameel",M118)),"Lender",
        ISNUMBER(SEARCH("Abdullah Abdulkarim Al Sudais",M118)),"Accounting",
        ISNUMBER(SEARCH("Abdullah Fahad for Accounting",M118)),"Accounting",
        ISNUMBER(SEARCH("Abdullah Rashid Shaikh",M118)),"Shareholder",
        ISNUMBER(SEARCH("Advanced Equipments",M118)),"Equipment Rental",
        ISNUMBER(SEARCH("Al Banuk Sana",M118)),"Telecom Company",
        ISNUMBER(SEARCH("Al Khaleefa Factory",M118)),"Manufacturer",
        ISNUMBER(SEARCH("Al Saadeh Trading",M118)),"Trading Company",
        ISNUMBER(SEARCH("Al Zaehaan",M118)),"Trading Company",
        ISNUMBER(SEARCH("Ali Abdullah K Al Darwish",M118)),"Airlines",
        ISNUMBER(SEARCH("Bupa Arabia",M118)),"Health Insurance",
        ISNUMBER(SEARCH("Dar Fahoosaat",M118)),"Consultant",
        ISNUMBER(SEARCH("General Authority of Zakat",M118)),"Tax Collection",
        ISNUMBER(SEARCH("Gulf Voyager",M118)),"Travel Agency",
        ISNUMBER(SEARCH("Hopeway Trading",M118)),"Trading Company",
        ISNUMBER(SEARCH("Interhealth Medical",M118)),"Medical Services",
        ISNUMBER(SEARCH("Ishaar",M118)),"Online Payment Service",
        ISNUMBER(SEARCH("ISO Arabia",M118)),"Certification",
        ISNUMBER(SEARCH("Khalid Saad Al Otaibi",M118)),"Trading Company",
        ISNUMBER(SEARCH("MERAS for Decoration",M118)),"Decor Company",
        ISNUMBER(SEARCH("Middle East Customs Clearance",M118)),"Customs",
        ISNUMBER(SEARCH("Ministry of Human Resources",M118)),"Government",
        ISNUMBER(SEARCH("My Business Services",M118)),"Service Provider",
        ISNUMBER(SEARCH("National Water Company",M118)),"Water Company",
        ISNUMBER(SEARCH("Rania Contracting",M118)),"Contracting",
        ISNUMBER(SEARCH("Rashid Ali Sheikh",M118)),"Shareholder",
        ISNUMBER(SEARCH("Sahab United Motors",M118)),"Car Show Room",
        ISNUMBER(SEARCH("Saud Mohammed Al Tamimi",M118)),"Shareholder",
        ISNUMBER(SEARCH("Saud Mohammed Tamimi",M118)),"Shareholder",
        ISNUMBER(SEARCH("Saudi Electric Company",M118)),"Electricity Company",
        ISNUMBER(SEARCH("Saudi Vetonit",M118)),"Building Materials",
        ISNUMBER(SEARCH("Shomoul Eng",M118)),"Safety",
        ISNUMBER(SEARCH("STC",M118)),"Telecom Company",
        ISNUMBER(SEARCH("The General Organization for Social Insurance",M118)),"Social Insurance Agency",
        ISNUMBER(SEARCH("TUV Rheinland",M118)),"Certification",
        ISNUMBER(SEARCH("Al Arabia Ceramic",M118)),"Building Materials",
        ISNUMBER(SEARCH("National Company for Building and Marketing",M118)),"Parent Company",
        ISNUMBER(SEARCH("Athraa Holding",M118)),"Holding Company",
        ISNUMBER(SEARCH("Al Rasan",M118)),"Contracting",
        ISNUMBER(SEARCH("Raboua Al Haid",M118)),"Trading Company",
        ISNUMBER(SEARCH("Al Jazeera Paint",M118)),"Manufacturer",
        ISNUMBER(SEARCH("Rania Works Contracting",M118)),"Contracting",
        ISNUMBER(SEARCH("Bandar Jarallah",M118)),"Trading Establishment",
        ISNUMBER(SEARCH("RS Infratec Saudi",M118)),"Same Company",
        ISNUMBER(SEARCH("Payroll",M118)),"Bank",
        ISNUMBER(SEARCH("Expatriate",M118)),"Government",
        ISNUMBER(SEARCH("Unknown Sender",M118)),"Unknown",
        TRUE,"Unknown"
    ),
    "-"
)</f>
        <v>Contracting</v>
      </c>
      <c r="AA118" s="25" t="str" cm="1">
        <f t="array" ref="AA118">_xlfn.IFNA(
    _xlfn.IFS(
        Z118="Lender","Financing",
        Z118="Accounting","Accounting",
        Z118="Shareholder","Individual",
        Z118="Equipment Rental","Equipment Rental",
        Z118="Telecom Company","Telecom",
        Z118="Manufacturer","Manufacturer",
        Z118="Trading Company","Trading And Transport",
        Z118="Trading Establishment","Trading",
        Z118="Airlines","Airlines",
        Z118="Health Insurance","Insurance",
        Z118="Consultant","Consultant",
        Z118="Tax Collection","Government",
        Z118="Travel Agency","Travel Agency",
        Z118="Medical Services","Medical Center",
        Z118="Online Payment Service","Payment Facilitator",
        Z118="Certification","Safety",
        Z118="Decor Company","Design",
        Z118="Customs","Customs",
        Z118="Government","Government",
        Z118="Service Provider","Service Provider",
        Z118="Water Company","Water Company",
        Z118="Contracting","Contracting",
        Z118="Car Show Room","Car Trader",
        Z118="Electricity Company","Electricity Company",
        Z118="Building Materials","Building Materials",
        Z118="Safety","Safety",
        Z118="Social Insurance Agency","Government Fund",
        Z118="Parent Company","Holding Company",
        Z118="Holding Company","Holding Company",
        Z118="Same Company","Construction",
        Z118="Bank","Bank",
        Z118="Unknown","Unknown",
        TRUE,"-"
    ),
    "-"
)</f>
        <v>Contracting</v>
      </c>
      <c r="AB118" s="25" t="str">
        <f t="shared" si="5"/>
        <v>-</v>
      </c>
      <c r="AC118" s="25" t="str" cm="1">
        <f t="array" ref="AC118">_xlfn.IFNA(
    _xlfn.IFS(
        Z118="Shareholder","Shareholder",
        Z118="Same Company","Same Company",
        Z118="Bank","Bank",
        Z118="Government","Government",
        Z118="Social Insurance Agency","Government",
        Z118="Parent Company","Customer",
        Z118="Lender","Lender",
        Z118="Unknown","Unknown",
        ISNUMBER(SEARCH("Abdullah Abdulkarim",M118)),"Service Provider",
        ISNUMBER(SEARCH("Abdullah Fahad",M118)),"Service Provider",
        ISNUMBER(SEARCH("Advanced Equipments",M118)),"Supplier",
        ISNUMBER(SEARCH("Al Banuk Sana",M118)),"Supplier",
        ISNUMBER(SEARCH("Al Khaleefa Factory",M118)),"Supplier",
        ISNUMBER(SEARCH("Al Saadeh Trading",M118)),"Supplier",
        ISNUMBER(SEARCH("Al Zaehaan",M118)),"Supplier",
        ISNUMBER(SEARCH("Ali Abdullah K Al Darwish",M118)),"Service Provider",
        ISNUMBER(SEARCH("Bupa Arabia",M118)),"Insurance Company",
        ISNUMBER(SEARCH("Dar Fahoosaat",M118)),"Service Provider",
        ISNUMBER(SEARCH("General Authority of Zakat",M118)),"Tax Authority",
        ISNUMBER(SEARCH("Gulf Voyager",M118)),"Service Provider",
        ISNUMBER(SEARCH("Hopeway Trading",M118)),"Supplier",
        ISNUMBER(SEARCH("Interhealth Medical",M118)),"Customer",
        ISNUMBER(SEARCH("Ishaar",M118)),"Service Provider",
        ISNUMBER(SEARCH("ISO Arabia",M118)),"Service Provider",
        ISNUMBER(SEARCH("Khalid Saad Al Otaibi",M118)),"Supplier",
        ISNUMBER(SEARCH("MERAS for Decoration",M118)),"Supplier",
        ISNUMBER(SEARCH("Middle East Customs Clearance",M118)),"Service Provider",
        ISNUMBER(SEARCH("Ministry of Human Resources",M118)),"Regulatory Agency",
        ISNUMBER(SEARCH("My Business Services",M118)),"Service Provider",
        ISNUMBER(SEARCH("National Water Company",M118)),"Utility Provider",
        ISNUMBER(SEARCH("Rania Contracting",M118)),"Supplier",
        ISNUMBER(SEARCH("Sahab United Motors",M118)),"Supplier",
        ISNUMBER(SEARCH("Saudi Electric Company",M118)),"Utility Provider",
        ISNUMBER(SEARCH("Saudi Vetonit",M118)),"Supplier",
        ISNUMBER(SEARCH("Shomoul Eng",M118)),"Service Provider",
        ISNUMBER(SEARCH("STC",M118)),"Utility Provider",
        ISNUMBER(SEARCH("The General Organization for Social Insurance",M118)),"Social Insurance Agency",
        ISNUMBER(SEARCH("TUV Rheinland",M118)),"Service Provider",
        ISNUMBER(SEARCH("Al Arabia Ceramic",M118)),"Supplier",
        ISNUMBER(SEARCH("National Company for Building",M118)),"Customer",
        ISNUMBER(SEARCH("Athraa Holding",M118)),"Customer",
        ISNUMBER(SEARCH("Al Rasan",M118)),"Supplier",
        ISNUMBER(SEARCH("Raboua Al Haid",M118)),"Customer",
        ISNUMBER(SEARCH("Al Jazeera Paint",M118)),"Supplier",
        ISNUMBER(SEARCH("Rania Works Contracting",M118)),"Supplier",
        ISNUMBER(SEARCH("Bandar Jarallah",M118)),"Supplier",
        TRUE,"Supplier"
    ),
    "-"
)</f>
        <v>Supplier</v>
      </c>
      <c r="AD118" s="25" t="str" cm="1">
        <f t="array" ref="AD118">_xlfn.IFNA(
    _xlfn.IFS(
        AC118="Same Company","High",
        AC118="Shareholder","High",
        AC118="Government","High",
        AC118="Bank","High",
        AC118="Lender","High",
        AC118="Unknown","Low",
        AC118="-","Low",
        TRUE,"Medium"
    ),
    "-"
)</f>
        <v>Medium</v>
      </c>
      <c r="AE118" s="25" t="str">
        <f t="shared" si="6"/>
        <v>-</v>
      </c>
      <c r="AF118" s="25" t="str" cm="1">
        <f t="array" ref="AF118">_xlfn.IFNA(
    _xlfn.IFS(
        K118="Credit",
            _xlfn.IFS(
                OR(ISNUMBER(SEARCH("Rejected",L118)),ISNUMBER(SEARCH("Returned",L118))),"Other Income",
                TRUE,"Revenue"
            ),
        K118="Debit",
            _xlfn.IFS(
                ISNUMBER(SEARCH("Payroll",L118)),"OPEX",
                ISNUMBER(SEARCH("Expatriate",L118)),"OPEX",
                ISNUMBER(SEARCH("Zakat",M118)),"ZATCA",
                ISNUMBER(SEARCH("General Organization for Social Insurance",M118)),"OPEX",
                ISNUMBER(SEARCH("Saudi Electric",M118)),"OPEX",
                ISNUMBER(SEARCH("STC",M118)),"OPEX",
                ISNUMBER(SEARCH("National Water",M118)),"OPEX",
                ISNUMBER(SEARCH("Bupa",M118)),"OPEX",
                ISNUMBER(SEARCH("Abdullah Abdulkarim",M118)),"OPEX",
                ISNUMBER(SEARCH("Abdullah Fahad",M118)),"OPEX",
                ISNUMBER(SEARCH("ISO Arabia",M118)),"OPEX",
                ISNUMBER(SEARCH("Gulf Voyager",M118)),"OPEX",
                ISNUMBER(SEARCH("Ministry",M118)),"OPEX",
                ISNUMBER(SEARCH("General Authority of Zakat",M118)),"ZATCA",
                ISNUMBER(SEARCH("Rejected",L118)),"Other Income",
                TRUE,"COGS"
            ),
        TRUE,"-"
    ),
    "-"
)</f>
        <v>COGS</v>
      </c>
      <c r="AG118" s="25" t="str" cm="1">
        <f t="array" ref="AG118">_xlfn.IFNA(
    _xlfn.IFS(
        ISNUMBER(SEARCH("Payroll",L118)),"Payroll",
        ISNUMBER(SEARCH("Expatriate",L118)),"Government Fees",
        ISNUMBER(SEARCH("Zakat",M118)),"Zakat",
        ISNUMBER(SEARCH("Social Insurance",M118)),"Social Insurance",
        ISNUMBER(SEARCH("Saudi Electric",M118)),"Electricity",
        ISNUMBER(SEARCH("STC",M118)),"Telecom",
        ISNUMBER(SEARCH("National Water",M118)),"Water",
        ISNUMBER(SEARCH("Bupa",M118)),"Insurance",
        ISNUMBER(SEARCH("Gulf Voyager",M118)),"Travel",
        ISNUMBER(SEARCH("Ministry",M118)),"Government Fees",
        ISNUMBER(SEARCH("Abdullah Abdulkarim",M118)),"Consulting",
        ISNUMBER(SEARCH("Abdullah Fahad",M118)),"Accounting",
        ISNUMBER(SEARCH("ISO Arabia",M118)),"Consulting",
        ISNUMBER(SEARCH("Rejected",L118)),"Refund",
        AF118="COGS","Inventory Purchase",
        AF118="Revenue","Revenue",
        AF118="OPEX","Other",
        AF118="ZATCA","Zakat",
        TRUE,"-"
    ),
    "-"
)</f>
        <v>Inventory Purchase</v>
      </c>
      <c r="AH118" s="25" t="str" cm="1">
        <f t="array" ref="AH118">_xlfn.IFNA(
    _xlfn.IFS(
        AF118="-","Low",
        AF118="Other","Low",
        TRUE,"Medium"
    ),
    "-"
)</f>
        <v>Medium</v>
      </c>
      <c r="AI118" s="25" t="str">
        <f t="shared" si="7"/>
        <v>-</v>
      </c>
    </row>
    <row r="119" spans="1:35" x14ac:dyDescent="0.25">
      <c r="A119" s="10">
        <v>6</v>
      </c>
      <c r="B119" s="10" t="s">
        <v>35</v>
      </c>
      <c r="C119" s="10" t="s">
        <v>36</v>
      </c>
      <c r="D119" s="10" t="s">
        <v>37</v>
      </c>
      <c r="E119" s="10" t="s">
        <v>38</v>
      </c>
      <c r="F119" s="11" t="s">
        <v>39</v>
      </c>
      <c r="G119" s="11" t="s">
        <v>40</v>
      </c>
      <c r="H119" s="12">
        <v>44971</v>
      </c>
      <c r="I119" s="20">
        <v>9864.0400000000009</v>
      </c>
      <c r="J119" s="20">
        <v>50000</v>
      </c>
      <c r="K119" s="10" t="s">
        <v>41</v>
      </c>
      <c r="L119" s="9" t="s">
        <v>224</v>
      </c>
      <c r="M119" s="9" t="s">
        <v>309</v>
      </c>
      <c r="N119" s="9">
        <v>68205005000000</v>
      </c>
      <c r="O119" s="9" t="s">
        <v>226</v>
      </c>
      <c r="P119" s="15">
        <v>44971</v>
      </c>
      <c r="Q119" s="9" t="s">
        <v>310</v>
      </c>
      <c r="R119" s="16">
        <v>50000</v>
      </c>
      <c r="U119" s="9" t="s">
        <v>55</v>
      </c>
      <c r="V119" s="24" t="str" cm="1">
        <f t="array" ref="V119">_xlfn.IFNA(
    _xlfn.IFS(
        ISNUMBER(SEARCH("Fast Outgoing Transfer",L119)),"Transfer",
        ISNUMBER(SEARCH("Incoming Fast Transfer",L119)),"Transfer",
        ISNUMBER(SEARCH("Outgoing International Transfer",L119)),"Transfer",
        ISNUMBER(SEARCH("Bill Payment",L119)),"SADAD",
        ISNUMBER(SEARCH("Payroll",L119)),"Payroll",
        ISNUMBER(SEARCH("Cash Deposit",L119)),"Cash",
        ISNUMBER(SEARCH("Internal Transfer",L119)),"Transfer",
        ISNUMBER(SEARCH("Expatriate Services Payment",L119)),"SADAD",
        ISNUMBER(SEARCH("Rejected",L119)),"Transfer"
    ),
    "-"
)</f>
        <v>Transfer</v>
      </c>
      <c r="W119" s="25" t="str" cm="1">
        <f t="array" ref="W119">_xlfn.IFNA(
    _xlfn.IFS(
        AND(V119="Transfer",ISNUMBER(SEARCH("RIYAD BANK",L119))),"External FI",
        AND(V119="Transfer",ISNUMBER(SEARCH("Al Ahli",L119))),"External FI",
        AND(V119="Transfer",ISNUMBER(SEARCH("CIB via",L119))),"Local Transfer",
        AND(V119="Transfer",ISNUMBER(SEARCH("CIB)",L119))),"Local Transfer",
        AND(V119="Transfer",ISNUMBER(SEARCH("SMRT",L119))),"Local Transfer",
        AND(V119="Transfer",ISNUMBER(SEARCH("Al Murabba",L119))),"Local Transfer",
        AND(V119="Transfer",ISNUMBER(SEARCH("Internal Transfer",L119))),"Same FI",
        AND(V119="Transfer",ISNUMBER(SEARCH("Rejected",L119))),"Failed",
        V119="SADAD",
            _xlfn.IFS(
                ISNUMBER(SEARCH("Expatriate",L119)),"Expat Fees",
                TRUE,"Online Payment"
            ),
        V119="Payroll","Payroll",
        V119="Cash","Deposit",
        TRUE,"-"
    ),
    "-"
)</f>
        <v>Local Transfer</v>
      </c>
      <c r="X119" s="25" t="str" cm="1">
        <f t="array" ref="X119">_xlfn.IFNA(
    _xlfn.IFS(
        V119="-","Low",
        W119="-","Low",
        TRUE,"High"
    ),
    "-"
)</f>
        <v>High</v>
      </c>
      <c r="Y119" s="25" t="str">
        <f t="shared" si="4"/>
        <v>-</v>
      </c>
      <c r="Z119" s="25" t="str" cm="1">
        <f t="array" ref="Z119">_xlfn.IFNA(
    _xlfn.IFS(
        ISNUMBER(SEARCH("Abdul Latif Jameel",M119)),"Lender",
        ISNUMBER(SEARCH("Abdullah Abdulkarim Al Sudais",M119)),"Accounting",
        ISNUMBER(SEARCH("Abdullah Fahad for Accounting",M119)),"Accounting",
        ISNUMBER(SEARCH("Abdullah Rashid Shaikh",M119)),"Shareholder",
        ISNUMBER(SEARCH("Advanced Equipments",M119)),"Equipment Rental",
        ISNUMBER(SEARCH("Al Banuk Sana",M119)),"Telecom Company",
        ISNUMBER(SEARCH("Al Khaleefa Factory",M119)),"Manufacturer",
        ISNUMBER(SEARCH("Al Saadeh Trading",M119)),"Trading Company",
        ISNUMBER(SEARCH("Al Zaehaan",M119)),"Trading Company",
        ISNUMBER(SEARCH("Ali Abdullah K Al Darwish",M119)),"Airlines",
        ISNUMBER(SEARCH("Bupa Arabia",M119)),"Health Insurance",
        ISNUMBER(SEARCH("Dar Fahoosaat",M119)),"Consultant",
        ISNUMBER(SEARCH("General Authority of Zakat",M119)),"Tax Collection",
        ISNUMBER(SEARCH("Gulf Voyager",M119)),"Travel Agency",
        ISNUMBER(SEARCH("Hopeway Trading",M119)),"Trading Company",
        ISNUMBER(SEARCH("Interhealth Medical",M119)),"Medical Services",
        ISNUMBER(SEARCH("Ishaar",M119)),"Online Payment Service",
        ISNUMBER(SEARCH("ISO Arabia",M119)),"Certification",
        ISNUMBER(SEARCH("Khalid Saad Al Otaibi",M119)),"Trading Company",
        ISNUMBER(SEARCH("MERAS for Decoration",M119)),"Decor Company",
        ISNUMBER(SEARCH("Middle East Customs Clearance",M119)),"Customs",
        ISNUMBER(SEARCH("Ministry of Human Resources",M119)),"Government",
        ISNUMBER(SEARCH("My Business Services",M119)),"Service Provider",
        ISNUMBER(SEARCH("National Water Company",M119)),"Water Company",
        ISNUMBER(SEARCH("Rania Contracting",M119)),"Contracting",
        ISNUMBER(SEARCH("Rashid Ali Sheikh",M119)),"Shareholder",
        ISNUMBER(SEARCH("Sahab United Motors",M119)),"Car Show Room",
        ISNUMBER(SEARCH("Saud Mohammed Al Tamimi",M119)),"Shareholder",
        ISNUMBER(SEARCH("Saud Mohammed Tamimi",M119)),"Shareholder",
        ISNUMBER(SEARCH("Saudi Electric Company",M119)),"Electricity Company",
        ISNUMBER(SEARCH("Saudi Vetonit",M119)),"Building Materials",
        ISNUMBER(SEARCH("Shomoul Eng",M119)),"Safety",
        ISNUMBER(SEARCH("STC",M119)),"Telecom Company",
        ISNUMBER(SEARCH("The General Organization for Social Insurance",M119)),"Social Insurance Agency",
        ISNUMBER(SEARCH("TUV Rheinland",M119)),"Certification",
        ISNUMBER(SEARCH("Al Arabia Ceramic",M119)),"Building Materials",
        ISNUMBER(SEARCH("National Company for Building and Marketing",M119)),"Parent Company",
        ISNUMBER(SEARCH("Athraa Holding",M119)),"Holding Company",
        ISNUMBER(SEARCH("Al Rasan",M119)),"Contracting",
        ISNUMBER(SEARCH("Raboua Al Haid",M119)),"Trading Company",
        ISNUMBER(SEARCH("Al Jazeera Paint",M119)),"Manufacturer",
        ISNUMBER(SEARCH("Rania Works Contracting",M119)),"Contracting",
        ISNUMBER(SEARCH("Bandar Jarallah",M119)),"Trading Establishment",
        ISNUMBER(SEARCH("RS Infratec Saudi",M119)),"Same Company",
        ISNUMBER(SEARCH("Payroll",M119)),"Bank",
        ISNUMBER(SEARCH("Expatriate",M119)),"Government",
        ISNUMBER(SEARCH("Unknown Sender",M119)),"Unknown",
        TRUE,"Unknown"
    ),
    "-"
)</f>
        <v>Manufacturer</v>
      </c>
      <c r="AA119" s="25" t="str" cm="1">
        <f t="array" ref="AA119">_xlfn.IFNA(
    _xlfn.IFS(
        Z119="Lender","Financing",
        Z119="Accounting","Accounting",
        Z119="Shareholder","Individual",
        Z119="Equipment Rental","Equipment Rental",
        Z119="Telecom Company","Telecom",
        Z119="Manufacturer","Manufacturer",
        Z119="Trading Company","Trading And Transport",
        Z119="Trading Establishment","Trading",
        Z119="Airlines","Airlines",
        Z119="Health Insurance","Insurance",
        Z119="Consultant","Consultant",
        Z119="Tax Collection","Government",
        Z119="Travel Agency","Travel Agency",
        Z119="Medical Services","Medical Center",
        Z119="Online Payment Service","Payment Facilitator",
        Z119="Certification","Safety",
        Z119="Decor Company","Design",
        Z119="Customs","Customs",
        Z119="Government","Government",
        Z119="Service Provider","Service Provider",
        Z119="Water Company","Water Company",
        Z119="Contracting","Contracting",
        Z119="Car Show Room","Car Trader",
        Z119="Electricity Company","Electricity Company",
        Z119="Building Materials","Building Materials",
        Z119="Safety","Safety",
        Z119="Social Insurance Agency","Government Fund",
        Z119="Parent Company","Holding Company",
        Z119="Holding Company","Holding Company",
        Z119="Same Company","Construction",
        Z119="Bank","Bank",
        Z119="Unknown","Unknown",
        TRUE,"-"
    ),
    "-"
)</f>
        <v>Manufacturer</v>
      </c>
      <c r="AB119" s="25" t="str">
        <f t="shared" si="5"/>
        <v>-</v>
      </c>
      <c r="AC119" s="25" t="str" cm="1">
        <f t="array" ref="AC119">_xlfn.IFNA(
    _xlfn.IFS(
        Z119="Shareholder","Shareholder",
        Z119="Same Company","Same Company",
        Z119="Bank","Bank",
        Z119="Government","Government",
        Z119="Social Insurance Agency","Government",
        Z119="Parent Company","Customer",
        Z119="Lender","Lender",
        Z119="Unknown","Unknown",
        ISNUMBER(SEARCH("Abdullah Abdulkarim",M119)),"Service Provider",
        ISNUMBER(SEARCH("Abdullah Fahad",M119)),"Service Provider",
        ISNUMBER(SEARCH("Advanced Equipments",M119)),"Supplier",
        ISNUMBER(SEARCH("Al Banuk Sana",M119)),"Supplier",
        ISNUMBER(SEARCH("Al Khaleefa Factory",M119)),"Supplier",
        ISNUMBER(SEARCH("Al Saadeh Trading",M119)),"Supplier",
        ISNUMBER(SEARCH("Al Zaehaan",M119)),"Supplier",
        ISNUMBER(SEARCH("Ali Abdullah K Al Darwish",M119)),"Service Provider",
        ISNUMBER(SEARCH("Bupa Arabia",M119)),"Insurance Company",
        ISNUMBER(SEARCH("Dar Fahoosaat",M119)),"Service Provider",
        ISNUMBER(SEARCH("General Authority of Zakat",M119)),"Tax Authority",
        ISNUMBER(SEARCH("Gulf Voyager",M119)),"Service Provider",
        ISNUMBER(SEARCH("Hopeway Trading",M119)),"Supplier",
        ISNUMBER(SEARCH("Interhealth Medical",M119)),"Customer",
        ISNUMBER(SEARCH("Ishaar",M119)),"Service Provider",
        ISNUMBER(SEARCH("ISO Arabia",M119)),"Service Provider",
        ISNUMBER(SEARCH("Khalid Saad Al Otaibi",M119)),"Supplier",
        ISNUMBER(SEARCH("MERAS for Decoration",M119)),"Supplier",
        ISNUMBER(SEARCH("Middle East Customs Clearance",M119)),"Service Provider",
        ISNUMBER(SEARCH("Ministry of Human Resources",M119)),"Regulatory Agency",
        ISNUMBER(SEARCH("My Business Services",M119)),"Service Provider",
        ISNUMBER(SEARCH("National Water Company",M119)),"Utility Provider",
        ISNUMBER(SEARCH("Rania Contracting",M119)),"Supplier",
        ISNUMBER(SEARCH("Sahab United Motors",M119)),"Supplier",
        ISNUMBER(SEARCH("Saudi Electric Company",M119)),"Utility Provider",
        ISNUMBER(SEARCH("Saudi Vetonit",M119)),"Supplier",
        ISNUMBER(SEARCH("Shomoul Eng",M119)),"Service Provider",
        ISNUMBER(SEARCH("STC",M119)),"Utility Provider",
        ISNUMBER(SEARCH("The General Organization for Social Insurance",M119)),"Social Insurance Agency",
        ISNUMBER(SEARCH("TUV Rheinland",M119)),"Service Provider",
        ISNUMBER(SEARCH("Al Arabia Ceramic",M119)),"Supplier",
        ISNUMBER(SEARCH("National Company for Building",M119)),"Customer",
        ISNUMBER(SEARCH("Athraa Holding",M119)),"Customer",
        ISNUMBER(SEARCH("Al Rasan",M119)),"Supplier",
        ISNUMBER(SEARCH("Raboua Al Haid",M119)),"Customer",
        ISNUMBER(SEARCH("Al Jazeera Paint",M119)),"Supplier",
        ISNUMBER(SEARCH("Rania Works Contracting",M119)),"Supplier",
        ISNUMBER(SEARCH("Bandar Jarallah",M119)),"Supplier",
        TRUE,"Supplier"
    ),
    "-"
)</f>
        <v>Supplier</v>
      </c>
      <c r="AD119" s="25" t="str" cm="1">
        <f t="array" ref="AD119">_xlfn.IFNA(
    _xlfn.IFS(
        AC119="Same Company","High",
        AC119="Shareholder","High",
        AC119="Government","High",
        AC119="Bank","High",
        AC119="Lender","High",
        AC119="Unknown","Low",
        AC119="-","Low",
        TRUE,"Medium"
    ),
    "-"
)</f>
        <v>Medium</v>
      </c>
      <c r="AE119" s="25" t="str">
        <f t="shared" si="6"/>
        <v>-</v>
      </c>
      <c r="AF119" s="25" t="str" cm="1">
        <f t="array" ref="AF119">_xlfn.IFNA(
    _xlfn.IFS(
        K119="Credit",
            _xlfn.IFS(
                OR(ISNUMBER(SEARCH("Rejected",L119)),ISNUMBER(SEARCH("Returned",L119))),"Other Income",
                TRUE,"Revenue"
            ),
        K119="Debit",
            _xlfn.IFS(
                ISNUMBER(SEARCH("Payroll",L119)),"OPEX",
                ISNUMBER(SEARCH("Expatriate",L119)),"OPEX",
                ISNUMBER(SEARCH("Zakat",M119)),"ZATCA",
                ISNUMBER(SEARCH("General Organization for Social Insurance",M119)),"OPEX",
                ISNUMBER(SEARCH("Saudi Electric",M119)),"OPEX",
                ISNUMBER(SEARCH("STC",M119)),"OPEX",
                ISNUMBER(SEARCH("National Water",M119)),"OPEX",
                ISNUMBER(SEARCH("Bupa",M119)),"OPEX",
                ISNUMBER(SEARCH("Abdullah Abdulkarim",M119)),"OPEX",
                ISNUMBER(SEARCH("Abdullah Fahad",M119)),"OPEX",
                ISNUMBER(SEARCH("ISO Arabia",M119)),"OPEX",
                ISNUMBER(SEARCH("Gulf Voyager",M119)),"OPEX",
                ISNUMBER(SEARCH("Ministry",M119)),"OPEX",
                ISNUMBER(SEARCH("General Authority of Zakat",M119)),"ZATCA",
                ISNUMBER(SEARCH("Rejected",L119)),"Other Income",
                TRUE,"COGS"
            ),
        TRUE,"-"
    ),
    "-"
)</f>
        <v>COGS</v>
      </c>
      <c r="AG119" s="25" t="str" cm="1">
        <f t="array" ref="AG119">_xlfn.IFNA(
    _xlfn.IFS(
        ISNUMBER(SEARCH("Payroll",L119)),"Payroll",
        ISNUMBER(SEARCH("Expatriate",L119)),"Government Fees",
        ISNUMBER(SEARCH("Zakat",M119)),"Zakat",
        ISNUMBER(SEARCH("Social Insurance",M119)),"Social Insurance",
        ISNUMBER(SEARCH("Saudi Electric",M119)),"Electricity",
        ISNUMBER(SEARCH("STC",M119)),"Telecom",
        ISNUMBER(SEARCH("National Water",M119)),"Water",
        ISNUMBER(SEARCH("Bupa",M119)),"Insurance",
        ISNUMBER(SEARCH("Gulf Voyager",M119)),"Travel",
        ISNUMBER(SEARCH("Ministry",M119)),"Government Fees",
        ISNUMBER(SEARCH("Abdullah Abdulkarim",M119)),"Consulting",
        ISNUMBER(SEARCH("Abdullah Fahad",M119)),"Accounting",
        ISNUMBER(SEARCH("ISO Arabia",M119)),"Consulting",
        ISNUMBER(SEARCH("Rejected",L119)),"Refund",
        AF119="COGS","Inventory Purchase",
        AF119="Revenue","Revenue",
        AF119="OPEX","Other",
        AF119="ZATCA","Zakat",
        TRUE,"-"
    ),
    "-"
)</f>
        <v>Inventory Purchase</v>
      </c>
      <c r="AH119" s="25" t="str" cm="1">
        <f t="array" ref="AH119">_xlfn.IFNA(
    _xlfn.IFS(
        AF119="-","Low",
        AF119="Other","Low",
        TRUE,"Medium"
    ),
    "-"
)</f>
        <v>Medium</v>
      </c>
      <c r="AI119" s="25" t="str">
        <f t="shared" si="7"/>
        <v>-</v>
      </c>
    </row>
    <row r="120" spans="1:35" x14ac:dyDescent="0.25">
      <c r="A120" s="10">
        <v>6</v>
      </c>
      <c r="B120" s="10" t="s">
        <v>35</v>
      </c>
      <c r="C120" s="10" t="s">
        <v>36</v>
      </c>
      <c r="D120" s="10" t="s">
        <v>37</v>
      </c>
      <c r="E120" s="10" t="s">
        <v>38</v>
      </c>
      <c r="F120" s="11" t="s">
        <v>39</v>
      </c>
      <c r="G120" s="11" t="s">
        <v>40</v>
      </c>
      <c r="H120" s="12">
        <v>44997</v>
      </c>
      <c r="I120" s="20">
        <v>54239.82</v>
      </c>
      <c r="J120" s="20">
        <v>1500</v>
      </c>
      <c r="K120" s="10" t="s">
        <v>41</v>
      </c>
      <c r="L120" s="9" t="s">
        <v>224</v>
      </c>
      <c r="M120" s="9" t="s">
        <v>309</v>
      </c>
      <c r="N120" s="9">
        <v>68205005000000</v>
      </c>
      <c r="O120" s="9" t="s">
        <v>226</v>
      </c>
      <c r="P120" s="15">
        <v>44997</v>
      </c>
      <c r="Q120" s="9" t="s">
        <v>311</v>
      </c>
      <c r="R120" s="16">
        <v>1500</v>
      </c>
      <c r="U120" s="9" t="s">
        <v>55</v>
      </c>
      <c r="V120" s="24" t="str" cm="1">
        <f t="array" ref="V120">_xlfn.IFNA(
    _xlfn.IFS(
        ISNUMBER(SEARCH("Fast Outgoing Transfer",L120)),"Transfer",
        ISNUMBER(SEARCH("Incoming Fast Transfer",L120)),"Transfer",
        ISNUMBER(SEARCH("Outgoing International Transfer",L120)),"Transfer",
        ISNUMBER(SEARCH("Bill Payment",L120)),"SADAD",
        ISNUMBER(SEARCH("Payroll",L120)),"Payroll",
        ISNUMBER(SEARCH("Cash Deposit",L120)),"Cash",
        ISNUMBER(SEARCH("Internal Transfer",L120)),"Transfer",
        ISNUMBER(SEARCH("Expatriate Services Payment",L120)),"SADAD",
        ISNUMBER(SEARCH("Rejected",L120)),"Transfer"
    ),
    "-"
)</f>
        <v>Transfer</v>
      </c>
      <c r="W120" s="25" t="str" cm="1">
        <f t="array" ref="W120">_xlfn.IFNA(
    _xlfn.IFS(
        AND(V120="Transfer",ISNUMBER(SEARCH("RIYAD BANK",L120))),"External FI",
        AND(V120="Transfer",ISNUMBER(SEARCH("Al Ahli",L120))),"External FI",
        AND(V120="Transfer",ISNUMBER(SEARCH("CIB via",L120))),"Local Transfer",
        AND(V120="Transfer",ISNUMBER(SEARCH("CIB)",L120))),"Local Transfer",
        AND(V120="Transfer",ISNUMBER(SEARCH("SMRT",L120))),"Local Transfer",
        AND(V120="Transfer",ISNUMBER(SEARCH("Al Murabba",L120))),"Local Transfer",
        AND(V120="Transfer",ISNUMBER(SEARCH("Internal Transfer",L120))),"Same FI",
        AND(V120="Transfer",ISNUMBER(SEARCH("Rejected",L120))),"Failed",
        V120="SADAD",
            _xlfn.IFS(
                ISNUMBER(SEARCH("Expatriate",L120)),"Expat Fees",
                TRUE,"Online Payment"
            ),
        V120="Payroll","Payroll",
        V120="Cash","Deposit",
        TRUE,"-"
    ),
    "-"
)</f>
        <v>Local Transfer</v>
      </c>
      <c r="X120" s="25" t="str" cm="1">
        <f t="array" ref="X120">_xlfn.IFNA(
    _xlfn.IFS(
        V120="-","Low",
        W120="-","Low",
        TRUE,"High"
    ),
    "-"
)</f>
        <v>High</v>
      </c>
      <c r="Y120" s="25" t="str">
        <f t="shared" si="4"/>
        <v>-</v>
      </c>
      <c r="Z120" s="25" t="str" cm="1">
        <f t="array" ref="Z120">_xlfn.IFNA(
    _xlfn.IFS(
        ISNUMBER(SEARCH("Abdul Latif Jameel",M120)),"Lender",
        ISNUMBER(SEARCH("Abdullah Abdulkarim Al Sudais",M120)),"Accounting",
        ISNUMBER(SEARCH("Abdullah Fahad for Accounting",M120)),"Accounting",
        ISNUMBER(SEARCH("Abdullah Rashid Shaikh",M120)),"Shareholder",
        ISNUMBER(SEARCH("Advanced Equipments",M120)),"Equipment Rental",
        ISNUMBER(SEARCH("Al Banuk Sana",M120)),"Telecom Company",
        ISNUMBER(SEARCH("Al Khaleefa Factory",M120)),"Manufacturer",
        ISNUMBER(SEARCH("Al Saadeh Trading",M120)),"Trading Company",
        ISNUMBER(SEARCH("Al Zaehaan",M120)),"Trading Company",
        ISNUMBER(SEARCH("Ali Abdullah K Al Darwish",M120)),"Airlines",
        ISNUMBER(SEARCH("Bupa Arabia",M120)),"Health Insurance",
        ISNUMBER(SEARCH("Dar Fahoosaat",M120)),"Consultant",
        ISNUMBER(SEARCH("General Authority of Zakat",M120)),"Tax Collection",
        ISNUMBER(SEARCH("Gulf Voyager",M120)),"Travel Agency",
        ISNUMBER(SEARCH("Hopeway Trading",M120)),"Trading Company",
        ISNUMBER(SEARCH("Interhealth Medical",M120)),"Medical Services",
        ISNUMBER(SEARCH("Ishaar",M120)),"Online Payment Service",
        ISNUMBER(SEARCH("ISO Arabia",M120)),"Certification",
        ISNUMBER(SEARCH("Khalid Saad Al Otaibi",M120)),"Trading Company",
        ISNUMBER(SEARCH("MERAS for Decoration",M120)),"Decor Company",
        ISNUMBER(SEARCH("Middle East Customs Clearance",M120)),"Customs",
        ISNUMBER(SEARCH("Ministry of Human Resources",M120)),"Government",
        ISNUMBER(SEARCH("My Business Services",M120)),"Service Provider",
        ISNUMBER(SEARCH("National Water Company",M120)),"Water Company",
        ISNUMBER(SEARCH("Rania Contracting",M120)),"Contracting",
        ISNUMBER(SEARCH("Rashid Ali Sheikh",M120)),"Shareholder",
        ISNUMBER(SEARCH("Sahab United Motors",M120)),"Car Show Room",
        ISNUMBER(SEARCH("Saud Mohammed Al Tamimi",M120)),"Shareholder",
        ISNUMBER(SEARCH("Saud Mohammed Tamimi",M120)),"Shareholder",
        ISNUMBER(SEARCH("Saudi Electric Company",M120)),"Electricity Company",
        ISNUMBER(SEARCH("Saudi Vetonit",M120)),"Building Materials",
        ISNUMBER(SEARCH("Shomoul Eng",M120)),"Safety",
        ISNUMBER(SEARCH("STC",M120)),"Telecom Company",
        ISNUMBER(SEARCH("The General Organization for Social Insurance",M120)),"Social Insurance Agency",
        ISNUMBER(SEARCH("TUV Rheinland",M120)),"Certification",
        ISNUMBER(SEARCH("Al Arabia Ceramic",M120)),"Building Materials",
        ISNUMBER(SEARCH("National Company for Building and Marketing",M120)),"Parent Company",
        ISNUMBER(SEARCH("Athraa Holding",M120)),"Holding Company",
        ISNUMBER(SEARCH("Al Rasan",M120)),"Contracting",
        ISNUMBER(SEARCH("Raboua Al Haid",M120)),"Trading Company",
        ISNUMBER(SEARCH("Al Jazeera Paint",M120)),"Manufacturer",
        ISNUMBER(SEARCH("Rania Works Contracting",M120)),"Contracting",
        ISNUMBER(SEARCH("Bandar Jarallah",M120)),"Trading Establishment",
        ISNUMBER(SEARCH("RS Infratec Saudi",M120)),"Same Company",
        ISNUMBER(SEARCH("Payroll",M120)),"Bank",
        ISNUMBER(SEARCH("Expatriate",M120)),"Government",
        ISNUMBER(SEARCH("Unknown Sender",M120)),"Unknown",
        TRUE,"Unknown"
    ),
    "-"
)</f>
        <v>Manufacturer</v>
      </c>
      <c r="AA120" s="25" t="str" cm="1">
        <f t="array" ref="AA120">_xlfn.IFNA(
    _xlfn.IFS(
        Z120="Lender","Financing",
        Z120="Accounting","Accounting",
        Z120="Shareholder","Individual",
        Z120="Equipment Rental","Equipment Rental",
        Z120="Telecom Company","Telecom",
        Z120="Manufacturer","Manufacturer",
        Z120="Trading Company","Trading And Transport",
        Z120="Trading Establishment","Trading",
        Z120="Airlines","Airlines",
        Z120="Health Insurance","Insurance",
        Z120="Consultant","Consultant",
        Z120="Tax Collection","Government",
        Z120="Travel Agency","Travel Agency",
        Z120="Medical Services","Medical Center",
        Z120="Online Payment Service","Payment Facilitator",
        Z120="Certification","Safety",
        Z120="Decor Company","Design",
        Z120="Customs","Customs",
        Z120="Government","Government",
        Z120="Service Provider","Service Provider",
        Z120="Water Company","Water Company",
        Z120="Contracting","Contracting",
        Z120="Car Show Room","Car Trader",
        Z120="Electricity Company","Electricity Company",
        Z120="Building Materials","Building Materials",
        Z120="Safety","Safety",
        Z120="Social Insurance Agency","Government Fund",
        Z120="Parent Company","Holding Company",
        Z120="Holding Company","Holding Company",
        Z120="Same Company","Construction",
        Z120="Bank","Bank",
        Z120="Unknown","Unknown",
        TRUE,"-"
    ),
    "-"
)</f>
        <v>Manufacturer</v>
      </c>
      <c r="AB120" s="25" t="str">
        <f t="shared" si="5"/>
        <v>-</v>
      </c>
      <c r="AC120" s="25" t="str" cm="1">
        <f t="array" ref="AC120">_xlfn.IFNA(
    _xlfn.IFS(
        Z120="Shareholder","Shareholder",
        Z120="Same Company","Same Company",
        Z120="Bank","Bank",
        Z120="Government","Government",
        Z120="Social Insurance Agency","Government",
        Z120="Parent Company","Customer",
        Z120="Lender","Lender",
        Z120="Unknown","Unknown",
        ISNUMBER(SEARCH("Abdullah Abdulkarim",M120)),"Service Provider",
        ISNUMBER(SEARCH("Abdullah Fahad",M120)),"Service Provider",
        ISNUMBER(SEARCH("Advanced Equipments",M120)),"Supplier",
        ISNUMBER(SEARCH("Al Banuk Sana",M120)),"Supplier",
        ISNUMBER(SEARCH("Al Khaleefa Factory",M120)),"Supplier",
        ISNUMBER(SEARCH("Al Saadeh Trading",M120)),"Supplier",
        ISNUMBER(SEARCH("Al Zaehaan",M120)),"Supplier",
        ISNUMBER(SEARCH("Ali Abdullah K Al Darwish",M120)),"Service Provider",
        ISNUMBER(SEARCH("Bupa Arabia",M120)),"Insurance Company",
        ISNUMBER(SEARCH("Dar Fahoosaat",M120)),"Service Provider",
        ISNUMBER(SEARCH("General Authority of Zakat",M120)),"Tax Authority",
        ISNUMBER(SEARCH("Gulf Voyager",M120)),"Service Provider",
        ISNUMBER(SEARCH("Hopeway Trading",M120)),"Supplier",
        ISNUMBER(SEARCH("Interhealth Medical",M120)),"Customer",
        ISNUMBER(SEARCH("Ishaar",M120)),"Service Provider",
        ISNUMBER(SEARCH("ISO Arabia",M120)),"Service Provider",
        ISNUMBER(SEARCH("Khalid Saad Al Otaibi",M120)),"Supplier",
        ISNUMBER(SEARCH("MERAS for Decoration",M120)),"Supplier",
        ISNUMBER(SEARCH("Middle East Customs Clearance",M120)),"Service Provider",
        ISNUMBER(SEARCH("Ministry of Human Resources",M120)),"Regulatory Agency",
        ISNUMBER(SEARCH("My Business Services",M120)),"Service Provider",
        ISNUMBER(SEARCH("National Water Company",M120)),"Utility Provider",
        ISNUMBER(SEARCH("Rania Contracting",M120)),"Supplier",
        ISNUMBER(SEARCH("Sahab United Motors",M120)),"Supplier",
        ISNUMBER(SEARCH("Saudi Electric Company",M120)),"Utility Provider",
        ISNUMBER(SEARCH("Saudi Vetonit",M120)),"Supplier",
        ISNUMBER(SEARCH("Shomoul Eng",M120)),"Service Provider",
        ISNUMBER(SEARCH("STC",M120)),"Utility Provider",
        ISNUMBER(SEARCH("The General Organization for Social Insurance",M120)),"Social Insurance Agency",
        ISNUMBER(SEARCH("TUV Rheinland",M120)),"Service Provider",
        ISNUMBER(SEARCH("Al Arabia Ceramic",M120)),"Supplier",
        ISNUMBER(SEARCH("National Company for Building",M120)),"Customer",
        ISNUMBER(SEARCH("Athraa Holding",M120)),"Customer",
        ISNUMBER(SEARCH("Al Rasan",M120)),"Supplier",
        ISNUMBER(SEARCH("Raboua Al Haid",M120)),"Customer",
        ISNUMBER(SEARCH("Al Jazeera Paint",M120)),"Supplier",
        ISNUMBER(SEARCH("Rania Works Contracting",M120)),"Supplier",
        ISNUMBER(SEARCH("Bandar Jarallah",M120)),"Supplier",
        TRUE,"Supplier"
    ),
    "-"
)</f>
        <v>Supplier</v>
      </c>
      <c r="AD120" s="25" t="str" cm="1">
        <f t="array" ref="AD120">_xlfn.IFNA(
    _xlfn.IFS(
        AC120="Same Company","High",
        AC120="Shareholder","High",
        AC120="Government","High",
        AC120="Bank","High",
        AC120="Lender","High",
        AC120="Unknown","Low",
        AC120="-","Low",
        TRUE,"Medium"
    ),
    "-"
)</f>
        <v>Medium</v>
      </c>
      <c r="AE120" s="25" t="str">
        <f t="shared" si="6"/>
        <v>-</v>
      </c>
      <c r="AF120" s="25" t="str" cm="1">
        <f t="array" ref="AF120">_xlfn.IFNA(
    _xlfn.IFS(
        K120="Credit",
            _xlfn.IFS(
                OR(ISNUMBER(SEARCH("Rejected",L120)),ISNUMBER(SEARCH("Returned",L120))),"Other Income",
                TRUE,"Revenue"
            ),
        K120="Debit",
            _xlfn.IFS(
                ISNUMBER(SEARCH("Payroll",L120)),"OPEX",
                ISNUMBER(SEARCH("Expatriate",L120)),"OPEX",
                ISNUMBER(SEARCH("Zakat",M120)),"ZATCA",
                ISNUMBER(SEARCH("General Organization for Social Insurance",M120)),"OPEX",
                ISNUMBER(SEARCH("Saudi Electric",M120)),"OPEX",
                ISNUMBER(SEARCH("STC",M120)),"OPEX",
                ISNUMBER(SEARCH("National Water",M120)),"OPEX",
                ISNUMBER(SEARCH("Bupa",M120)),"OPEX",
                ISNUMBER(SEARCH("Abdullah Abdulkarim",M120)),"OPEX",
                ISNUMBER(SEARCH("Abdullah Fahad",M120)),"OPEX",
                ISNUMBER(SEARCH("ISO Arabia",M120)),"OPEX",
                ISNUMBER(SEARCH("Gulf Voyager",M120)),"OPEX",
                ISNUMBER(SEARCH("Ministry",M120)),"OPEX",
                ISNUMBER(SEARCH("General Authority of Zakat",M120)),"ZATCA",
                ISNUMBER(SEARCH("Rejected",L120)),"Other Income",
                TRUE,"COGS"
            ),
        TRUE,"-"
    ),
    "-"
)</f>
        <v>COGS</v>
      </c>
      <c r="AG120" s="25" t="str" cm="1">
        <f t="array" ref="AG120">_xlfn.IFNA(
    _xlfn.IFS(
        ISNUMBER(SEARCH("Payroll",L120)),"Payroll",
        ISNUMBER(SEARCH("Expatriate",L120)),"Government Fees",
        ISNUMBER(SEARCH("Zakat",M120)),"Zakat",
        ISNUMBER(SEARCH("Social Insurance",M120)),"Social Insurance",
        ISNUMBER(SEARCH("Saudi Electric",M120)),"Electricity",
        ISNUMBER(SEARCH("STC",M120)),"Telecom",
        ISNUMBER(SEARCH("National Water",M120)),"Water",
        ISNUMBER(SEARCH("Bupa",M120)),"Insurance",
        ISNUMBER(SEARCH("Gulf Voyager",M120)),"Travel",
        ISNUMBER(SEARCH("Ministry",M120)),"Government Fees",
        ISNUMBER(SEARCH("Abdullah Abdulkarim",M120)),"Consulting",
        ISNUMBER(SEARCH("Abdullah Fahad",M120)),"Accounting",
        ISNUMBER(SEARCH("ISO Arabia",M120)),"Consulting",
        ISNUMBER(SEARCH("Rejected",L120)),"Refund",
        AF120="COGS","Inventory Purchase",
        AF120="Revenue","Revenue",
        AF120="OPEX","Other",
        AF120="ZATCA","Zakat",
        TRUE,"-"
    ),
    "-"
)</f>
        <v>Inventory Purchase</v>
      </c>
      <c r="AH120" s="25" t="str" cm="1">
        <f t="array" ref="AH120">_xlfn.IFNA(
    _xlfn.IFS(
        AF120="-","Low",
        AF120="Other","Low",
        TRUE,"Medium"
    ),
    "-"
)</f>
        <v>Medium</v>
      </c>
      <c r="AI120" s="25" t="str">
        <f t="shared" si="7"/>
        <v>-</v>
      </c>
    </row>
    <row r="121" spans="1:35" x14ac:dyDescent="0.25">
      <c r="A121" s="10">
        <v>6</v>
      </c>
      <c r="B121" s="10" t="s">
        <v>35</v>
      </c>
      <c r="C121" s="10" t="s">
        <v>36</v>
      </c>
      <c r="D121" s="10" t="s">
        <v>37</v>
      </c>
      <c r="E121" s="10" t="s">
        <v>38</v>
      </c>
      <c r="F121" s="11" t="s">
        <v>39</v>
      </c>
      <c r="G121" s="11" t="s">
        <v>40</v>
      </c>
      <c r="H121" s="12">
        <v>44999</v>
      </c>
      <c r="I121" s="20">
        <v>104273.49</v>
      </c>
      <c r="J121" s="20">
        <v>20000</v>
      </c>
      <c r="K121" s="10" t="s">
        <v>41</v>
      </c>
      <c r="L121" s="9" t="s">
        <v>224</v>
      </c>
      <c r="M121" s="9" t="s">
        <v>309</v>
      </c>
      <c r="N121" s="9">
        <v>68205005000000</v>
      </c>
      <c r="O121" s="9" t="s">
        <v>226</v>
      </c>
      <c r="P121" s="15">
        <v>44999</v>
      </c>
      <c r="Q121" s="9" t="s">
        <v>312</v>
      </c>
      <c r="R121" s="16">
        <v>20000</v>
      </c>
      <c r="U121" s="9" t="s">
        <v>55</v>
      </c>
      <c r="V121" s="24" t="str" cm="1">
        <f t="array" ref="V121">_xlfn.IFNA(
    _xlfn.IFS(
        ISNUMBER(SEARCH("Fast Outgoing Transfer",L121)),"Transfer",
        ISNUMBER(SEARCH("Incoming Fast Transfer",L121)),"Transfer",
        ISNUMBER(SEARCH("Outgoing International Transfer",L121)),"Transfer",
        ISNUMBER(SEARCH("Bill Payment",L121)),"SADAD",
        ISNUMBER(SEARCH("Payroll",L121)),"Payroll",
        ISNUMBER(SEARCH("Cash Deposit",L121)),"Cash",
        ISNUMBER(SEARCH("Internal Transfer",L121)),"Transfer",
        ISNUMBER(SEARCH("Expatriate Services Payment",L121)),"SADAD",
        ISNUMBER(SEARCH("Rejected",L121)),"Transfer"
    ),
    "-"
)</f>
        <v>Transfer</v>
      </c>
      <c r="W121" s="25" t="str" cm="1">
        <f t="array" ref="W121">_xlfn.IFNA(
    _xlfn.IFS(
        AND(V121="Transfer",ISNUMBER(SEARCH("RIYAD BANK",L121))),"External FI",
        AND(V121="Transfer",ISNUMBER(SEARCH("Al Ahli",L121))),"External FI",
        AND(V121="Transfer",ISNUMBER(SEARCH("CIB via",L121))),"Local Transfer",
        AND(V121="Transfer",ISNUMBER(SEARCH("CIB)",L121))),"Local Transfer",
        AND(V121="Transfer",ISNUMBER(SEARCH("SMRT",L121))),"Local Transfer",
        AND(V121="Transfer",ISNUMBER(SEARCH("Al Murabba",L121))),"Local Transfer",
        AND(V121="Transfer",ISNUMBER(SEARCH("Internal Transfer",L121))),"Same FI",
        AND(V121="Transfer",ISNUMBER(SEARCH("Rejected",L121))),"Failed",
        V121="SADAD",
            _xlfn.IFS(
                ISNUMBER(SEARCH("Expatriate",L121)),"Expat Fees",
                TRUE,"Online Payment"
            ),
        V121="Payroll","Payroll",
        V121="Cash","Deposit",
        TRUE,"-"
    ),
    "-"
)</f>
        <v>Local Transfer</v>
      </c>
      <c r="X121" s="25" t="str" cm="1">
        <f t="array" ref="X121">_xlfn.IFNA(
    _xlfn.IFS(
        V121="-","Low",
        W121="-","Low",
        TRUE,"High"
    ),
    "-"
)</f>
        <v>High</v>
      </c>
      <c r="Y121" s="25" t="str">
        <f t="shared" si="4"/>
        <v>-</v>
      </c>
      <c r="Z121" s="25" t="str" cm="1">
        <f t="array" ref="Z121">_xlfn.IFNA(
    _xlfn.IFS(
        ISNUMBER(SEARCH("Abdul Latif Jameel",M121)),"Lender",
        ISNUMBER(SEARCH("Abdullah Abdulkarim Al Sudais",M121)),"Accounting",
        ISNUMBER(SEARCH("Abdullah Fahad for Accounting",M121)),"Accounting",
        ISNUMBER(SEARCH("Abdullah Rashid Shaikh",M121)),"Shareholder",
        ISNUMBER(SEARCH("Advanced Equipments",M121)),"Equipment Rental",
        ISNUMBER(SEARCH("Al Banuk Sana",M121)),"Telecom Company",
        ISNUMBER(SEARCH("Al Khaleefa Factory",M121)),"Manufacturer",
        ISNUMBER(SEARCH("Al Saadeh Trading",M121)),"Trading Company",
        ISNUMBER(SEARCH("Al Zaehaan",M121)),"Trading Company",
        ISNUMBER(SEARCH("Ali Abdullah K Al Darwish",M121)),"Airlines",
        ISNUMBER(SEARCH("Bupa Arabia",M121)),"Health Insurance",
        ISNUMBER(SEARCH("Dar Fahoosaat",M121)),"Consultant",
        ISNUMBER(SEARCH("General Authority of Zakat",M121)),"Tax Collection",
        ISNUMBER(SEARCH("Gulf Voyager",M121)),"Travel Agency",
        ISNUMBER(SEARCH("Hopeway Trading",M121)),"Trading Company",
        ISNUMBER(SEARCH("Interhealth Medical",M121)),"Medical Services",
        ISNUMBER(SEARCH("Ishaar",M121)),"Online Payment Service",
        ISNUMBER(SEARCH("ISO Arabia",M121)),"Certification",
        ISNUMBER(SEARCH("Khalid Saad Al Otaibi",M121)),"Trading Company",
        ISNUMBER(SEARCH("MERAS for Decoration",M121)),"Decor Company",
        ISNUMBER(SEARCH("Middle East Customs Clearance",M121)),"Customs",
        ISNUMBER(SEARCH("Ministry of Human Resources",M121)),"Government",
        ISNUMBER(SEARCH("My Business Services",M121)),"Service Provider",
        ISNUMBER(SEARCH("National Water Company",M121)),"Water Company",
        ISNUMBER(SEARCH("Rania Contracting",M121)),"Contracting",
        ISNUMBER(SEARCH("Rashid Ali Sheikh",M121)),"Shareholder",
        ISNUMBER(SEARCH("Sahab United Motors",M121)),"Car Show Room",
        ISNUMBER(SEARCH("Saud Mohammed Al Tamimi",M121)),"Shareholder",
        ISNUMBER(SEARCH("Saud Mohammed Tamimi",M121)),"Shareholder",
        ISNUMBER(SEARCH("Saudi Electric Company",M121)),"Electricity Company",
        ISNUMBER(SEARCH("Saudi Vetonit",M121)),"Building Materials",
        ISNUMBER(SEARCH("Shomoul Eng",M121)),"Safety",
        ISNUMBER(SEARCH("STC",M121)),"Telecom Company",
        ISNUMBER(SEARCH("The General Organization for Social Insurance",M121)),"Social Insurance Agency",
        ISNUMBER(SEARCH("TUV Rheinland",M121)),"Certification",
        ISNUMBER(SEARCH("Al Arabia Ceramic",M121)),"Building Materials",
        ISNUMBER(SEARCH("National Company for Building and Marketing",M121)),"Parent Company",
        ISNUMBER(SEARCH("Athraa Holding",M121)),"Holding Company",
        ISNUMBER(SEARCH("Al Rasan",M121)),"Contracting",
        ISNUMBER(SEARCH("Raboua Al Haid",M121)),"Trading Company",
        ISNUMBER(SEARCH("Al Jazeera Paint",M121)),"Manufacturer",
        ISNUMBER(SEARCH("Rania Works Contracting",M121)),"Contracting",
        ISNUMBER(SEARCH("Bandar Jarallah",M121)),"Trading Establishment",
        ISNUMBER(SEARCH("RS Infratec Saudi",M121)),"Same Company",
        ISNUMBER(SEARCH("Payroll",M121)),"Bank",
        ISNUMBER(SEARCH("Expatriate",M121)),"Government",
        ISNUMBER(SEARCH("Unknown Sender",M121)),"Unknown",
        TRUE,"Unknown"
    ),
    "-"
)</f>
        <v>Manufacturer</v>
      </c>
      <c r="AA121" s="25" t="str" cm="1">
        <f t="array" ref="AA121">_xlfn.IFNA(
    _xlfn.IFS(
        Z121="Lender","Financing",
        Z121="Accounting","Accounting",
        Z121="Shareholder","Individual",
        Z121="Equipment Rental","Equipment Rental",
        Z121="Telecom Company","Telecom",
        Z121="Manufacturer","Manufacturer",
        Z121="Trading Company","Trading And Transport",
        Z121="Trading Establishment","Trading",
        Z121="Airlines","Airlines",
        Z121="Health Insurance","Insurance",
        Z121="Consultant","Consultant",
        Z121="Tax Collection","Government",
        Z121="Travel Agency","Travel Agency",
        Z121="Medical Services","Medical Center",
        Z121="Online Payment Service","Payment Facilitator",
        Z121="Certification","Safety",
        Z121="Decor Company","Design",
        Z121="Customs","Customs",
        Z121="Government","Government",
        Z121="Service Provider","Service Provider",
        Z121="Water Company","Water Company",
        Z121="Contracting","Contracting",
        Z121="Car Show Room","Car Trader",
        Z121="Electricity Company","Electricity Company",
        Z121="Building Materials","Building Materials",
        Z121="Safety","Safety",
        Z121="Social Insurance Agency","Government Fund",
        Z121="Parent Company","Holding Company",
        Z121="Holding Company","Holding Company",
        Z121="Same Company","Construction",
        Z121="Bank","Bank",
        Z121="Unknown","Unknown",
        TRUE,"-"
    ),
    "-"
)</f>
        <v>Manufacturer</v>
      </c>
      <c r="AB121" s="25" t="str">
        <f t="shared" si="5"/>
        <v>-</v>
      </c>
      <c r="AC121" s="25" t="str" cm="1">
        <f t="array" ref="AC121">_xlfn.IFNA(
    _xlfn.IFS(
        Z121="Shareholder","Shareholder",
        Z121="Same Company","Same Company",
        Z121="Bank","Bank",
        Z121="Government","Government",
        Z121="Social Insurance Agency","Government",
        Z121="Parent Company","Customer",
        Z121="Lender","Lender",
        Z121="Unknown","Unknown",
        ISNUMBER(SEARCH("Abdullah Abdulkarim",M121)),"Service Provider",
        ISNUMBER(SEARCH("Abdullah Fahad",M121)),"Service Provider",
        ISNUMBER(SEARCH("Advanced Equipments",M121)),"Supplier",
        ISNUMBER(SEARCH("Al Banuk Sana",M121)),"Supplier",
        ISNUMBER(SEARCH("Al Khaleefa Factory",M121)),"Supplier",
        ISNUMBER(SEARCH("Al Saadeh Trading",M121)),"Supplier",
        ISNUMBER(SEARCH("Al Zaehaan",M121)),"Supplier",
        ISNUMBER(SEARCH("Ali Abdullah K Al Darwish",M121)),"Service Provider",
        ISNUMBER(SEARCH("Bupa Arabia",M121)),"Insurance Company",
        ISNUMBER(SEARCH("Dar Fahoosaat",M121)),"Service Provider",
        ISNUMBER(SEARCH("General Authority of Zakat",M121)),"Tax Authority",
        ISNUMBER(SEARCH("Gulf Voyager",M121)),"Service Provider",
        ISNUMBER(SEARCH("Hopeway Trading",M121)),"Supplier",
        ISNUMBER(SEARCH("Interhealth Medical",M121)),"Customer",
        ISNUMBER(SEARCH("Ishaar",M121)),"Service Provider",
        ISNUMBER(SEARCH("ISO Arabia",M121)),"Service Provider",
        ISNUMBER(SEARCH("Khalid Saad Al Otaibi",M121)),"Supplier",
        ISNUMBER(SEARCH("MERAS for Decoration",M121)),"Supplier",
        ISNUMBER(SEARCH("Middle East Customs Clearance",M121)),"Service Provider",
        ISNUMBER(SEARCH("Ministry of Human Resources",M121)),"Regulatory Agency",
        ISNUMBER(SEARCH("My Business Services",M121)),"Service Provider",
        ISNUMBER(SEARCH("National Water Company",M121)),"Utility Provider",
        ISNUMBER(SEARCH("Rania Contracting",M121)),"Supplier",
        ISNUMBER(SEARCH("Sahab United Motors",M121)),"Supplier",
        ISNUMBER(SEARCH("Saudi Electric Company",M121)),"Utility Provider",
        ISNUMBER(SEARCH("Saudi Vetonit",M121)),"Supplier",
        ISNUMBER(SEARCH("Shomoul Eng",M121)),"Service Provider",
        ISNUMBER(SEARCH("STC",M121)),"Utility Provider",
        ISNUMBER(SEARCH("The General Organization for Social Insurance",M121)),"Social Insurance Agency",
        ISNUMBER(SEARCH("TUV Rheinland",M121)),"Service Provider",
        ISNUMBER(SEARCH("Al Arabia Ceramic",M121)),"Supplier",
        ISNUMBER(SEARCH("National Company for Building",M121)),"Customer",
        ISNUMBER(SEARCH("Athraa Holding",M121)),"Customer",
        ISNUMBER(SEARCH("Al Rasan",M121)),"Supplier",
        ISNUMBER(SEARCH("Raboua Al Haid",M121)),"Customer",
        ISNUMBER(SEARCH("Al Jazeera Paint",M121)),"Supplier",
        ISNUMBER(SEARCH("Rania Works Contracting",M121)),"Supplier",
        ISNUMBER(SEARCH("Bandar Jarallah",M121)),"Supplier",
        TRUE,"Supplier"
    ),
    "-"
)</f>
        <v>Supplier</v>
      </c>
      <c r="AD121" s="25" t="str" cm="1">
        <f t="array" ref="AD121">_xlfn.IFNA(
    _xlfn.IFS(
        AC121="Same Company","High",
        AC121="Shareholder","High",
        AC121="Government","High",
        AC121="Bank","High",
        AC121="Lender","High",
        AC121="Unknown","Low",
        AC121="-","Low",
        TRUE,"Medium"
    ),
    "-"
)</f>
        <v>Medium</v>
      </c>
      <c r="AE121" s="25" t="str">
        <f t="shared" si="6"/>
        <v>-</v>
      </c>
      <c r="AF121" s="25" t="str" cm="1">
        <f t="array" ref="AF121">_xlfn.IFNA(
    _xlfn.IFS(
        K121="Credit",
            _xlfn.IFS(
                OR(ISNUMBER(SEARCH("Rejected",L121)),ISNUMBER(SEARCH("Returned",L121))),"Other Income",
                TRUE,"Revenue"
            ),
        K121="Debit",
            _xlfn.IFS(
                ISNUMBER(SEARCH("Payroll",L121)),"OPEX",
                ISNUMBER(SEARCH("Expatriate",L121)),"OPEX",
                ISNUMBER(SEARCH("Zakat",M121)),"ZATCA",
                ISNUMBER(SEARCH("General Organization for Social Insurance",M121)),"OPEX",
                ISNUMBER(SEARCH("Saudi Electric",M121)),"OPEX",
                ISNUMBER(SEARCH("STC",M121)),"OPEX",
                ISNUMBER(SEARCH("National Water",M121)),"OPEX",
                ISNUMBER(SEARCH("Bupa",M121)),"OPEX",
                ISNUMBER(SEARCH("Abdullah Abdulkarim",M121)),"OPEX",
                ISNUMBER(SEARCH("Abdullah Fahad",M121)),"OPEX",
                ISNUMBER(SEARCH("ISO Arabia",M121)),"OPEX",
                ISNUMBER(SEARCH("Gulf Voyager",M121)),"OPEX",
                ISNUMBER(SEARCH("Ministry",M121)),"OPEX",
                ISNUMBER(SEARCH("General Authority of Zakat",M121)),"ZATCA",
                ISNUMBER(SEARCH("Rejected",L121)),"Other Income",
                TRUE,"COGS"
            ),
        TRUE,"-"
    ),
    "-"
)</f>
        <v>COGS</v>
      </c>
      <c r="AG121" s="25" t="str" cm="1">
        <f t="array" ref="AG121">_xlfn.IFNA(
    _xlfn.IFS(
        ISNUMBER(SEARCH("Payroll",L121)),"Payroll",
        ISNUMBER(SEARCH("Expatriate",L121)),"Government Fees",
        ISNUMBER(SEARCH("Zakat",M121)),"Zakat",
        ISNUMBER(SEARCH("Social Insurance",M121)),"Social Insurance",
        ISNUMBER(SEARCH("Saudi Electric",M121)),"Electricity",
        ISNUMBER(SEARCH("STC",M121)),"Telecom",
        ISNUMBER(SEARCH("National Water",M121)),"Water",
        ISNUMBER(SEARCH("Bupa",M121)),"Insurance",
        ISNUMBER(SEARCH("Gulf Voyager",M121)),"Travel",
        ISNUMBER(SEARCH("Ministry",M121)),"Government Fees",
        ISNUMBER(SEARCH("Abdullah Abdulkarim",M121)),"Consulting",
        ISNUMBER(SEARCH("Abdullah Fahad",M121)),"Accounting",
        ISNUMBER(SEARCH("ISO Arabia",M121)),"Consulting",
        ISNUMBER(SEARCH("Rejected",L121)),"Refund",
        AF121="COGS","Inventory Purchase",
        AF121="Revenue","Revenue",
        AF121="OPEX","Other",
        AF121="ZATCA","Zakat",
        TRUE,"-"
    ),
    "-"
)</f>
        <v>Inventory Purchase</v>
      </c>
      <c r="AH121" s="25" t="str" cm="1">
        <f t="array" ref="AH121">_xlfn.IFNA(
    _xlfn.IFS(
        AF121="-","Low",
        AF121="Other","Low",
        TRUE,"Medium"
    ),
    "-"
)</f>
        <v>Medium</v>
      </c>
      <c r="AI121" s="25" t="str">
        <f t="shared" si="7"/>
        <v>-</v>
      </c>
    </row>
    <row r="122" spans="1:35" x14ac:dyDescent="0.25">
      <c r="A122" s="10">
        <v>6</v>
      </c>
      <c r="B122" s="10" t="s">
        <v>35</v>
      </c>
      <c r="C122" s="10" t="s">
        <v>36</v>
      </c>
      <c r="D122" s="10" t="s">
        <v>37</v>
      </c>
      <c r="E122" s="10" t="s">
        <v>38</v>
      </c>
      <c r="F122" s="11" t="s">
        <v>39</v>
      </c>
      <c r="G122" s="11" t="s">
        <v>40</v>
      </c>
      <c r="H122" s="12">
        <v>45067</v>
      </c>
      <c r="I122" s="20">
        <v>76122.460000000006</v>
      </c>
      <c r="J122" s="20">
        <v>15000</v>
      </c>
      <c r="K122" s="10" t="s">
        <v>41</v>
      </c>
      <c r="L122" s="9" t="s">
        <v>224</v>
      </c>
      <c r="M122" s="9" t="s">
        <v>309</v>
      </c>
      <c r="N122" s="9">
        <v>68205005000000</v>
      </c>
      <c r="O122" s="9" t="s">
        <v>226</v>
      </c>
      <c r="P122" s="15">
        <v>45067</v>
      </c>
      <c r="Q122" s="9" t="s">
        <v>313</v>
      </c>
      <c r="R122" s="16">
        <v>15000</v>
      </c>
      <c r="U122" s="9" t="s">
        <v>55</v>
      </c>
      <c r="V122" s="24" t="str" cm="1">
        <f t="array" ref="V122">_xlfn.IFNA(
    _xlfn.IFS(
        ISNUMBER(SEARCH("Fast Outgoing Transfer",L122)),"Transfer",
        ISNUMBER(SEARCH("Incoming Fast Transfer",L122)),"Transfer",
        ISNUMBER(SEARCH("Outgoing International Transfer",L122)),"Transfer",
        ISNUMBER(SEARCH("Bill Payment",L122)),"SADAD",
        ISNUMBER(SEARCH("Payroll",L122)),"Payroll",
        ISNUMBER(SEARCH("Cash Deposit",L122)),"Cash",
        ISNUMBER(SEARCH("Internal Transfer",L122)),"Transfer",
        ISNUMBER(SEARCH("Expatriate Services Payment",L122)),"SADAD",
        ISNUMBER(SEARCH("Rejected",L122)),"Transfer"
    ),
    "-"
)</f>
        <v>Transfer</v>
      </c>
      <c r="W122" s="25" t="str" cm="1">
        <f t="array" ref="W122">_xlfn.IFNA(
    _xlfn.IFS(
        AND(V122="Transfer",ISNUMBER(SEARCH("RIYAD BANK",L122))),"External FI",
        AND(V122="Transfer",ISNUMBER(SEARCH("Al Ahli",L122))),"External FI",
        AND(V122="Transfer",ISNUMBER(SEARCH("CIB via",L122))),"Local Transfer",
        AND(V122="Transfer",ISNUMBER(SEARCH("CIB)",L122))),"Local Transfer",
        AND(V122="Transfer",ISNUMBER(SEARCH("SMRT",L122))),"Local Transfer",
        AND(V122="Transfer",ISNUMBER(SEARCH("Al Murabba",L122))),"Local Transfer",
        AND(V122="Transfer",ISNUMBER(SEARCH("Internal Transfer",L122))),"Same FI",
        AND(V122="Transfer",ISNUMBER(SEARCH("Rejected",L122))),"Failed",
        V122="SADAD",
            _xlfn.IFS(
                ISNUMBER(SEARCH("Expatriate",L122)),"Expat Fees",
                TRUE,"Online Payment"
            ),
        V122="Payroll","Payroll",
        V122="Cash","Deposit",
        TRUE,"-"
    ),
    "-"
)</f>
        <v>Local Transfer</v>
      </c>
      <c r="X122" s="25" t="str" cm="1">
        <f t="array" ref="X122">_xlfn.IFNA(
    _xlfn.IFS(
        V122="-","Low",
        W122="-","Low",
        TRUE,"High"
    ),
    "-"
)</f>
        <v>High</v>
      </c>
      <c r="Y122" s="25" t="str">
        <f t="shared" si="4"/>
        <v>-</v>
      </c>
      <c r="Z122" s="25" t="str" cm="1">
        <f t="array" ref="Z122">_xlfn.IFNA(
    _xlfn.IFS(
        ISNUMBER(SEARCH("Abdul Latif Jameel",M122)),"Lender",
        ISNUMBER(SEARCH("Abdullah Abdulkarim Al Sudais",M122)),"Accounting",
        ISNUMBER(SEARCH("Abdullah Fahad for Accounting",M122)),"Accounting",
        ISNUMBER(SEARCH("Abdullah Rashid Shaikh",M122)),"Shareholder",
        ISNUMBER(SEARCH("Advanced Equipments",M122)),"Equipment Rental",
        ISNUMBER(SEARCH("Al Banuk Sana",M122)),"Telecom Company",
        ISNUMBER(SEARCH("Al Khaleefa Factory",M122)),"Manufacturer",
        ISNUMBER(SEARCH("Al Saadeh Trading",M122)),"Trading Company",
        ISNUMBER(SEARCH("Al Zaehaan",M122)),"Trading Company",
        ISNUMBER(SEARCH("Ali Abdullah K Al Darwish",M122)),"Airlines",
        ISNUMBER(SEARCH("Bupa Arabia",M122)),"Health Insurance",
        ISNUMBER(SEARCH("Dar Fahoosaat",M122)),"Consultant",
        ISNUMBER(SEARCH("General Authority of Zakat",M122)),"Tax Collection",
        ISNUMBER(SEARCH("Gulf Voyager",M122)),"Travel Agency",
        ISNUMBER(SEARCH("Hopeway Trading",M122)),"Trading Company",
        ISNUMBER(SEARCH("Interhealth Medical",M122)),"Medical Services",
        ISNUMBER(SEARCH("Ishaar",M122)),"Online Payment Service",
        ISNUMBER(SEARCH("ISO Arabia",M122)),"Certification",
        ISNUMBER(SEARCH("Khalid Saad Al Otaibi",M122)),"Trading Company",
        ISNUMBER(SEARCH("MERAS for Decoration",M122)),"Decor Company",
        ISNUMBER(SEARCH("Middle East Customs Clearance",M122)),"Customs",
        ISNUMBER(SEARCH("Ministry of Human Resources",M122)),"Government",
        ISNUMBER(SEARCH("My Business Services",M122)),"Service Provider",
        ISNUMBER(SEARCH("National Water Company",M122)),"Water Company",
        ISNUMBER(SEARCH("Rania Contracting",M122)),"Contracting",
        ISNUMBER(SEARCH("Rashid Ali Sheikh",M122)),"Shareholder",
        ISNUMBER(SEARCH("Sahab United Motors",M122)),"Car Show Room",
        ISNUMBER(SEARCH("Saud Mohammed Al Tamimi",M122)),"Shareholder",
        ISNUMBER(SEARCH("Saud Mohammed Tamimi",M122)),"Shareholder",
        ISNUMBER(SEARCH("Saudi Electric Company",M122)),"Electricity Company",
        ISNUMBER(SEARCH("Saudi Vetonit",M122)),"Building Materials",
        ISNUMBER(SEARCH("Shomoul Eng",M122)),"Safety",
        ISNUMBER(SEARCH("STC",M122)),"Telecom Company",
        ISNUMBER(SEARCH("The General Organization for Social Insurance",M122)),"Social Insurance Agency",
        ISNUMBER(SEARCH("TUV Rheinland",M122)),"Certification",
        ISNUMBER(SEARCH("Al Arabia Ceramic",M122)),"Building Materials",
        ISNUMBER(SEARCH("National Company for Building and Marketing",M122)),"Parent Company",
        ISNUMBER(SEARCH("Athraa Holding",M122)),"Holding Company",
        ISNUMBER(SEARCH("Al Rasan",M122)),"Contracting",
        ISNUMBER(SEARCH("Raboua Al Haid",M122)),"Trading Company",
        ISNUMBER(SEARCH("Al Jazeera Paint",M122)),"Manufacturer",
        ISNUMBER(SEARCH("Rania Works Contracting",M122)),"Contracting",
        ISNUMBER(SEARCH("Bandar Jarallah",M122)),"Trading Establishment",
        ISNUMBER(SEARCH("RS Infratec Saudi",M122)),"Same Company",
        ISNUMBER(SEARCH("Payroll",M122)),"Bank",
        ISNUMBER(SEARCH("Expatriate",M122)),"Government",
        ISNUMBER(SEARCH("Unknown Sender",M122)),"Unknown",
        TRUE,"Unknown"
    ),
    "-"
)</f>
        <v>Manufacturer</v>
      </c>
      <c r="AA122" s="25" t="str" cm="1">
        <f t="array" ref="AA122">_xlfn.IFNA(
    _xlfn.IFS(
        Z122="Lender","Financing",
        Z122="Accounting","Accounting",
        Z122="Shareholder","Individual",
        Z122="Equipment Rental","Equipment Rental",
        Z122="Telecom Company","Telecom",
        Z122="Manufacturer","Manufacturer",
        Z122="Trading Company","Trading And Transport",
        Z122="Trading Establishment","Trading",
        Z122="Airlines","Airlines",
        Z122="Health Insurance","Insurance",
        Z122="Consultant","Consultant",
        Z122="Tax Collection","Government",
        Z122="Travel Agency","Travel Agency",
        Z122="Medical Services","Medical Center",
        Z122="Online Payment Service","Payment Facilitator",
        Z122="Certification","Safety",
        Z122="Decor Company","Design",
        Z122="Customs","Customs",
        Z122="Government","Government",
        Z122="Service Provider","Service Provider",
        Z122="Water Company","Water Company",
        Z122="Contracting","Contracting",
        Z122="Car Show Room","Car Trader",
        Z122="Electricity Company","Electricity Company",
        Z122="Building Materials","Building Materials",
        Z122="Safety","Safety",
        Z122="Social Insurance Agency","Government Fund",
        Z122="Parent Company","Holding Company",
        Z122="Holding Company","Holding Company",
        Z122="Same Company","Construction",
        Z122="Bank","Bank",
        Z122="Unknown","Unknown",
        TRUE,"-"
    ),
    "-"
)</f>
        <v>Manufacturer</v>
      </c>
      <c r="AB122" s="25" t="str">
        <f t="shared" si="5"/>
        <v>-</v>
      </c>
      <c r="AC122" s="25" t="str" cm="1">
        <f t="array" ref="AC122">_xlfn.IFNA(
    _xlfn.IFS(
        Z122="Shareholder","Shareholder",
        Z122="Same Company","Same Company",
        Z122="Bank","Bank",
        Z122="Government","Government",
        Z122="Social Insurance Agency","Government",
        Z122="Parent Company","Customer",
        Z122="Lender","Lender",
        Z122="Unknown","Unknown",
        ISNUMBER(SEARCH("Abdullah Abdulkarim",M122)),"Service Provider",
        ISNUMBER(SEARCH("Abdullah Fahad",M122)),"Service Provider",
        ISNUMBER(SEARCH("Advanced Equipments",M122)),"Supplier",
        ISNUMBER(SEARCH("Al Banuk Sana",M122)),"Supplier",
        ISNUMBER(SEARCH("Al Khaleefa Factory",M122)),"Supplier",
        ISNUMBER(SEARCH("Al Saadeh Trading",M122)),"Supplier",
        ISNUMBER(SEARCH("Al Zaehaan",M122)),"Supplier",
        ISNUMBER(SEARCH("Ali Abdullah K Al Darwish",M122)),"Service Provider",
        ISNUMBER(SEARCH("Bupa Arabia",M122)),"Insurance Company",
        ISNUMBER(SEARCH("Dar Fahoosaat",M122)),"Service Provider",
        ISNUMBER(SEARCH("General Authority of Zakat",M122)),"Tax Authority",
        ISNUMBER(SEARCH("Gulf Voyager",M122)),"Service Provider",
        ISNUMBER(SEARCH("Hopeway Trading",M122)),"Supplier",
        ISNUMBER(SEARCH("Interhealth Medical",M122)),"Customer",
        ISNUMBER(SEARCH("Ishaar",M122)),"Service Provider",
        ISNUMBER(SEARCH("ISO Arabia",M122)),"Service Provider",
        ISNUMBER(SEARCH("Khalid Saad Al Otaibi",M122)),"Supplier",
        ISNUMBER(SEARCH("MERAS for Decoration",M122)),"Supplier",
        ISNUMBER(SEARCH("Middle East Customs Clearance",M122)),"Service Provider",
        ISNUMBER(SEARCH("Ministry of Human Resources",M122)),"Regulatory Agency",
        ISNUMBER(SEARCH("My Business Services",M122)),"Service Provider",
        ISNUMBER(SEARCH("National Water Company",M122)),"Utility Provider",
        ISNUMBER(SEARCH("Rania Contracting",M122)),"Supplier",
        ISNUMBER(SEARCH("Sahab United Motors",M122)),"Supplier",
        ISNUMBER(SEARCH("Saudi Electric Company",M122)),"Utility Provider",
        ISNUMBER(SEARCH("Saudi Vetonit",M122)),"Supplier",
        ISNUMBER(SEARCH("Shomoul Eng",M122)),"Service Provider",
        ISNUMBER(SEARCH("STC",M122)),"Utility Provider",
        ISNUMBER(SEARCH("The General Organization for Social Insurance",M122)),"Social Insurance Agency",
        ISNUMBER(SEARCH("TUV Rheinland",M122)),"Service Provider",
        ISNUMBER(SEARCH("Al Arabia Ceramic",M122)),"Supplier",
        ISNUMBER(SEARCH("National Company for Building",M122)),"Customer",
        ISNUMBER(SEARCH("Athraa Holding",M122)),"Customer",
        ISNUMBER(SEARCH("Al Rasan",M122)),"Supplier",
        ISNUMBER(SEARCH("Raboua Al Haid",M122)),"Customer",
        ISNUMBER(SEARCH("Al Jazeera Paint",M122)),"Supplier",
        ISNUMBER(SEARCH("Rania Works Contracting",M122)),"Supplier",
        ISNUMBER(SEARCH("Bandar Jarallah",M122)),"Supplier",
        TRUE,"Supplier"
    ),
    "-"
)</f>
        <v>Supplier</v>
      </c>
      <c r="AD122" s="25" t="str" cm="1">
        <f t="array" ref="AD122">_xlfn.IFNA(
    _xlfn.IFS(
        AC122="Same Company","High",
        AC122="Shareholder","High",
        AC122="Government","High",
        AC122="Bank","High",
        AC122="Lender","High",
        AC122="Unknown","Low",
        AC122="-","Low",
        TRUE,"Medium"
    ),
    "-"
)</f>
        <v>Medium</v>
      </c>
      <c r="AE122" s="25" t="str">
        <f t="shared" si="6"/>
        <v>-</v>
      </c>
      <c r="AF122" s="25" t="str" cm="1">
        <f t="array" ref="AF122">_xlfn.IFNA(
    _xlfn.IFS(
        K122="Credit",
            _xlfn.IFS(
                OR(ISNUMBER(SEARCH("Rejected",L122)),ISNUMBER(SEARCH("Returned",L122))),"Other Income",
                TRUE,"Revenue"
            ),
        K122="Debit",
            _xlfn.IFS(
                ISNUMBER(SEARCH("Payroll",L122)),"OPEX",
                ISNUMBER(SEARCH("Expatriate",L122)),"OPEX",
                ISNUMBER(SEARCH("Zakat",M122)),"ZATCA",
                ISNUMBER(SEARCH("General Organization for Social Insurance",M122)),"OPEX",
                ISNUMBER(SEARCH("Saudi Electric",M122)),"OPEX",
                ISNUMBER(SEARCH("STC",M122)),"OPEX",
                ISNUMBER(SEARCH("National Water",M122)),"OPEX",
                ISNUMBER(SEARCH("Bupa",M122)),"OPEX",
                ISNUMBER(SEARCH("Abdullah Abdulkarim",M122)),"OPEX",
                ISNUMBER(SEARCH("Abdullah Fahad",M122)),"OPEX",
                ISNUMBER(SEARCH("ISO Arabia",M122)),"OPEX",
                ISNUMBER(SEARCH("Gulf Voyager",M122)),"OPEX",
                ISNUMBER(SEARCH("Ministry",M122)),"OPEX",
                ISNUMBER(SEARCH("General Authority of Zakat",M122)),"ZATCA",
                ISNUMBER(SEARCH("Rejected",L122)),"Other Income",
                TRUE,"COGS"
            ),
        TRUE,"-"
    ),
    "-"
)</f>
        <v>COGS</v>
      </c>
      <c r="AG122" s="25" t="str" cm="1">
        <f t="array" ref="AG122">_xlfn.IFNA(
    _xlfn.IFS(
        ISNUMBER(SEARCH("Payroll",L122)),"Payroll",
        ISNUMBER(SEARCH("Expatriate",L122)),"Government Fees",
        ISNUMBER(SEARCH("Zakat",M122)),"Zakat",
        ISNUMBER(SEARCH("Social Insurance",M122)),"Social Insurance",
        ISNUMBER(SEARCH("Saudi Electric",M122)),"Electricity",
        ISNUMBER(SEARCH("STC",M122)),"Telecom",
        ISNUMBER(SEARCH("National Water",M122)),"Water",
        ISNUMBER(SEARCH("Bupa",M122)),"Insurance",
        ISNUMBER(SEARCH("Gulf Voyager",M122)),"Travel",
        ISNUMBER(SEARCH("Ministry",M122)),"Government Fees",
        ISNUMBER(SEARCH("Abdullah Abdulkarim",M122)),"Consulting",
        ISNUMBER(SEARCH("Abdullah Fahad",M122)),"Accounting",
        ISNUMBER(SEARCH("ISO Arabia",M122)),"Consulting",
        ISNUMBER(SEARCH("Rejected",L122)),"Refund",
        AF122="COGS","Inventory Purchase",
        AF122="Revenue","Revenue",
        AF122="OPEX","Other",
        AF122="ZATCA","Zakat",
        TRUE,"-"
    ),
    "-"
)</f>
        <v>Inventory Purchase</v>
      </c>
      <c r="AH122" s="25" t="str" cm="1">
        <f t="array" ref="AH122">_xlfn.IFNA(
    _xlfn.IFS(
        AF122="-","Low",
        AF122="Other","Low",
        TRUE,"Medium"
    ),
    "-"
)</f>
        <v>Medium</v>
      </c>
      <c r="AI122" s="25" t="str">
        <f t="shared" si="7"/>
        <v>-</v>
      </c>
    </row>
    <row r="123" spans="1:35" x14ac:dyDescent="0.25">
      <c r="A123" s="10">
        <v>6</v>
      </c>
      <c r="B123" s="10" t="s">
        <v>35</v>
      </c>
      <c r="C123" s="10" t="s">
        <v>36</v>
      </c>
      <c r="D123" s="10" t="s">
        <v>37</v>
      </c>
      <c r="E123" s="10" t="s">
        <v>38</v>
      </c>
      <c r="F123" s="11" t="s">
        <v>39</v>
      </c>
      <c r="G123" s="11" t="s">
        <v>40</v>
      </c>
      <c r="H123" s="12">
        <v>45073</v>
      </c>
      <c r="I123" s="20">
        <v>78116.87</v>
      </c>
      <c r="J123" s="20">
        <v>10000</v>
      </c>
      <c r="K123" s="10" t="s">
        <v>41</v>
      </c>
      <c r="L123" s="9" t="s">
        <v>224</v>
      </c>
      <c r="M123" s="9" t="s">
        <v>309</v>
      </c>
      <c r="N123" s="9">
        <v>68205005000000</v>
      </c>
      <c r="O123" s="9" t="s">
        <v>226</v>
      </c>
      <c r="P123" s="15">
        <v>45073</v>
      </c>
      <c r="Q123" s="9" t="s">
        <v>314</v>
      </c>
      <c r="R123" s="16">
        <v>10000</v>
      </c>
      <c r="U123" s="9" t="s">
        <v>55</v>
      </c>
      <c r="V123" s="24" t="str" cm="1">
        <f t="array" ref="V123">_xlfn.IFNA(
    _xlfn.IFS(
        ISNUMBER(SEARCH("Fast Outgoing Transfer",L123)),"Transfer",
        ISNUMBER(SEARCH("Incoming Fast Transfer",L123)),"Transfer",
        ISNUMBER(SEARCH("Outgoing International Transfer",L123)),"Transfer",
        ISNUMBER(SEARCH("Bill Payment",L123)),"SADAD",
        ISNUMBER(SEARCH("Payroll",L123)),"Payroll",
        ISNUMBER(SEARCH("Cash Deposit",L123)),"Cash",
        ISNUMBER(SEARCH("Internal Transfer",L123)),"Transfer",
        ISNUMBER(SEARCH("Expatriate Services Payment",L123)),"SADAD",
        ISNUMBER(SEARCH("Rejected",L123)),"Transfer"
    ),
    "-"
)</f>
        <v>Transfer</v>
      </c>
      <c r="W123" s="25" t="str" cm="1">
        <f t="array" ref="W123">_xlfn.IFNA(
    _xlfn.IFS(
        AND(V123="Transfer",ISNUMBER(SEARCH("RIYAD BANK",L123))),"External FI",
        AND(V123="Transfer",ISNUMBER(SEARCH("Al Ahli",L123))),"External FI",
        AND(V123="Transfer",ISNUMBER(SEARCH("CIB via",L123))),"Local Transfer",
        AND(V123="Transfer",ISNUMBER(SEARCH("CIB)",L123))),"Local Transfer",
        AND(V123="Transfer",ISNUMBER(SEARCH("SMRT",L123))),"Local Transfer",
        AND(V123="Transfer",ISNUMBER(SEARCH("Al Murabba",L123))),"Local Transfer",
        AND(V123="Transfer",ISNUMBER(SEARCH("Internal Transfer",L123))),"Same FI",
        AND(V123="Transfer",ISNUMBER(SEARCH("Rejected",L123))),"Failed",
        V123="SADAD",
            _xlfn.IFS(
                ISNUMBER(SEARCH("Expatriate",L123)),"Expat Fees",
                TRUE,"Online Payment"
            ),
        V123="Payroll","Payroll",
        V123="Cash","Deposit",
        TRUE,"-"
    ),
    "-"
)</f>
        <v>Local Transfer</v>
      </c>
      <c r="X123" s="25" t="str" cm="1">
        <f t="array" ref="X123">_xlfn.IFNA(
    _xlfn.IFS(
        V123="-","Low",
        W123="-","Low",
        TRUE,"High"
    ),
    "-"
)</f>
        <v>High</v>
      </c>
      <c r="Y123" s="25" t="str">
        <f t="shared" si="4"/>
        <v>-</v>
      </c>
      <c r="Z123" s="25" t="str" cm="1">
        <f t="array" ref="Z123">_xlfn.IFNA(
    _xlfn.IFS(
        ISNUMBER(SEARCH("Abdul Latif Jameel",M123)),"Lender",
        ISNUMBER(SEARCH("Abdullah Abdulkarim Al Sudais",M123)),"Accounting",
        ISNUMBER(SEARCH("Abdullah Fahad for Accounting",M123)),"Accounting",
        ISNUMBER(SEARCH("Abdullah Rashid Shaikh",M123)),"Shareholder",
        ISNUMBER(SEARCH("Advanced Equipments",M123)),"Equipment Rental",
        ISNUMBER(SEARCH("Al Banuk Sana",M123)),"Telecom Company",
        ISNUMBER(SEARCH("Al Khaleefa Factory",M123)),"Manufacturer",
        ISNUMBER(SEARCH("Al Saadeh Trading",M123)),"Trading Company",
        ISNUMBER(SEARCH("Al Zaehaan",M123)),"Trading Company",
        ISNUMBER(SEARCH("Ali Abdullah K Al Darwish",M123)),"Airlines",
        ISNUMBER(SEARCH("Bupa Arabia",M123)),"Health Insurance",
        ISNUMBER(SEARCH("Dar Fahoosaat",M123)),"Consultant",
        ISNUMBER(SEARCH("General Authority of Zakat",M123)),"Tax Collection",
        ISNUMBER(SEARCH("Gulf Voyager",M123)),"Travel Agency",
        ISNUMBER(SEARCH("Hopeway Trading",M123)),"Trading Company",
        ISNUMBER(SEARCH("Interhealth Medical",M123)),"Medical Services",
        ISNUMBER(SEARCH("Ishaar",M123)),"Online Payment Service",
        ISNUMBER(SEARCH("ISO Arabia",M123)),"Certification",
        ISNUMBER(SEARCH("Khalid Saad Al Otaibi",M123)),"Trading Company",
        ISNUMBER(SEARCH("MERAS for Decoration",M123)),"Decor Company",
        ISNUMBER(SEARCH("Middle East Customs Clearance",M123)),"Customs",
        ISNUMBER(SEARCH("Ministry of Human Resources",M123)),"Government",
        ISNUMBER(SEARCH("My Business Services",M123)),"Service Provider",
        ISNUMBER(SEARCH("National Water Company",M123)),"Water Company",
        ISNUMBER(SEARCH("Rania Contracting",M123)),"Contracting",
        ISNUMBER(SEARCH("Rashid Ali Sheikh",M123)),"Shareholder",
        ISNUMBER(SEARCH("Sahab United Motors",M123)),"Car Show Room",
        ISNUMBER(SEARCH("Saud Mohammed Al Tamimi",M123)),"Shareholder",
        ISNUMBER(SEARCH("Saud Mohammed Tamimi",M123)),"Shareholder",
        ISNUMBER(SEARCH("Saudi Electric Company",M123)),"Electricity Company",
        ISNUMBER(SEARCH("Saudi Vetonit",M123)),"Building Materials",
        ISNUMBER(SEARCH("Shomoul Eng",M123)),"Safety",
        ISNUMBER(SEARCH("STC",M123)),"Telecom Company",
        ISNUMBER(SEARCH("The General Organization for Social Insurance",M123)),"Social Insurance Agency",
        ISNUMBER(SEARCH("TUV Rheinland",M123)),"Certification",
        ISNUMBER(SEARCH("Al Arabia Ceramic",M123)),"Building Materials",
        ISNUMBER(SEARCH("National Company for Building and Marketing",M123)),"Parent Company",
        ISNUMBER(SEARCH("Athraa Holding",M123)),"Holding Company",
        ISNUMBER(SEARCH("Al Rasan",M123)),"Contracting",
        ISNUMBER(SEARCH("Raboua Al Haid",M123)),"Trading Company",
        ISNUMBER(SEARCH("Al Jazeera Paint",M123)),"Manufacturer",
        ISNUMBER(SEARCH("Rania Works Contracting",M123)),"Contracting",
        ISNUMBER(SEARCH("Bandar Jarallah",M123)),"Trading Establishment",
        ISNUMBER(SEARCH("RS Infratec Saudi",M123)),"Same Company",
        ISNUMBER(SEARCH("Payroll",M123)),"Bank",
        ISNUMBER(SEARCH("Expatriate",M123)),"Government",
        ISNUMBER(SEARCH("Unknown Sender",M123)),"Unknown",
        TRUE,"Unknown"
    ),
    "-"
)</f>
        <v>Manufacturer</v>
      </c>
      <c r="AA123" s="25" t="str" cm="1">
        <f t="array" ref="AA123">_xlfn.IFNA(
    _xlfn.IFS(
        Z123="Lender","Financing",
        Z123="Accounting","Accounting",
        Z123="Shareholder","Individual",
        Z123="Equipment Rental","Equipment Rental",
        Z123="Telecom Company","Telecom",
        Z123="Manufacturer","Manufacturer",
        Z123="Trading Company","Trading And Transport",
        Z123="Trading Establishment","Trading",
        Z123="Airlines","Airlines",
        Z123="Health Insurance","Insurance",
        Z123="Consultant","Consultant",
        Z123="Tax Collection","Government",
        Z123="Travel Agency","Travel Agency",
        Z123="Medical Services","Medical Center",
        Z123="Online Payment Service","Payment Facilitator",
        Z123="Certification","Safety",
        Z123="Decor Company","Design",
        Z123="Customs","Customs",
        Z123="Government","Government",
        Z123="Service Provider","Service Provider",
        Z123="Water Company","Water Company",
        Z123="Contracting","Contracting",
        Z123="Car Show Room","Car Trader",
        Z123="Electricity Company","Electricity Company",
        Z123="Building Materials","Building Materials",
        Z123="Safety","Safety",
        Z123="Social Insurance Agency","Government Fund",
        Z123="Parent Company","Holding Company",
        Z123="Holding Company","Holding Company",
        Z123="Same Company","Construction",
        Z123="Bank","Bank",
        Z123="Unknown","Unknown",
        TRUE,"-"
    ),
    "-"
)</f>
        <v>Manufacturer</v>
      </c>
      <c r="AB123" s="25" t="str">
        <f t="shared" si="5"/>
        <v>-</v>
      </c>
      <c r="AC123" s="25" t="str" cm="1">
        <f t="array" ref="AC123">_xlfn.IFNA(
    _xlfn.IFS(
        Z123="Shareholder","Shareholder",
        Z123="Same Company","Same Company",
        Z123="Bank","Bank",
        Z123="Government","Government",
        Z123="Social Insurance Agency","Government",
        Z123="Parent Company","Customer",
        Z123="Lender","Lender",
        Z123="Unknown","Unknown",
        ISNUMBER(SEARCH("Abdullah Abdulkarim",M123)),"Service Provider",
        ISNUMBER(SEARCH("Abdullah Fahad",M123)),"Service Provider",
        ISNUMBER(SEARCH("Advanced Equipments",M123)),"Supplier",
        ISNUMBER(SEARCH("Al Banuk Sana",M123)),"Supplier",
        ISNUMBER(SEARCH("Al Khaleefa Factory",M123)),"Supplier",
        ISNUMBER(SEARCH("Al Saadeh Trading",M123)),"Supplier",
        ISNUMBER(SEARCH("Al Zaehaan",M123)),"Supplier",
        ISNUMBER(SEARCH("Ali Abdullah K Al Darwish",M123)),"Service Provider",
        ISNUMBER(SEARCH("Bupa Arabia",M123)),"Insurance Company",
        ISNUMBER(SEARCH("Dar Fahoosaat",M123)),"Service Provider",
        ISNUMBER(SEARCH("General Authority of Zakat",M123)),"Tax Authority",
        ISNUMBER(SEARCH("Gulf Voyager",M123)),"Service Provider",
        ISNUMBER(SEARCH("Hopeway Trading",M123)),"Supplier",
        ISNUMBER(SEARCH("Interhealth Medical",M123)),"Customer",
        ISNUMBER(SEARCH("Ishaar",M123)),"Service Provider",
        ISNUMBER(SEARCH("ISO Arabia",M123)),"Service Provider",
        ISNUMBER(SEARCH("Khalid Saad Al Otaibi",M123)),"Supplier",
        ISNUMBER(SEARCH("MERAS for Decoration",M123)),"Supplier",
        ISNUMBER(SEARCH("Middle East Customs Clearance",M123)),"Service Provider",
        ISNUMBER(SEARCH("Ministry of Human Resources",M123)),"Regulatory Agency",
        ISNUMBER(SEARCH("My Business Services",M123)),"Service Provider",
        ISNUMBER(SEARCH("National Water Company",M123)),"Utility Provider",
        ISNUMBER(SEARCH("Rania Contracting",M123)),"Supplier",
        ISNUMBER(SEARCH("Sahab United Motors",M123)),"Supplier",
        ISNUMBER(SEARCH("Saudi Electric Company",M123)),"Utility Provider",
        ISNUMBER(SEARCH("Saudi Vetonit",M123)),"Supplier",
        ISNUMBER(SEARCH("Shomoul Eng",M123)),"Service Provider",
        ISNUMBER(SEARCH("STC",M123)),"Utility Provider",
        ISNUMBER(SEARCH("The General Organization for Social Insurance",M123)),"Social Insurance Agency",
        ISNUMBER(SEARCH("TUV Rheinland",M123)),"Service Provider",
        ISNUMBER(SEARCH("Al Arabia Ceramic",M123)),"Supplier",
        ISNUMBER(SEARCH("National Company for Building",M123)),"Customer",
        ISNUMBER(SEARCH("Athraa Holding",M123)),"Customer",
        ISNUMBER(SEARCH("Al Rasan",M123)),"Supplier",
        ISNUMBER(SEARCH("Raboua Al Haid",M123)),"Customer",
        ISNUMBER(SEARCH("Al Jazeera Paint",M123)),"Supplier",
        ISNUMBER(SEARCH("Rania Works Contracting",M123)),"Supplier",
        ISNUMBER(SEARCH("Bandar Jarallah",M123)),"Supplier",
        TRUE,"Supplier"
    ),
    "-"
)</f>
        <v>Supplier</v>
      </c>
      <c r="AD123" s="25" t="str" cm="1">
        <f t="array" ref="AD123">_xlfn.IFNA(
    _xlfn.IFS(
        AC123="Same Company","High",
        AC123="Shareholder","High",
        AC123="Government","High",
        AC123="Bank","High",
        AC123="Lender","High",
        AC123="Unknown","Low",
        AC123="-","Low",
        TRUE,"Medium"
    ),
    "-"
)</f>
        <v>Medium</v>
      </c>
      <c r="AE123" s="25" t="str">
        <f t="shared" si="6"/>
        <v>-</v>
      </c>
      <c r="AF123" s="25" t="str" cm="1">
        <f t="array" ref="AF123">_xlfn.IFNA(
    _xlfn.IFS(
        K123="Credit",
            _xlfn.IFS(
                OR(ISNUMBER(SEARCH("Rejected",L123)),ISNUMBER(SEARCH("Returned",L123))),"Other Income",
                TRUE,"Revenue"
            ),
        K123="Debit",
            _xlfn.IFS(
                ISNUMBER(SEARCH("Payroll",L123)),"OPEX",
                ISNUMBER(SEARCH("Expatriate",L123)),"OPEX",
                ISNUMBER(SEARCH("Zakat",M123)),"ZATCA",
                ISNUMBER(SEARCH("General Organization for Social Insurance",M123)),"OPEX",
                ISNUMBER(SEARCH("Saudi Electric",M123)),"OPEX",
                ISNUMBER(SEARCH("STC",M123)),"OPEX",
                ISNUMBER(SEARCH("National Water",M123)),"OPEX",
                ISNUMBER(SEARCH("Bupa",M123)),"OPEX",
                ISNUMBER(SEARCH("Abdullah Abdulkarim",M123)),"OPEX",
                ISNUMBER(SEARCH("Abdullah Fahad",M123)),"OPEX",
                ISNUMBER(SEARCH("ISO Arabia",M123)),"OPEX",
                ISNUMBER(SEARCH("Gulf Voyager",M123)),"OPEX",
                ISNUMBER(SEARCH("Ministry",M123)),"OPEX",
                ISNUMBER(SEARCH("General Authority of Zakat",M123)),"ZATCA",
                ISNUMBER(SEARCH("Rejected",L123)),"Other Income",
                TRUE,"COGS"
            ),
        TRUE,"-"
    ),
    "-"
)</f>
        <v>COGS</v>
      </c>
      <c r="AG123" s="25" t="str" cm="1">
        <f t="array" ref="AG123">_xlfn.IFNA(
    _xlfn.IFS(
        ISNUMBER(SEARCH("Payroll",L123)),"Payroll",
        ISNUMBER(SEARCH("Expatriate",L123)),"Government Fees",
        ISNUMBER(SEARCH("Zakat",M123)),"Zakat",
        ISNUMBER(SEARCH("Social Insurance",M123)),"Social Insurance",
        ISNUMBER(SEARCH("Saudi Electric",M123)),"Electricity",
        ISNUMBER(SEARCH("STC",M123)),"Telecom",
        ISNUMBER(SEARCH("National Water",M123)),"Water",
        ISNUMBER(SEARCH("Bupa",M123)),"Insurance",
        ISNUMBER(SEARCH("Gulf Voyager",M123)),"Travel",
        ISNUMBER(SEARCH("Ministry",M123)),"Government Fees",
        ISNUMBER(SEARCH("Abdullah Abdulkarim",M123)),"Consulting",
        ISNUMBER(SEARCH("Abdullah Fahad",M123)),"Accounting",
        ISNUMBER(SEARCH("ISO Arabia",M123)),"Consulting",
        ISNUMBER(SEARCH("Rejected",L123)),"Refund",
        AF123="COGS","Inventory Purchase",
        AF123="Revenue","Revenue",
        AF123="OPEX","Other",
        AF123="ZATCA","Zakat",
        TRUE,"-"
    ),
    "-"
)</f>
        <v>Inventory Purchase</v>
      </c>
      <c r="AH123" s="25" t="str" cm="1">
        <f t="array" ref="AH123">_xlfn.IFNA(
    _xlfn.IFS(
        AF123="-","Low",
        AF123="Other","Low",
        TRUE,"Medium"
    ),
    "-"
)</f>
        <v>Medium</v>
      </c>
      <c r="AI123" s="25" t="str">
        <f t="shared" si="7"/>
        <v>-</v>
      </c>
    </row>
    <row r="124" spans="1:35" x14ac:dyDescent="0.25">
      <c r="A124" s="10">
        <v>6</v>
      </c>
      <c r="B124" s="10" t="s">
        <v>35</v>
      </c>
      <c r="C124" s="10" t="s">
        <v>36</v>
      </c>
      <c r="D124" s="10" t="s">
        <v>37</v>
      </c>
      <c r="E124" s="10" t="s">
        <v>38</v>
      </c>
      <c r="F124" s="11" t="s">
        <v>39</v>
      </c>
      <c r="G124" s="11" t="s">
        <v>40</v>
      </c>
      <c r="H124" s="12">
        <v>45077</v>
      </c>
      <c r="I124" s="20">
        <v>58661.49</v>
      </c>
      <c r="J124" s="20">
        <v>20000</v>
      </c>
      <c r="K124" s="10" t="s">
        <v>41</v>
      </c>
      <c r="L124" s="9" t="s">
        <v>224</v>
      </c>
      <c r="M124" s="9" t="s">
        <v>309</v>
      </c>
      <c r="N124" s="9">
        <v>68205005000000</v>
      </c>
      <c r="O124" s="9" t="s">
        <v>226</v>
      </c>
      <c r="P124" s="15">
        <v>45077</v>
      </c>
      <c r="Q124" s="9" t="s">
        <v>315</v>
      </c>
      <c r="R124" s="16">
        <v>20000</v>
      </c>
      <c r="U124" s="9" t="s">
        <v>55</v>
      </c>
      <c r="V124" s="24" t="str" cm="1">
        <f t="array" ref="V124">_xlfn.IFNA(
    _xlfn.IFS(
        ISNUMBER(SEARCH("Fast Outgoing Transfer",L124)),"Transfer",
        ISNUMBER(SEARCH("Incoming Fast Transfer",L124)),"Transfer",
        ISNUMBER(SEARCH("Outgoing International Transfer",L124)),"Transfer",
        ISNUMBER(SEARCH("Bill Payment",L124)),"SADAD",
        ISNUMBER(SEARCH("Payroll",L124)),"Payroll",
        ISNUMBER(SEARCH("Cash Deposit",L124)),"Cash",
        ISNUMBER(SEARCH("Internal Transfer",L124)),"Transfer",
        ISNUMBER(SEARCH("Expatriate Services Payment",L124)),"SADAD",
        ISNUMBER(SEARCH("Rejected",L124)),"Transfer"
    ),
    "-"
)</f>
        <v>Transfer</v>
      </c>
      <c r="W124" s="25" t="str" cm="1">
        <f t="array" ref="W124">_xlfn.IFNA(
    _xlfn.IFS(
        AND(V124="Transfer",ISNUMBER(SEARCH("RIYAD BANK",L124))),"External FI",
        AND(V124="Transfer",ISNUMBER(SEARCH("Al Ahli",L124))),"External FI",
        AND(V124="Transfer",ISNUMBER(SEARCH("CIB via",L124))),"Local Transfer",
        AND(V124="Transfer",ISNUMBER(SEARCH("CIB)",L124))),"Local Transfer",
        AND(V124="Transfer",ISNUMBER(SEARCH("SMRT",L124))),"Local Transfer",
        AND(V124="Transfer",ISNUMBER(SEARCH("Al Murabba",L124))),"Local Transfer",
        AND(V124="Transfer",ISNUMBER(SEARCH("Internal Transfer",L124))),"Same FI",
        AND(V124="Transfer",ISNUMBER(SEARCH("Rejected",L124))),"Failed",
        V124="SADAD",
            _xlfn.IFS(
                ISNUMBER(SEARCH("Expatriate",L124)),"Expat Fees",
                TRUE,"Online Payment"
            ),
        V124="Payroll","Payroll",
        V124="Cash","Deposit",
        TRUE,"-"
    ),
    "-"
)</f>
        <v>Local Transfer</v>
      </c>
      <c r="X124" s="25" t="str" cm="1">
        <f t="array" ref="X124">_xlfn.IFNA(
    _xlfn.IFS(
        V124="-","Low",
        W124="-","Low",
        TRUE,"High"
    ),
    "-"
)</f>
        <v>High</v>
      </c>
      <c r="Y124" s="25" t="str">
        <f t="shared" si="4"/>
        <v>-</v>
      </c>
      <c r="Z124" s="25" t="str" cm="1">
        <f t="array" ref="Z124">_xlfn.IFNA(
    _xlfn.IFS(
        ISNUMBER(SEARCH("Abdul Latif Jameel",M124)),"Lender",
        ISNUMBER(SEARCH("Abdullah Abdulkarim Al Sudais",M124)),"Accounting",
        ISNUMBER(SEARCH("Abdullah Fahad for Accounting",M124)),"Accounting",
        ISNUMBER(SEARCH("Abdullah Rashid Shaikh",M124)),"Shareholder",
        ISNUMBER(SEARCH("Advanced Equipments",M124)),"Equipment Rental",
        ISNUMBER(SEARCH("Al Banuk Sana",M124)),"Telecom Company",
        ISNUMBER(SEARCH("Al Khaleefa Factory",M124)),"Manufacturer",
        ISNUMBER(SEARCH("Al Saadeh Trading",M124)),"Trading Company",
        ISNUMBER(SEARCH("Al Zaehaan",M124)),"Trading Company",
        ISNUMBER(SEARCH("Ali Abdullah K Al Darwish",M124)),"Airlines",
        ISNUMBER(SEARCH("Bupa Arabia",M124)),"Health Insurance",
        ISNUMBER(SEARCH("Dar Fahoosaat",M124)),"Consultant",
        ISNUMBER(SEARCH("General Authority of Zakat",M124)),"Tax Collection",
        ISNUMBER(SEARCH("Gulf Voyager",M124)),"Travel Agency",
        ISNUMBER(SEARCH("Hopeway Trading",M124)),"Trading Company",
        ISNUMBER(SEARCH("Interhealth Medical",M124)),"Medical Services",
        ISNUMBER(SEARCH("Ishaar",M124)),"Online Payment Service",
        ISNUMBER(SEARCH("ISO Arabia",M124)),"Certification",
        ISNUMBER(SEARCH("Khalid Saad Al Otaibi",M124)),"Trading Company",
        ISNUMBER(SEARCH("MERAS for Decoration",M124)),"Decor Company",
        ISNUMBER(SEARCH("Middle East Customs Clearance",M124)),"Customs",
        ISNUMBER(SEARCH("Ministry of Human Resources",M124)),"Government",
        ISNUMBER(SEARCH("My Business Services",M124)),"Service Provider",
        ISNUMBER(SEARCH("National Water Company",M124)),"Water Company",
        ISNUMBER(SEARCH("Rania Contracting",M124)),"Contracting",
        ISNUMBER(SEARCH("Rashid Ali Sheikh",M124)),"Shareholder",
        ISNUMBER(SEARCH("Sahab United Motors",M124)),"Car Show Room",
        ISNUMBER(SEARCH("Saud Mohammed Al Tamimi",M124)),"Shareholder",
        ISNUMBER(SEARCH("Saud Mohammed Tamimi",M124)),"Shareholder",
        ISNUMBER(SEARCH("Saudi Electric Company",M124)),"Electricity Company",
        ISNUMBER(SEARCH("Saudi Vetonit",M124)),"Building Materials",
        ISNUMBER(SEARCH("Shomoul Eng",M124)),"Safety",
        ISNUMBER(SEARCH("STC",M124)),"Telecom Company",
        ISNUMBER(SEARCH("The General Organization for Social Insurance",M124)),"Social Insurance Agency",
        ISNUMBER(SEARCH("TUV Rheinland",M124)),"Certification",
        ISNUMBER(SEARCH("Al Arabia Ceramic",M124)),"Building Materials",
        ISNUMBER(SEARCH("National Company for Building and Marketing",M124)),"Parent Company",
        ISNUMBER(SEARCH("Athraa Holding",M124)),"Holding Company",
        ISNUMBER(SEARCH("Al Rasan",M124)),"Contracting",
        ISNUMBER(SEARCH("Raboua Al Haid",M124)),"Trading Company",
        ISNUMBER(SEARCH("Al Jazeera Paint",M124)),"Manufacturer",
        ISNUMBER(SEARCH("Rania Works Contracting",M124)),"Contracting",
        ISNUMBER(SEARCH("Bandar Jarallah",M124)),"Trading Establishment",
        ISNUMBER(SEARCH("RS Infratec Saudi",M124)),"Same Company",
        ISNUMBER(SEARCH("Payroll",M124)),"Bank",
        ISNUMBER(SEARCH("Expatriate",M124)),"Government",
        ISNUMBER(SEARCH("Unknown Sender",M124)),"Unknown",
        TRUE,"Unknown"
    ),
    "-"
)</f>
        <v>Manufacturer</v>
      </c>
      <c r="AA124" s="25" t="str" cm="1">
        <f t="array" ref="AA124">_xlfn.IFNA(
    _xlfn.IFS(
        Z124="Lender","Financing",
        Z124="Accounting","Accounting",
        Z124="Shareholder","Individual",
        Z124="Equipment Rental","Equipment Rental",
        Z124="Telecom Company","Telecom",
        Z124="Manufacturer","Manufacturer",
        Z124="Trading Company","Trading And Transport",
        Z124="Trading Establishment","Trading",
        Z124="Airlines","Airlines",
        Z124="Health Insurance","Insurance",
        Z124="Consultant","Consultant",
        Z124="Tax Collection","Government",
        Z124="Travel Agency","Travel Agency",
        Z124="Medical Services","Medical Center",
        Z124="Online Payment Service","Payment Facilitator",
        Z124="Certification","Safety",
        Z124="Decor Company","Design",
        Z124="Customs","Customs",
        Z124="Government","Government",
        Z124="Service Provider","Service Provider",
        Z124="Water Company","Water Company",
        Z124="Contracting","Contracting",
        Z124="Car Show Room","Car Trader",
        Z124="Electricity Company","Electricity Company",
        Z124="Building Materials","Building Materials",
        Z124="Safety","Safety",
        Z124="Social Insurance Agency","Government Fund",
        Z124="Parent Company","Holding Company",
        Z124="Holding Company","Holding Company",
        Z124="Same Company","Construction",
        Z124="Bank","Bank",
        Z124="Unknown","Unknown",
        TRUE,"-"
    ),
    "-"
)</f>
        <v>Manufacturer</v>
      </c>
      <c r="AB124" s="25" t="str">
        <f t="shared" si="5"/>
        <v>-</v>
      </c>
      <c r="AC124" s="25" t="str" cm="1">
        <f t="array" ref="AC124">_xlfn.IFNA(
    _xlfn.IFS(
        Z124="Shareholder","Shareholder",
        Z124="Same Company","Same Company",
        Z124="Bank","Bank",
        Z124="Government","Government",
        Z124="Social Insurance Agency","Government",
        Z124="Parent Company","Customer",
        Z124="Lender","Lender",
        Z124="Unknown","Unknown",
        ISNUMBER(SEARCH("Abdullah Abdulkarim",M124)),"Service Provider",
        ISNUMBER(SEARCH("Abdullah Fahad",M124)),"Service Provider",
        ISNUMBER(SEARCH("Advanced Equipments",M124)),"Supplier",
        ISNUMBER(SEARCH("Al Banuk Sana",M124)),"Supplier",
        ISNUMBER(SEARCH("Al Khaleefa Factory",M124)),"Supplier",
        ISNUMBER(SEARCH("Al Saadeh Trading",M124)),"Supplier",
        ISNUMBER(SEARCH("Al Zaehaan",M124)),"Supplier",
        ISNUMBER(SEARCH("Ali Abdullah K Al Darwish",M124)),"Service Provider",
        ISNUMBER(SEARCH("Bupa Arabia",M124)),"Insurance Company",
        ISNUMBER(SEARCH("Dar Fahoosaat",M124)),"Service Provider",
        ISNUMBER(SEARCH("General Authority of Zakat",M124)),"Tax Authority",
        ISNUMBER(SEARCH("Gulf Voyager",M124)),"Service Provider",
        ISNUMBER(SEARCH("Hopeway Trading",M124)),"Supplier",
        ISNUMBER(SEARCH("Interhealth Medical",M124)),"Customer",
        ISNUMBER(SEARCH("Ishaar",M124)),"Service Provider",
        ISNUMBER(SEARCH("ISO Arabia",M124)),"Service Provider",
        ISNUMBER(SEARCH("Khalid Saad Al Otaibi",M124)),"Supplier",
        ISNUMBER(SEARCH("MERAS for Decoration",M124)),"Supplier",
        ISNUMBER(SEARCH("Middle East Customs Clearance",M124)),"Service Provider",
        ISNUMBER(SEARCH("Ministry of Human Resources",M124)),"Regulatory Agency",
        ISNUMBER(SEARCH("My Business Services",M124)),"Service Provider",
        ISNUMBER(SEARCH("National Water Company",M124)),"Utility Provider",
        ISNUMBER(SEARCH("Rania Contracting",M124)),"Supplier",
        ISNUMBER(SEARCH("Sahab United Motors",M124)),"Supplier",
        ISNUMBER(SEARCH("Saudi Electric Company",M124)),"Utility Provider",
        ISNUMBER(SEARCH("Saudi Vetonit",M124)),"Supplier",
        ISNUMBER(SEARCH("Shomoul Eng",M124)),"Service Provider",
        ISNUMBER(SEARCH("STC",M124)),"Utility Provider",
        ISNUMBER(SEARCH("The General Organization for Social Insurance",M124)),"Social Insurance Agency",
        ISNUMBER(SEARCH("TUV Rheinland",M124)),"Service Provider",
        ISNUMBER(SEARCH("Al Arabia Ceramic",M124)),"Supplier",
        ISNUMBER(SEARCH("National Company for Building",M124)),"Customer",
        ISNUMBER(SEARCH("Athraa Holding",M124)),"Customer",
        ISNUMBER(SEARCH("Al Rasan",M124)),"Supplier",
        ISNUMBER(SEARCH("Raboua Al Haid",M124)),"Customer",
        ISNUMBER(SEARCH("Al Jazeera Paint",M124)),"Supplier",
        ISNUMBER(SEARCH("Rania Works Contracting",M124)),"Supplier",
        ISNUMBER(SEARCH("Bandar Jarallah",M124)),"Supplier",
        TRUE,"Supplier"
    ),
    "-"
)</f>
        <v>Supplier</v>
      </c>
      <c r="AD124" s="25" t="str" cm="1">
        <f t="array" ref="AD124">_xlfn.IFNA(
    _xlfn.IFS(
        AC124="Same Company","High",
        AC124="Shareholder","High",
        AC124="Government","High",
        AC124="Bank","High",
        AC124="Lender","High",
        AC124="Unknown","Low",
        AC124="-","Low",
        TRUE,"Medium"
    ),
    "-"
)</f>
        <v>Medium</v>
      </c>
      <c r="AE124" s="25" t="str">
        <f t="shared" si="6"/>
        <v>-</v>
      </c>
      <c r="AF124" s="25" t="str" cm="1">
        <f t="array" ref="AF124">_xlfn.IFNA(
    _xlfn.IFS(
        K124="Credit",
            _xlfn.IFS(
                OR(ISNUMBER(SEARCH("Rejected",L124)),ISNUMBER(SEARCH("Returned",L124))),"Other Income",
                TRUE,"Revenue"
            ),
        K124="Debit",
            _xlfn.IFS(
                ISNUMBER(SEARCH("Payroll",L124)),"OPEX",
                ISNUMBER(SEARCH("Expatriate",L124)),"OPEX",
                ISNUMBER(SEARCH("Zakat",M124)),"ZATCA",
                ISNUMBER(SEARCH("General Organization for Social Insurance",M124)),"OPEX",
                ISNUMBER(SEARCH("Saudi Electric",M124)),"OPEX",
                ISNUMBER(SEARCH("STC",M124)),"OPEX",
                ISNUMBER(SEARCH("National Water",M124)),"OPEX",
                ISNUMBER(SEARCH("Bupa",M124)),"OPEX",
                ISNUMBER(SEARCH("Abdullah Abdulkarim",M124)),"OPEX",
                ISNUMBER(SEARCH("Abdullah Fahad",M124)),"OPEX",
                ISNUMBER(SEARCH("ISO Arabia",M124)),"OPEX",
                ISNUMBER(SEARCH("Gulf Voyager",M124)),"OPEX",
                ISNUMBER(SEARCH("Ministry",M124)),"OPEX",
                ISNUMBER(SEARCH("General Authority of Zakat",M124)),"ZATCA",
                ISNUMBER(SEARCH("Rejected",L124)),"Other Income",
                TRUE,"COGS"
            ),
        TRUE,"-"
    ),
    "-"
)</f>
        <v>COGS</v>
      </c>
      <c r="AG124" s="25" t="str" cm="1">
        <f t="array" ref="AG124">_xlfn.IFNA(
    _xlfn.IFS(
        ISNUMBER(SEARCH("Payroll",L124)),"Payroll",
        ISNUMBER(SEARCH("Expatriate",L124)),"Government Fees",
        ISNUMBER(SEARCH("Zakat",M124)),"Zakat",
        ISNUMBER(SEARCH("Social Insurance",M124)),"Social Insurance",
        ISNUMBER(SEARCH("Saudi Electric",M124)),"Electricity",
        ISNUMBER(SEARCH("STC",M124)),"Telecom",
        ISNUMBER(SEARCH("National Water",M124)),"Water",
        ISNUMBER(SEARCH("Bupa",M124)),"Insurance",
        ISNUMBER(SEARCH("Gulf Voyager",M124)),"Travel",
        ISNUMBER(SEARCH("Ministry",M124)),"Government Fees",
        ISNUMBER(SEARCH("Abdullah Abdulkarim",M124)),"Consulting",
        ISNUMBER(SEARCH("Abdullah Fahad",M124)),"Accounting",
        ISNUMBER(SEARCH("ISO Arabia",M124)),"Consulting",
        ISNUMBER(SEARCH("Rejected",L124)),"Refund",
        AF124="COGS","Inventory Purchase",
        AF124="Revenue","Revenue",
        AF124="OPEX","Other",
        AF124="ZATCA","Zakat",
        TRUE,"-"
    ),
    "-"
)</f>
        <v>Inventory Purchase</v>
      </c>
      <c r="AH124" s="25" t="str" cm="1">
        <f t="array" ref="AH124">_xlfn.IFNA(
    _xlfn.IFS(
        AF124="-","Low",
        AF124="Other","Low",
        TRUE,"Medium"
    ),
    "-"
)</f>
        <v>Medium</v>
      </c>
      <c r="AI124" s="25" t="str">
        <f t="shared" si="7"/>
        <v>-</v>
      </c>
    </row>
    <row r="125" spans="1:35" x14ac:dyDescent="0.25">
      <c r="A125" s="10">
        <v>8</v>
      </c>
      <c r="B125" s="10" t="s">
        <v>35</v>
      </c>
      <c r="C125" s="10" t="s">
        <v>36</v>
      </c>
      <c r="D125" s="10" t="s">
        <v>37</v>
      </c>
      <c r="E125" s="10" t="s">
        <v>38</v>
      </c>
      <c r="F125" s="11" t="s">
        <v>39</v>
      </c>
      <c r="G125" s="11" t="s">
        <v>40</v>
      </c>
      <c r="H125" s="12">
        <v>44942</v>
      </c>
      <c r="I125" s="20">
        <v>87365.91</v>
      </c>
      <c r="J125" s="20">
        <v>23008.05</v>
      </c>
      <c r="K125" s="10" t="s">
        <v>41</v>
      </c>
      <c r="L125" s="9" t="s">
        <v>50</v>
      </c>
      <c r="M125" s="9" t="s">
        <v>196</v>
      </c>
      <c r="N125" s="9" t="s">
        <v>197</v>
      </c>
      <c r="O125" s="9" t="s">
        <v>53</v>
      </c>
      <c r="P125" s="15">
        <v>44942</v>
      </c>
      <c r="Q125" s="9" t="s">
        <v>198</v>
      </c>
      <c r="R125" s="16">
        <v>23000</v>
      </c>
      <c r="S125" s="18">
        <v>7</v>
      </c>
      <c r="T125" s="18">
        <v>1.05</v>
      </c>
      <c r="U125" s="9" t="s">
        <v>55</v>
      </c>
      <c r="V125" s="24" t="str" cm="1">
        <f t="array" ref="V125">_xlfn.IFNA(
    _xlfn.IFS(
        ISNUMBER(SEARCH("Fast Outgoing Transfer",L125)),"Transfer",
        ISNUMBER(SEARCH("Incoming Fast Transfer",L125)),"Transfer",
        ISNUMBER(SEARCH("Outgoing International Transfer",L125)),"Transfer",
        ISNUMBER(SEARCH("Bill Payment",L125)),"SADAD",
        ISNUMBER(SEARCH("Payroll",L125)),"Payroll",
        ISNUMBER(SEARCH("Cash Deposit",L125)),"Cash",
        ISNUMBER(SEARCH("Internal Transfer",L125)),"Transfer",
        ISNUMBER(SEARCH("Expatriate Services Payment",L125)),"SADAD",
        ISNUMBER(SEARCH("Rejected",L125)),"Transfer"
    ),
    "-"
)</f>
        <v>Transfer</v>
      </c>
      <c r="W125" s="25" t="str" cm="1">
        <f t="array" ref="W125">_xlfn.IFNA(
    _xlfn.IFS(
        AND(V125="Transfer",ISNUMBER(SEARCH("RIYAD BANK",L125))),"External FI",
        AND(V125="Transfer",ISNUMBER(SEARCH("Al Ahli",L125))),"External FI",
        AND(V125="Transfer",ISNUMBER(SEARCH("CIB via",L125))),"Local Transfer",
        AND(V125="Transfer",ISNUMBER(SEARCH("CIB)",L125))),"Local Transfer",
        AND(V125="Transfer",ISNUMBER(SEARCH("SMRT",L125))),"Local Transfer",
        AND(V125="Transfer",ISNUMBER(SEARCH("Al Murabba",L125))),"Local Transfer",
        AND(V125="Transfer",ISNUMBER(SEARCH("Internal Transfer",L125))),"Same FI",
        AND(V125="Transfer",ISNUMBER(SEARCH("Rejected",L125))),"Failed",
        V125="SADAD",
            _xlfn.IFS(
                ISNUMBER(SEARCH("Expatriate",L125)),"Expat Fees",
                TRUE,"Online Payment"
            ),
        V125="Payroll","Payroll",
        V125="Cash","Deposit",
        TRUE,"-"
    ),
    "-"
)</f>
        <v>Local Transfer</v>
      </c>
      <c r="X125" s="25" t="str" cm="1">
        <f t="array" ref="X125">_xlfn.IFNA(
    _xlfn.IFS(
        V125="-","Low",
        W125="-","Low",
        TRUE,"High"
    ),
    "-"
)</f>
        <v>High</v>
      </c>
      <c r="Y125" s="25" t="str">
        <f t="shared" si="4"/>
        <v>-</v>
      </c>
      <c r="Z125" s="25" t="str" cm="1">
        <f t="array" ref="Z125">_xlfn.IFNA(
    _xlfn.IFS(
        ISNUMBER(SEARCH("Abdul Latif Jameel",M125)),"Lender",
        ISNUMBER(SEARCH("Abdullah Abdulkarim Al Sudais",M125)),"Accounting",
        ISNUMBER(SEARCH("Abdullah Fahad for Accounting",M125)),"Accounting",
        ISNUMBER(SEARCH("Abdullah Rashid Shaikh",M125)),"Shareholder",
        ISNUMBER(SEARCH("Advanced Equipments",M125)),"Equipment Rental",
        ISNUMBER(SEARCH("Al Banuk Sana",M125)),"Telecom Company",
        ISNUMBER(SEARCH("Al Khaleefa Factory",M125)),"Manufacturer",
        ISNUMBER(SEARCH("Al Saadeh Trading",M125)),"Trading Company",
        ISNUMBER(SEARCH("Al Zaehaan",M125)),"Trading Company",
        ISNUMBER(SEARCH("Ali Abdullah K Al Darwish",M125)),"Airlines",
        ISNUMBER(SEARCH("Bupa Arabia",M125)),"Health Insurance",
        ISNUMBER(SEARCH("Dar Fahoosaat",M125)),"Consultant",
        ISNUMBER(SEARCH("General Authority of Zakat",M125)),"Tax Collection",
        ISNUMBER(SEARCH("Gulf Voyager",M125)),"Travel Agency",
        ISNUMBER(SEARCH("Hopeway Trading",M125)),"Trading Company",
        ISNUMBER(SEARCH("Interhealth Medical",M125)),"Medical Services",
        ISNUMBER(SEARCH("Ishaar",M125)),"Online Payment Service",
        ISNUMBER(SEARCH("ISO Arabia",M125)),"Certification",
        ISNUMBER(SEARCH("Khalid Saad Al Otaibi",M125)),"Trading Company",
        ISNUMBER(SEARCH("MERAS for Decoration",M125)),"Decor Company",
        ISNUMBER(SEARCH("Middle East Customs Clearance",M125)),"Customs",
        ISNUMBER(SEARCH("Ministry of Human Resources",M125)),"Government",
        ISNUMBER(SEARCH("My Business Services",M125)),"Service Provider",
        ISNUMBER(SEARCH("National Water Company",M125)),"Water Company",
        ISNUMBER(SEARCH("Rania Contracting",M125)),"Contracting",
        ISNUMBER(SEARCH("Rashid Ali Sheikh",M125)),"Shareholder",
        ISNUMBER(SEARCH("Sahab United Motors",M125)),"Car Show Room",
        ISNUMBER(SEARCH("Saud Mohammed Al Tamimi",M125)),"Shareholder",
        ISNUMBER(SEARCH("Saud Mohammed Tamimi",M125)),"Shareholder",
        ISNUMBER(SEARCH("Saudi Electric Company",M125)),"Electricity Company",
        ISNUMBER(SEARCH("Saudi Vetonit",M125)),"Building Materials",
        ISNUMBER(SEARCH("Shomoul Eng",M125)),"Safety",
        ISNUMBER(SEARCH("STC",M125)),"Telecom Company",
        ISNUMBER(SEARCH("The General Organization for Social Insurance",M125)),"Social Insurance Agency",
        ISNUMBER(SEARCH("TUV Rheinland",M125)),"Certification",
        ISNUMBER(SEARCH("Al Arabia Ceramic",M125)),"Building Materials",
        ISNUMBER(SEARCH("National Company for Building and Marketing",M125)),"Parent Company",
        ISNUMBER(SEARCH("Athraa Holding",M125)),"Holding Company",
        ISNUMBER(SEARCH("Al Rasan",M125)),"Contracting",
        ISNUMBER(SEARCH("Raboua Al Haid",M125)),"Trading Company",
        ISNUMBER(SEARCH("Al Jazeera Paint",M125)),"Manufacturer",
        ISNUMBER(SEARCH("Rania Works Contracting",M125)),"Contracting",
        ISNUMBER(SEARCH("Bandar Jarallah",M125)),"Trading Establishment",
        ISNUMBER(SEARCH("RS Infratec Saudi",M125)),"Same Company",
        ISNUMBER(SEARCH("Payroll",M125)),"Bank",
        ISNUMBER(SEARCH("Expatriate",M125)),"Government",
        ISNUMBER(SEARCH("Unknown Sender",M125)),"Unknown",
        TRUE,"Unknown"
    ),
    "-"
)</f>
        <v>Building Materials</v>
      </c>
      <c r="AA125" s="25" t="str" cm="1">
        <f t="array" ref="AA125">_xlfn.IFNA(
    _xlfn.IFS(
        Z125="Lender","Financing",
        Z125="Accounting","Accounting",
        Z125="Shareholder","Individual",
        Z125="Equipment Rental","Equipment Rental",
        Z125="Telecom Company","Telecom",
        Z125="Manufacturer","Manufacturer",
        Z125="Trading Company","Trading And Transport",
        Z125="Trading Establishment","Trading",
        Z125="Airlines","Airlines",
        Z125="Health Insurance","Insurance",
        Z125="Consultant","Consultant",
        Z125="Tax Collection","Government",
        Z125="Travel Agency","Travel Agency",
        Z125="Medical Services","Medical Center",
        Z125="Online Payment Service","Payment Facilitator",
        Z125="Certification","Safety",
        Z125="Decor Company","Design",
        Z125="Customs","Customs",
        Z125="Government","Government",
        Z125="Service Provider","Service Provider",
        Z125="Water Company","Water Company",
        Z125="Contracting","Contracting",
        Z125="Car Show Room","Car Trader",
        Z125="Electricity Company","Electricity Company",
        Z125="Building Materials","Building Materials",
        Z125="Safety","Safety",
        Z125="Social Insurance Agency","Government Fund",
        Z125="Parent Company","Holding Company",
        Z125="Holding Company","Holding Company",
        Z125="Same Company","Construction",
        Z125="Bank","Bank",
        Z125="Unknown","Unknown",
        TRUE,"-"
    ),
    "-"
)</f>
        <v>Building Materials</v>
      </c>
      <c r="AB125" s="25" t="str">
        <f t="shared" si="5"/>
        <v>-</v>
      </c>
      <c r="AC125" s="25" t="str" cm="1">
        <f t="array" ref="AC125">_xlfn.IFNA(
    _xlfn.IFS(
        Z125="Shareholder","Shareholder",
        Z125="Same Company","Same Company",
        Z125="Bank","Bank",
        Z125="Government","Government",
        Z125="Social Insurance Agency","Government",
        Z125="Parent Company","Customer",
        Z125="Lender","Lender",
        Z125="Unknown","Unknown",
        ISNUMBER(SEARCH("Abdullah Abdulkarim",M125)),"Service Provider",
        ISNUMBER(SEARCH("Abdullah Fahad",M125)),"Service Provider",
        ISNUMBER(SEARCH("Advanced Equipments",M125)),"Supplier",
        ISNUMBER(SEARCH("Al Banuk Sana",M125)),"Supplier",
        ISNUMBER(SEARCH("Al Khaleefa Factory",M125)),"Supplier",
        ISNUMBER(SEARCH("Al Saadeh Trading",M125)),"Supplier",
        ISNUMBER(SEARCH("Al Zaehaan",M125)),"Supplier",
        ISNUMBER(SEARCH("Ali Abdullah K Al Darwish",M125)),"Service Provider",
        ISNUMBER(SEARCH("Bupa Arabia",M125)),"Insurance Company",
        ISNUMBER(SEARCH("Dar Fahoosaat",M125)),"Service Provider",
        ISNUMBER(SEARCH("General Authority of Zakat",M125)),"Tax Authority",
        ISNUMBER(SEARCH("Gulf Voyager",M125)),"Service Provider",
        ISNUMBER(SEARCH("Hopeway Trading",M125)),"Supplier",
        ISNUMBER(SEARCH("Interhealth Medical",M125)),"Customer",
        ISNUMBER(SEARCH("Ishaar",M125)),"Service Provider",
        ISNUMBER(SEARCH("ISO Arabia",M125)),"Service Provider",
        ISNUMBER(SEARCH("Khalid Saad Al Otaibi",M125)),"Supplier",
        ISNUMBER(SEARCH("MERAS for Decoration",M125)),"Supplier",
        ISNUMBER(SEARCH("Middle East Customs Clearance",M125)),"Service Provider",
        ISNUMBER(SEARCH("Ministry of Human Resources",M125)),"Regulatory Agency",
        ISNUMBER(SEARCH("My Business Services",M125)),"Service Provider",
        ISNUMBER(SEARCH("National Water Company",M125)),"Utility Provider",
        ISNUMBER(SEARCH("Rania Contracting",M125)),"Supplier",
        ISNUMBER(SEARCH("Sahab United Motors",M125)),"Supplier",
        ISNUMBER(SEARCH("Saudi Electric Company",M125)),"Utility Provider",
        ISNUMBER(SEARCH("Saudi Vetonit",M125)),"Supplier",
        ISNUMBER(SEARCH("Shomoul Eng",M125)),"Service Provider",
        ISNUMBER(SEARCH("STC",M125)),"Utility Provider",
        ISNUMBER(SEARCH("The General Organization for Social Insurance",M125)),"Social Insurance Agency",
        ISNUMBER(SEARCH("TUV Rheinland",M125)),"Service Provider",
        ISNUMBER(SEARCH("Al Arabia Ceramic",M125)),"Supplier",
        ISNUMBER(SEARCH("National Company for Building",M125)),"Customer",
        ISNUMBER(SEARCH("Athraa Holding",M125)),"Customer",
        ISNUMBER(SEARCH("Al Rasan",M125)),"Supplier",
        ISNUMBER(SEARCH("Raboua Al Haid",M125)),"Customer",
        ISNUMBER(SEARCH("Al Jazeera Paint",M125)),"Supplier",
        ISNUMBER(SEARCH("Rania Works Contracting",M125)),"Supplier",
        ISNUMBER(SEARCH("Bandar Jarallah",M125)),"Supplier",
        TRUE,"Supplier"
    ),
    "-"
)</f>
        <v>Supplier</v>
      </c>
      <c r="AD125" s="25" t="str" cm="1">
        <f t="array" ref="AD125">_xlfn.IFNA(
    _xlfn.IFS(
        AC125="Same Company","High",
        AC125="Shareholder","High",
        AC125="Government","High",
        AC125="Bank","High",
        AC125="Lender","High",
        AC125="Unknown","Low",
        AC125="-","Low",
        TRUE,"Medium"
    ),
    "-"
)</f>
        <v>Medium</v>
      </c>
      <c r="AE125" s="25" t="str">
        <f t="shared" si="6"/>
        <v>-</v>
      </c>
      <c r="AF125" s="25" t="str" cm="1">
        <f t="array" ref="AF125">_xlfn.IFNA(
    _xlfn.IFS(
        K125="Credit",
            _xlfn.IFS(
                OR(ISNUMBER(SEARCH("Rejected",L125)),ISNUMBER(SEARCH("Returned",L125))),"Other Income",
                TRUE,"Revenue"
            ),
        K125="Debit",
            _xlfn.IFS(
                ISNUMBER(SEARCH("Payroll",L125)),"OPEX",
                ISNUMBER(SEARCH("Expatriate",L125)),"OPEX",
                ISNUMBER(SEARCH("Zakat",M125)),"ZATCA",
                ISNUMBER(SEARCH("General Organization for Social Insurance",M125)),"OPEX",
                ISNUMBER(SEARCH("Saudi Electric",M125)),"OPEX",
                ISNUMBER(SEARCH("STC",M125)),"OPEX",
                ISNUMBER(SEARCH("National Water",M125)),"OPEX",
                ISNUMBER(SEARCH("Bupa",M125)),"OPEX",
                ISNUMBER(SEARCH("Abdullah Abdulkarim",M125)),"OPEX",
                ISNUMBER(SEARCH("Abdullah Fahad",M125)),"OPEX",
                ISNUMBER(SEARCH("ISO Arabia",M125)),"OPEX",
                ISNUMBER(SEARCH("Gulf Voyager",M125)),"OPEX",
                ISNUMBER(SEARCH("Ministry",M125)),"OPEX",
                ISNUMBER(SEARCH("General Authority of Zakat",M125)),"ZATCA",
                ISNUMBER(SEARCH("Rejected",L125)),"Other Income",
                TRUE,"COGS"
            ),
        TRUE,"-"
    ),
    "-"
)</f>
        <v>COGS</v>
      </c>
      <c r="AG125" s="25" t="str" cm="1">
        <f t="array" ref="AG125">_xlfn.IFNA(
    _xlfn.IFS(
        ISNUMBER(SEARCH("Payroll",L125)),"Payroll",
        ISNUMBER(SEARCH("Expatriate",L125)),"Government Fees",
        ISNUMBER(SEARCH("Zakat",M125)),"Zakat",
        ISNUMBER(SEARCH("Social Insurance",M125)),"Social Insurance",
        ISNUMBER(SEARCH("Saudi Electric",M125)),"Electricity",
        ISNUMBER(SEARCH("STC",M125)),"Telecom",
        ISNUMBER(SEARCH("National Water",M125)),"Water",
        ISNUMBER(SEARCH("Bupa",M125)),"Insurance",
        ISNUMBER(SEARCH("Gulf Voyager",M125)),"Travel",
        ISNUMBER(SEARCH("Ministry",M125)),"Government Fees",
        ISNUMBER(SEARCH("Abdullah Abdulkarim",M125)),"Consulting",
        ISNUMBER(SEARCH("Abdullah Fahad",M125)),"Accounting",
        ISNUMBER(SEARCH("ISO Arabia",M125)),"Consulting",
        ISNUMBER(SEARCH("Rejected",L125)),"Refund",
        AF125="COGS","Inventory Purchase",
        AF125="Revenue","Revenue",
        AF125="OPEX","Other",
        AF125="ZATCA","Zakat",
        TRUE,"-"
    ),
    "-"
)</f>
        <v>Inventory Purchase</v>
      </c>
      <c r="AH125" s="25" t="str" cm="1">
        <f t="array" ref="AH125">_xlfn.IFNA(
    _xlfn.IFS(
        AF125="-","Low",
        AF125="Other","Low",
        TRUE,"Medium"
    ),
    "-"
)</f>
        <v>Medium</v>
      </c>
      <c r="AI125" s="25" t="str">
        <f t="shared" si="7"/>
        <v>-</v>
      </c>
    </row>
    <row r="126" spans="1:35" x14ac:dyDescent="0.25">
      <c r="A126" s="10">
        <v>8</v>
      </c>
      <c r="B126" s="10" t="s">
        <v>35</v>
      </c>
      <c r="C126" s="10" t="s">
        <v>36</v>
      </c>
      <c r="D126" s="10" t="s">
        <v>37</v>
      </c>
      <c r="E126" s="10" t="s">
        <v>38</v>
      </c>
      <c r="F126" s="11" t="s">
        <v>39</v>
      </c>
      <c r="G126" s="11" t="s">
        <v>40</v>
      </c>
      <c r="H126" s="12">
        <v>44942</v>
      </c>
      <c r="I126" s="20">
        <v>74484.759999999995</v>
      </c>
      <c r="J126" s="20">
        <v>12881.15</v>
      </c>
      <c r="K126" s="10" t="s">
        <v>41</v>
      </c>
      <c r="L126" s="9" t="s">
        <v>56</v>
      </c>
      <c r="M126" s="9" t="s">
        <v>196</v>
      </c>
      <c r="N126" s="9" t="s">
        <v>197</v>
      </c>
      <c r="O126" s="9" t="s">
        <v>53</v>
      </c>
      <c r="P126" s="15">
        <v>44942</v>
      </c>
      <c r="Q126" s="9" t="s">
        <v>199</v>
      </c>
      <c r="R126" s="16">
        <v>12880</v>
      </c>
      <c r="S126" s="18">
        <v>1</v>
      </c>
      <c r="T126" s="18">
        <v>0.15</v>
      </c>
      <c r="U126" s="9" t="s">
        <v>55</v>
      </c>
      <c r="V126" s="24" t="str" cm="1">
        <f t="array" ref="V126">_xlfn.IFNA(
    _xlfn.IFS(
        ISNUMBER(SEARCH("Fast Outgoing Transfer",L126)),"Transfer",
        ISNUMBER(SEARCH("Incoming Fast Transfer",L126)),"Transfer",
        ISNUMBER(SEARCH("Outgoing International Transfer",L126)),"Transfer",
        ISNUMBER(SEARCH("Bill Payment",L126)),"SADAD",
        ISNUMBER(SEARCH("Payroll",L126)),"Payroll",
        ISNUMBER(SEARCH("Cash Deposit",L126)),"Cash",
        ISNUMBER(SEARCH("Internal Transfer",L126)),"Transfer",
        ISNUMBER(SEARCH("Expatriate Services Payment",L126)),"SADAD",
        ISNUMBER(SEARCH("Rejected",L126)),"Transfer"
    ),
    "-"
)</f>
        <v>Transfer</v>
      </c>
      <c r="W126" s="25" t="str" cm="1">
        <f t="array" ref="W126">_xlfn.IFNA(
    _xlfn.IFS(
        AND(V126="Transfer",ISNUMBER(SEARCH("RIYAD BANK",L126))),"External FI",
        AND(V126="Transfer",ISNUMBER(SEARCH("Al Ahli",L126))),"External FI",
        AND(V126="Transfer",ISNUMBER(SEARCH("CIB via",L126))),"Local Transfer",
        AND(V126="Transfer",ISNUMBER(SEARCH("CIB)",L126))),"Local Transfer",
        AND(V126="Transfer",ISNUMBER(SEARCH("SMRT",L126))),"Local Transfer",
        AND(V126="Transfer",ISNUMBER(SEARCH("Al Murabba",L126))),"Local Transfer",
        AND(V126="Transfer",ISNUMBER(SEARCH("Internal Transfer",L126))),"Same FI",
        AND(V126="Transfer",ISNUMBER(SEARCH("Rejected",L126))),"Failed",
        V126="SADAD",
            _xlfn.IFS(
                ISNUMBER(SEARCH("Expatriate",L126)),"Expat Fees",
                TRUE,"Online Payment"
            ),
        V126="Payroll","Payroll",
        V126="Cash","Deposit",
        TRUE,"-"
    ),
    "-"
)</f>
        <v>Local Transfer</v>
      </c>
      <c r="X126" s="25" t="str" cm="1">
        <f t="array" ref="X126">_xlfn.IFNA(
    _xlfn.IFS(
        V126="-","Low",
        W126="-","Low",
        TRUE,"High"
    ),
    "-"
)</f>
        <v>High</v>
      </c>
      <c r="Y126" s="25" t="str">
        <f t="shared" si="4"/>
        <v>-</v>
      </c>
      <c r="Z126" s="25" t="str" cm="1">
        <f t="array" ref="Z126">_xlfn.IFNA(
    _xlfn.IFS(
        ISNUMBER(SEARCH("Abdul Latif Jameel",M126)),"Lender",
        ISNUMBER(SEARCH("Abdullah Abdulkarim Al Sudais",M126)),"Accounting",
        ISNUMBER(SEARCH("Abdullah Fahad for Accounting",M126)),"Accounting",
        ISNUMBER(SEARCH("Abdullah Rashid Shaikh",M126)),"Shareholder",
        ISNUMBER(SEARCH("Advanced Equipments",M126)),"Equipment Rental",
        ISNUMBER(SEARCH("Al Banuk Sana",M126)),"Telecom Company",
        ISNUMBER(SEARCH("Al Khaleefa Factory",M126)),"Manufacturer",
        ISNUMBER(SEARCH("Al Saadeh Trading",M126)),"Trading Company",
        ISNUMBER(SEARCH("Al Zaehaan",M126)),"Trading Company",
        ISNUMBER(SEARCH("Ali Abdullah K Al Darwish",M126)),"Airlines",
        ISNUMBER(SEARCH("Bupa Arabia",M126)),"Health Insurance",
        ISNUMBER(SEARCH("Dar Fahoosaat",M126)),"Consultant",
        ISNUMBER(SEARCH("General Authority of Zakat",M126)),"Tax Collection",
        ISNUMBER(SEARCH("Gulf Voyager",M126)),"Travel Agency",
        ISNUMBER(SEARCH("Hopeway Trading",M126)),"Trading Company",
        ISNUMBER(SEARCH("Interhealth Medical",M126)),"Medical Services",
        ISNUMBER(SEARCH("Ishaar",M126)),"Online Payment Service",
        ISNUMBER(SEARCH("ISO Arabia",M126)),"Certification",
        ISNUMBER(SEARCH("Khalid Saad Al Otaibi",M126)),"Trading Company",
        ISNUMBER(SEARCH("MERAS for Decoration",M126)),"Decor Company",
        ISNUMBER(SEARCH("Middle East Customs Clearance",M126)),"Customs",
        ISNUMBER(SEARCH("Ministry of Human Resources",M126)),"Government",
        ISNUMBER(SEARCH("My Business Services",M126)),"Service Provider",
        ISNUMBER(SEARCH("National Water Company",M126)),"Water Company",
        ISNUMBER(SEARCH("Rania Contracting",M126)),"Contracting",
        ISNUMBER(SEARCH("Rashid Ali Sheikh",M126)),"Shareholder",
        ISNUMBER(SEARCH("Sahab United Motors",M126)),"Car Show Room",
        ISNUMBER(SEARCH("Saud Mohammed Al Tamimi",M126)),"Shareholder",
        ISNUMBER(SEARCH("Saud Mohammed Tamimi",M126)),"Shareholder",
        ISNUMBER(SEARCH("Saudi Electric Company",M126)),"Electricity Company",
        ISNUMBER(SEARCH("Saudi Vetonit",M126)),"Building Materials",
        ISNUMBER(SEARCH("Shomoul Eng",M126)),"Safety",
        ISNUMBER(SEARCH("STC",M126)),"Telecom Company",
        ISNUMBER(SEARCH("The General Organization for Social Insurance",M126)),"Social Insurance Agency",
        ISNUMBER(SEARCH("TUV Rheinland",M126)),"Certification",
        ISNUMBER(SEARCH("Al Arabia Ceramic",M126)),"Building Materials",
        ISNUMBER(SEARCH("National Company for Building and Marketing",M126)),"Parent Company",
        ISNUMBER(SEARCH("Athraa Holding",M126)),"Holding Company",
        ISNUMBER(SEARCH("Al Rasan",M126)),"Contracting",
        ISNUMBER(SEARCH("Raboua Al Haid",M126)),"Trading Company",
        ISNUMBER(SEARCH("Al Jazeera Paint",M126)),"Manufacturer",
        ISNUMBER(SEARCH("Rania Works Contracting",M126)),"Contracting",
        ISNUMBER(SEARCH("Bandar Jarallah",M126)),"Trading Establishment",
        ISNUMBER(SEARCH("RS Infratec Saudi",M126)),"Same Company",
        ISNUMBER(SEARCH("Payroll",M126)),"Bank",
        ISNUMBER(SEARCH("Expatriate",M126)),"Government",
        ISNUMBER(SEARCH("Unknown Sender",M126)),"Unknown",
        TRUE,"Unknown"
    ),
    "-"
)</f>
        <v>Building Materials</v>
      </c>
      <c r="AA126" s="25" t="str" cm="1">
        <f t="array" ref="AA126">_xlfn.IFNA(
    _xlfn.IFS(
        Z126="Lender","Financing",
        Z126="Accounting","Accounting",
        Z126="Shareholder","Individual",
        Z126="Equipment Rental","Equipment Rental",
        Z126="Telecom Company","Telecom",
        Z126="Manufacturer","Manufacturer",
        Z126="Trading Company","Trading And Transport",
        Z126="Trading Establishment","Trading",
        Z126="Airlines","Airlines",
        Z126="Health Insurance","Insurance",
        Z126="Consultant","Consultant",
        Z126="Tax Collection","Government",
        Z126="Travel Agency","Travel Agency",
        Z126="Medical Services","Medical Center",
        Z126="Online Payment Service","Payment Facilitator",
        Z126="Certification","Safety",
        Z126="Decor Company","Design",
        Z126="Customs","Customs",
        Z126="Government","Government",
        Z126="Service Provider","Service Provider",
        Z126="Water Company","Water Company",
        Z126="Contracting","Contracting",
        Z126="Car Show Room","Car Trader",
        Z126="Electricity Company","Electricity Company",
        Z126="Building Materials","Building Materials",
        Z126="Safety","Safety",
        Z126="Social Insurance Agency","Government Fund",
        Z126="Parent Company","Holding Company",
        Z126="Holding Company","Holding Company",
        Z126="Same Company","Construction",
        Z126="Bank","Bank",
        Z126="Unknown","Unknown",
        TRUE,"-"
    ),
    "-"
)</f>
        <v>Building Materials</v>
      </c>
      <c r="AB126" s="25" t="str">
        <f t="shared" si="5"/>
        <v>-</v>
      </c>
      <c r="AC126" s="25" t="str" cm="1">
        <f t="array" ref="AC126">_xlfn.IFNA(
    _xlfn.IFS(
        Z126="Shareholder","Shareholder",
        Z126="Same Company","Same Company",
        Z126="Bank","Bank",
        Z126="Government","Government",
        Z126="Social Insurance Agency","Government",
        Z126="Parent Company","Customer",
        Z126="Lender","Lender",
        Z126="Unknown","Unknown",
        ISNUMBER(SEARCH("Abdullah Abdulkarim",M126)),"Service Provider",
        ISNUMBER(SEARCH("Abdullah Fahad",M126)),"Service Provider",
        ISNUMBER(SEARCH("Advanced Equipments",M126)),"Supplier",
        ISNUMBER(SEARCH("Al Banuk Sana",M126)),"Supplier",
        ISNUMBER(SEARCH("Al Khaleefa Factory",M126)),"Supplier",
        ISNUMBER(SEARCH("Al Saadeh Trading",M126)),"Supplier",
        ISNUMBER(SEARCH("Al Zaehaan",M126)),"Supplier",
        ISNUMBER(SEARCH("Ali Abdullah K Al Darwish",M126)),"Service Provider",
        ISNUMBER(SEARCH("Bupa Arabia",M126)),"Insurance Company",
        ISNUMBER(SEARCH("Dar Fahoosaat",M126)),"Service Provider",
        ISNUMBER(SEARCH("General Authority of Zakat",M126)),"Tax Authority",
        ISNUMBER(SEARCH("Gulf Voyager",M126)),"Service Provider",
        ISNUMBER(SEARCH("Hopeway Trading",M126)),"Supplier",
        ISNUMBER(SEARCH("Interhealth Medical",M126)),"Customer",
        ISNUMBER(SEARCH("Ishaar",M126)),"Service Provider",
        ISNUMBER(SEARCH("ISO Arabia",M126)),"Service Provider",
        ISNUMBER(SEARCH("Khalid Saad Al Otaibi",M126)),"Supplier",
        ISNUMBER(SEARCH("MERAS for Decoration",M126)),"Supplier",
        ISNUMBER(SEARCH("Middle East Customs Clearance",M126)),"Service Provider",
        ISNUMBER(SEARCH("Ministry of Human Resources",M126)),"Regulatory Agency",
        ISNUMBER(SEARCH("My Business Services",M126)),"Service Provider",
        ISNUMBER(SEARCH("National Water Company",M126)),"Utility Provider",
        ISNUMBER(SEARCH("Rania Contracting",M126)),"Supplier",
        ISNUMBER(SEARCH("Sahab United Motors",M126)),"Supplier",
        ISNUMBER(SEARCH("Saudi Electric Company",M126)),"Utility Provider",
        ISNUMBER(SEARCH("Saudi Vetonit",M126)),"Supplier",
        ISNUMBER(SEARCH("Shomoul Eng",M126)),"Service Provider",
        ISNUMBER(SEARCH("STC",M126)),"Utility Provider",
        ISNUMBER(SEARCH("The General Organization for Social Insurance",M126)),"Social Insurance Agency",
        ISNUMBER(SEARCH("TUV Rheinland",M126)),"Service Provider",
        ISNUMBER(SEARCH("Al Arabia Ceramic",M126)),"Supplier",
        ISNUMBER(SEARCH("National Company for Building",M126)),"Customer",
        ISNUMBER(SEARCH("Athraa Holding",M126)),"Customer",
        ISNUMBER(SEARCH("Al Rasan",M126)),"Supplier",
        ISNUMBER(SEARCH("Raboua Al Haid",M126)),"Customer",
        ISNUMBER(SEARCH("Al Jazeera Paint",M126)),"Supplier",
        ISNUMBER(SEARCH("Rania Works Contracting",M126)),"Supplier",
        ISNUMBER(SEARCH("Bandar Jarallah",M126)),"Supplier",
        TRUE,"Supplier"
    ),
    "-"
)</f>
        <v>Supplier</v>
      </c>
      <c r="AD126" s="25" t="str" cm="1">
        <f t="array" ref="AD126">_xlfn.IFNA(
    _xlfn.IFS(
        AC126="Same Company","High",
        AC126="Shareholder","High",
        AC126="Government","High",
        AC126="Bank","High",
        AC126="Lender","High",
        AC126="Unknown","Low",
        AC126="-","Low",
        TRUE,"Medium"
    ),
    "-"
)</f>
        <v>Medium</v>
      </c>
      <c r="AE126" s="25" t="str">
        <f t="shared" si="6"/>
        <v>-</v>
      </c>
      <c r="AF126" s="25" t="str" cm="1">
        <f t="array" ref="AF126">_xlfn.IFNA(
    _xlfn.IFS(
        K126="Credit",
            _xlfn.IFS(
                OR(ISNUMBER(SEARCH("Rejected",L126)),ISNUMBER(SEARCH("Returned",L126))),"Other Income",
                TRUE,"Revenue"
            ),
        K126="Debit",
            _xlfn.IFS(
                ISNUMBER(SEARCH("Payroll",L126)),"OPEX",
                ISNUMBER(SEARCH("Expatriate",L126)),"OPEX",
                ISNUMBER(SEARCH("Zakat",M126)),"ZATCA",
                ISNUMBER(SEARCH("General Organization for Social Insurance",M126)),"OPEX",
                ISNUMBER(SEARCH("Saudi Electric",M126)),"OPEX",
                ISNUMBER(SEARCH("STC",M126)),"OPEX",
                ISNUMBER(SEARCH("National Water",M126)),"OPEX",
                ISNUMBER(SEARCH("Bupa",M126)),"OPEX",
                ISNUMBER(SEARCH("Abdullah Abdulkarim",M126)),"OPEX",
                ISNUMBER(SEARCH("Abdullah Fahad",M126)),"OPEX",
                ISNUMBER(SEARCH("ISO Arabia",M126)),"OPEX",
                ISNUMBER(SEARCH("Gulf Voyager",M126)),"OPEX",
                ISNUMBER(SEARCH("Ministry",M126)),"OPEX",
                ISNUMBER(SEARCH("General Authority of Zakat",M126)),"ZATCA",
                ISNUMBER(SEARCH("Rejected",L126)),"Other Income",
                TRUE,"COGS"
            ),
        TRUE,"-"
    ),
    "-"
)</f>
        <v>COGS</v>
      </c>
      <c r="AG126" s="25" t="str" cm="1">
        <f t="array" ref="AG126">_xlfn.IFNA(
    _xlfn.IFS(
        ISNUMBER(SEARCH("Payroll",L126)),"Payroll",
        ISNUMBER(SEARCH("Expatriate",L126)),"Government Fees",
        ISNUMBER(SEARCH("Zakat",M126)),"Zakat",
        ISNUMBER(SEARCH("Social Insurance",M126)),"Social Insurance",
        ISNUMBER(SEARCH("Saudi Electric",M126)),"Electricity",
        ISNUMBER(SEARCH("STC",M126)),"Telecom",
        ISNUMBER(SEARCH("National Water",M126)),"Water",
        ISNUMBER(SEARCH("Bupa",M126)),"Insurance",
        ISNUMBER(SEARCH("Gulf Voyager",M126)),"Travel",
        ISNUMBER(SEARCH("Ministry",M126)),"Government Fees",
        ISNUMBER(SEARCH("Abdullah Abdulkarim",M126)),"Consulting",
        ISNUMBER(SEARCH("Abdullah Fahad",M126)),"Accounting",
        ISNUMBER(SEARCH("ISO Arabia",M126)),"Consulting",
        ISNUMBER(SEARCH("Rejected",L126)),"Refund",
        AF126="COGS","Inventory Purchase",
        AF126="Revenue","Revenue",
        AF126="OPEX","Other",
        AF126="ZATCA","Zakat",
        TRUE,"-"
    ),
    "-"
)</f>
        <v>Inventory Purchase</v>
      </c>
      <c r="AH126" s="25" t="str" cm="1">
        <f t="array" ref="AH126">_xlfn.IFNA(
    _xlfn.IFS(
        AF126="-","Low",
        AF126="Other","Low",
        TRUE,"Medium"
    ),
    "-"
)</f>
        <v>Medium</v>
      </c>
      <c r="AI126" s="25" t="str">
        <f t="shared" si="7"/>
        <v>-</v>
      </c>
    </row>
    <row r="127" spans="1:35" x14ac:dyDescent="0.25">
      <c r="A127" s="10">
        <v>8</v>
      </c>
      <c r="B127" s="10" t="s">
        <v>35</v>
      </c>
      <c r="C127" s="10" t="s">
        <v>36</v>
      </c>
      <c r="D127" s="10" t="s">
        <v>37</v>
      </c>
      <c r="E127" s="10" t="s">
        <v>38</v>
      </c>
      <c r="F127" s="11" t="s">
        <v>39</v>
      </c>
      <c r="G127" s="11" t="s">
        <v>40</v>
      </c>
      <c r="H127" s="12">
        <v>44963</v>
      </c>
      <c r="I127" s="20">
        <v>59813.26</v>
      </c>
      <c r="J127" s="20">
        <v>23005.75</v>
      </c>
      <c r="K127" s="10" t="s">
        <v>41</v>
      </c>
      <c r="L127" s="9" t="s">
        <v>50</v>
      </c>
      <c r="M127" s="9" t="s">
        <v>196</v>
      </c>
      <c r="N127" s="9" t="s">
        <v>197</v>
      </c>
      <c r="O127" s="9" t="s">
        <v>53</v>
      </c>
      <c r="P127" s="15">
        <v>44963</v>
      </c>
      <c r="Q127" s="9" t="s">
        <v>200</v>
      </c>
      <c r="R127" s="16">
        <v>23000</v>
      </c>
      <c r="S127" s="18">
        <v>5</v>
      </c>
      <c r="T127" s="18">
        <v>0.75</v>
      </c>
      <c r="U127" s="9" t="s">
        <v>55</v>
      </c>
      <c r="V127" s="24" t="str" cm="1">
        <f t="array" ref="V127">_xlfn.IFNA(
    _xlfn.IFS(
        ISNUMBER(SEARCH("Fast Outgoing Transfer",L127)),"Transfer",
        ISNUMBER(SEARCH("Incoming Fast Transfer",L127)),"Transfer",
        ISNUMBER(SEARCH("Outgoing International Transfer",L127)),"Transfer",
        ISNUMBER(SEARCH("Bill Payment",L127)),"SADAD",
        ISNUMBER(SEARCH("Payroll",L127)),"Payroll",
        ISNUMBER(SEARCH("Cash Deposit",L127)),"Cash",
        ISNUMBER(SEARCH("Internal Transfer",L127)),"Transfer",
        ISNUMBER(SEARCH("Expatriate Services Payment",L127)),"SADAD",
        ISNUMBER(SEARCH("Rejected",L127)),"Transfer"
    ),
    "-"
)</f>
        <v>Transfer</v>
      </c>
      <c r="W127" s="25" t="str" cm="1">
        <f t="array" ref="W127">_xlfn.IFNA(
    _xlfn.IFS(
        AND(V127="Transfer",ISNUMBER(SEARCH("RIYAD BANK",L127))),"External FI",
        AND(V127="Transfer",ISNUMBER(SEARCH("Al Ahli",L127))),"External FI",
        AND(V127="Transfer",ISNUMBER(SEARCH("CIB via",L127))),"Local Transfer",
        AND(V127="Transfer",ISNUMBER(SEARCH("CIB)",L127))),"Local Transfer",
        AND(V127="Transfer",ISNUMBER(SEARCH("SMRT",L127))),"Local Transfer",
        AND(V127="Transfer",ISNUMBER(SEARCH("Al Murabba",L127))),"Local Transfer",
        AND(V127="Transfer",ISNUMBER(SEARCH("Internal Transfer",L127))),"Same FI",
        AND(V127="Transfer",ISNUMBER(SEARCH("Rejected",L127))),"Failed",
        V127="SADAD",
            _xlfn.IFS(
                ISNUMBER(SEARCH("Expatriate",L127)),"Expat Fees",
                TRUE,"Online Payment"
            ),
        V127="Payroll","Payroll",
        V127="Cash","Deposit",
        TRUE,"-"
    ),
    "-"
)</f>
        <v>Local Transfer</v>
      </c>
      <c r="X127" s="25" t="str" cm="1">
        <f t="array" ref="X127">_xlfn.IFNA(
    _xlfn.IFS(
        V127="-","Low",
        W127="-","Low",
        TRUE,"High"
    ),
    "-"
)</f>
        <v>High</v>
      </c>
      <c r="Y127" s="25" t="str">
        <f t="shared" si="4"/>
        <v>-</v>
      </c>
      <c r="Z127" s="25" t="str" cm="1">
        <f t="array" ref="Z127">_xlfn.IFNA(
    _xlfn.IFS(
        ISNUMBER(SEARCH("Abdul Latif Jameel",M127)),"Lender",
        ISNUMBER(SEARCH("Abdullah Abdulkarim Al Sudais",M127)),"Accounting",
        ISNUMBER(SEARCH("Abdullah Fahad for Accounting",M127)),"Accounting",
        ISNUMBER(SEARCH("Abdullah Rashid Shaikh",M127)),"Shareholder",
        ISNUMBER(SEARCH("Advanced Equipments",M127)),"Equipment Rental",
        ISNUMBER(SEARCH("Al Banuk Sana",M127)),"Telecom Company",
        ISNUMBER(SEARCH("Al Khaleefa Factory",M127)),"Manufacturer",
        ISNUMBER(SEARCH("Al Saadeh Trading",M127)),"Trading Company",
        ISNUMBER(SEARCH("Al Zaehaan",M127)),"Trading Company",
        ISNUMBER(SEARCH("Ali Abdullah K Al Darwish",M127)),"Airlines",
        ISNUMBER(SEARCH("Bupa Arabia",M127)),"Health Insurance",
        ISNUMBER(SEARCH("Dar Fahoosaat",M127)),"Consultant",
        ISNUMBER(SEARCH("General Authority of Zakat",M127)),"Tax Collection",
        ISNUMBER(SEARCH("Gulf Voyager",M127)),"Travel Agency",
        ISNUMBER(SEARCH("Hopeway Trading",M127)),"Trading Company",
        ISNUMBER(SEARCH("Interhealth Medical",M127)),"Medical Services",
        ISNUMBER(SEARCH("Ishaar",M127)),"Online Payment Service",
        ISNUMBER(SEARCH("ISO Arabia",M127)),"Certification",
        ISNUMBER(SEARCH("Khalid Saad Al Otaibi",M127)),"Trading Company",
        ISNUMBER(SEARCH("MERAS for Decoration",M127)),"Decor Company",
        ISNUMBER(SEARCH("Middle East Customs Clearance",M127)),"Customs",
        ISNUMBER(SEARCH("Ministry of Human Resources",M127)),"Government",
        ISNUMBER(SEARCH("My Business Services",M127)),"Service Provider",
        ISNUMBER(SEARCH("National Water Company",M127)),"Water Company",
        ISNUMBER(SEARCH("Rania Contracting",M127)),"Contracting",
        ISNUMBER(SEARCH("Rashid Ali Sheikh",M127)),"Shareholder",
        ISNUMBER(SEARCH("Sahab United Motors",M127)),"Car Show Room",
        ISNUMBER(SEARCH("Saud Mohammed Al Tamimi",M127)),"Shareholder",
        ISNUMBER(SEARCH("Saud Mohammed Tamimi",M127)),"Shareholder",
        ISNUMBER(SEARCH("Saudi Electric Company",M127)),"Electricity Company",
        ISNUMBER(SEARCH("Saudi Vetonit",M127)),"Building Materials",
        ISNUMBER(SEARCH("Shomoul Eng",M127)),"Safety",
        ISNUMBER(SEARCH("STC",M127)),"Telecom Company",
        ISNUMBER(SEARCH("The General Organization for Social Insurance",M127)),"Social Insurance Agency",
        ISNUMBER(SEARCH("TUV Rheinland",M127)),"Certification",
        ISNUMBER(SEARCH("Al Arabia Ceramic",M127)),"Building Materials",
        ISNUMBER(SEARCH("National Company for Building and Marketing",M127)),"Parent Company",
        ISNUMBER(SEARCH("Athraa Holding",M127)),"Holding Company",
        ISNUMBER(SEARCH("Al Rasan",M127)),"Contracting",
        ISNUMBER(SEARCH("Raboua Al Haid",M127)),"Trading Company",
        ISNUMBER(SEARCH("Al Jazeera Paint",M127)),"Manufacturer",
        ISNUMBER(SEARCH("Rania Works Contracting",M127)),"Contracting",
        ISNUMBER(SEARCH("Bandar Jarallah",M127)),"Trading Establishment",
        ISNUMBER(SEARCH("RS Infratec Saudi",M127)),"Same Company",
        ISNUMBER(SEARCH("Payroll",M127)),"Bank",
        ISNUMBER(SEARCH("Expatriate",M127)),"Government",
        ISNUMBER(SEARCH("Unknown Sender",M127)),"Unknown",
        TRUE,"Unknown"
    ),
    "-"
)</f>
        <v>Building Materials</v>
      </c>
      <c r="AA127" s="25" t="str" cm="1">
        <f t="array" ref="AA127">_xlfn.IFNA(
    _xlfn.IFS(
        Z127="Lender","Financing",
        Z127="Accounting","Accounting",
        Z127="Shareholder","Individual",
        Z127="Equipment Rental","Equipment Rental",
        Z127="Telecom Company","Telecom",
        Z127="Manufacturer","Manufacturer",
        Z127="Trading Company","Trading And Transport",
        Z127="Trading Establishment","Trading",
        Z127="Airlines","Airlines",
        Z127="Health Insurance","Insurance",
        Z127="Consultant","Consultant",
        Z127="Tax Collection","Government",
        Z127="Travel Agency","Travel Agency",
        Z127="Medical Services","Medical Center",
        Z127="Online Payment Service","Payment Facilitator",
        Z127="Certification","Safety",
        Z127="Decor Company","Design",
        Z127="Customs","Customs",
        Z127="Government","Government",
        Z127="Service Provider","Service Provider",
        Z127="Water Company","Water Company",
        Z127="Contracting","Contracting",
        Z127="Car Show Room","Car Trader",
        Z127="Electricity Company","Electricity Company",
        Z127="Building Materials","Building Materials",
        Z127="Safety","Safety",
        Z127="Social Insurance Agency","Government Fund",
        Z127="Parent Company","Holding Company",
        Z127="Holding Company","Holding Company",
        Z127="Same Company","Construction",
        Z127="Bank","Bank",
        Z127="Unknown","Unknown",
        TRUE,"-"
    ),
    "-"
)</f>
        <v>Building Materials</v>
      </c>
      <c r="AB127" s="25" t="str">
        <f t="shared" si="5"/>
        <v>-</v>
      </c>
      <c r="AC127" s="25" t="str" cm="1">
        <f t="array" ref="AC127">_xlfn.IFNA(
    _xlfn.IFS(
        Z127="Shareholder","Shareholder",
        Z127="Same Company","Same Company",
        Z127="Bank","Bank",
        Z127="Government","Government",
        Z127="Social Insurance Agency","Government",
        Z127="Parent Company","Customer",
        Z127="Lender","Lender",
        Z127="Unknown","Unknown",
        ISNUMBER(SEARCH("Abdullah Abdulkarim",M127)),"Service Provider",
        ISNUMBER(SEARCH("Abdullah Fahad",M127)),"Service Provider",
        ISNUMBER(SEARCH("Advanced Equipments",M127)),"Supplier",
        ISNUMBER(SEARCH("Al Banuk Sana",M127)),"Supplier",
        ISNUMBER(SEARCH("Al Khaleefa Factory",M127)),"Supplier",
        ISNUMBER(SEARCH("Al Saadeh Trading",M127)),"Supplier",
        ISNUMBER(SEARCH("Al Zaehaan",M127)),"Supplier",
        ISNUMBER(SEARCH("Ali Abdullah K Al Darwish",M127)),"Service Provider",
        ISNUMBER(SEARCH("Bupa Arabia",M127)),"Insurance Company",
        ISNUMBER(SEARCH("Dar Fahoosaat",M127)),"Service Provider",
        ISNUMBER(SEARCH("General Authority of Zakat",M127)),"Tax Authority",
        ISNUMBER(SEARCH("Gulf Voyager",M127)),"Service Provider",
        ISNUMBER(SEARCH("Hopeway Trading",M127)),"Supplier",
        ISNUMBER(SEARCH("Interhealth Medical",M127)),"Customer",
        ISNUMBER(SEARCH("Ishaar",M127)),"Service Provider",
        ISNUMBER(SEARCH("ISO Arabia",M127)),"Service Provider",
        ISNUMBER(SEARCH("Khalid Saad Al Otaibi",M127)),"Supplier",
        ISNUMBER(SEARCH("MERAS for Decoration",M127)),"Supplier",
        ISNUMBER(SEARCH("Middle East Customs Clearance",M127)),"Service Provider",
        ISNUMBER(SEARCH("Ministry of Human Resources",M127)),"Regulatory Agency",
        ISNUMBER(SEARCH("My Business Services",M127)),"Service Provider",
        ISNUMBER(SEARCH("National Water Company",M127)),"Utility Provider",
        ISNUMBER(SEARCH("Rania Contracting",M127)),"Supplier",
        ISNUMBER(SEARCH("Sahab United Motors",M127)),"Supplier",
        ISNUMBER(SEARCH("Saudi Electric Company",M127)),"Utility Provider",
        ISNUMBER(SEARCH("Saudi Vetonit",M127)),"Supplier",
        ISNUMBER(SEARCH("Shomoul Eng",M127)),"Service Provider",
        ISNUMBER(SEARCH("STC",M127)),"Utility Provider",
        ISNUMBER(SEARCH("The General Organization for Social Insurance",M127)),"Social Insurance Agency",
        ISNUMBER(SEARCH("TUV Rheinland",M127)),"Service Provider",
        ISNUMBER(SEARCH("Al Arabia Ceramic",M127)),"Supplier",
        ISNUMBER(SEARCH("National Company for Building",M127)),"Customer",
        ISNUMBER(SEARCH("Athraa Holding",M127)),"Customer",
        ISNUMBER(SEARCH("Al Rasan",M127)),"Supplier",
        ISNUMBER(SEARCH("Raboua Al Haid",M127)),"Customer",
        ISNUMBER(SEARCH("Al Jazeera Paint",M127)),"Supplier",
        ISNUMBER(SEARCH("Rania Works Contracting",M127)),"Supplier",
        ISNUMBER(SEARCH("Bandar Jarallah",M127)),"Supplier",
        TRUE,"Supplier"
    ),
    "-"
)</f>
        <v>Supplier</v>
      </c>
      <c r="AD127" s="25" t="str" cm="1">
        <f t="array" ref="AD127">_xlfn.IFNA(
    _xlfn.IFS(
        AC127="Same Company","High",
        AC127="Shareholder","High",
        AC127="Government","High",
        AC127="Bank","High",
        AC127="Lender","High",
        AC127="Unknown","Low",
        AC127="-","Low",
        TRUE,"Medium"
    ),
    "-"
)</f>
        <v>Medium</v>
      </c>
      <c r="AE127" s="25" t="str">
        <f t="shared" si="6"/>
        <v>-</v>
      </c>
      <c r="AF127" s="25" t="str" cm="1">
        <f t="array" ref="AF127">_xlfn.IFNA(
    _xlfn.IFS(
        K127="Credit",
            _xlfn.IFS(
                OR(ISNUMBER(SEARCH("Rejected",L127)),ISNUMBER(SEARCH("Returned",L127))),"Other Income",
                TRUE,"Revenue"
            ),
        K127="Debit",
            _xlfn.IFS(
                ISNUMBER(SEARCH("Payroll",L127)),"OPEX",
                ISNUMBER(SEARCH("Expatriate",L127)),"OPEX",
                ISNUMBER(SEARCH("Zakat",M127)),"ZATCA",
                ISNUMBER(SEARCH("General Organization for Social Insurance",M127)),"OPEX",
                ISNUMBER(SEARCH("Saudi Electric",M127)),"OPEX",
                ISNUMBER(SEARCH("STC",M127)),"OPEX",
                ISNUMBER(SEARCH("National Water",M127)),"OPEX",
                ISNUMBER(SEARCH("Bupa",M127)),"OPEX",
                ISNUMBER(SEARCH("Abdullah Abdulkarim",M127)),"OPEX",
                ISNUMBER(SEARCH("Abdullah Fahad",M127)),"OPEX",
                ISNUMBER(SEARCH("ISO Arabia",M127)),"OPEX",
                ISNUMBER(SEARCH("Gulf Voyager",M127)),"OPEX",
                ISNUMBER(SEARCH("Ministry",M127)),"OPEX",
                ISNUMBER(SEARCH("General Authority of Zakat",M127)),"ZATCA",
                ISNUMBER(SEARCH("Rejected",L127)),"Other Income",
                TRUE,"COGS"
            ),
        TRUE,"-"
    ),
    "-"
)</f>
        <v>COGS</v>
      </c>
      <c r="AG127" s="25" t="str" cm="1">
        <f t="array" ref="AG127">_xlfn.IFNA(
    _xlfn.IFS(
        ISNUMBER(SEARCH("Payroll",L127)),"Payroll",
        ISNUMBER(SEARCH("Expatriate",L127)),"Government Fees",
        ISNUMBER(SEARCH("Zakat",M127)),"Zakat",
        ISNUMBER(SEARCH("Social Insurance",M127)),"Social Insurance",
        ISNUMBER(SEARCH("Saudi Electric",M127)),"Electricity",
        ISNUMBER(SEARCH("STC",M127)),"Telecom",
        ISNUMBER(SEARCH("National Water",M127)),"Water",
        ISNUMBER(SEARCH("Bupa",M127)),"Insurance",
        ISNUMBER(SEARCH("Gulf Voyager",M127)),"Travel",
        ISNUMBER(SEARCH("Ministry",M127)),"Government Fees",
        ISNUMBER(SEARCH("Abdullah Abdulkarim",M127)),"Consulting",
        ISNUMBER(SEARCH("Abdullah Fahad",M127)),"Accounting",
        ISNUMBER(SEARCH("ISO Arabia",M127)),"Consulting",
        ISNUMBER(SEARCH("Rejected",L127)),"Refund",
        AF127="COGS","Inventory Purchase",
        AF127="Revenue","Revenue",
        AF127="OPEX","Other",
        AF127="ZATCA","Zakat",
        TRUE,"-"
    ),
    "-"
)</f>
        <v>Inventory Purchase</v>
      </c>
      <c r="AH127" s="25" t="str" cm="1">
        <f t="array" ref="AH127">_xlfn.IFNA(
    _xlfn.IFS(
        AF127="-","Low",
        AF127="Other","Low",
        TRUE,"Medium"
    ),
    "-"
)</f>
        <v>Medium</v>
      </c>
      <c r="AI127" s="25" t="str">
        <f t="shared" si="7"/>
        <v>-</v>
      </c>
    </row>
    <row r="128" spans="1:35" x14ac:dyDescent="0.25">
      <c r="A128" s="10">
        <v>8</v>
      </c>
      <c r="B128" s="10" t="s">
        <v>35</v>
      </c>
      <c r="C128" s="10" t="s">
        <v>36</v>
      </c>
      <c r="D128" s="10" t="s">
        <v>37</v>
      </c>
      <c r="E128" s="10" t="s">
        <v>38</v>
      </c>
      <c r="F128" s="11" t="s">
        <v>39</v>
      </c>
      <c r="G128" s="11" t="s">
        <v>40</v>
      </c>
      <c r="H128" s="12">
        <v>44975</v>
      </c>
      <c r="I128" s="20">
        <v>1772.01</v>
      </c>
      <c r="J128" s="20">
        <v>3623.65</v>
      </c>
      <c r="K128" s="10" t="s">
        <v>41</v>
      </c>
      <c r="L128" s="9" t="s">
        <v>56</v>
      </c>
      <c r="M128" s="9" t="s">
        <v>196</v>
      </c>
      <c r="N128" s="9" t="s">
        <v>197</v>
      </c>
      <c r="O128" s="9" t="s">
        <v>53</v>
      </c>
      <c r="P128" s="15">
        <v>44975</v>
      </c>
      <c r="Q128" s="9" t="s">
        <v>201</v>
      </c>
      <c r="R128" s="16">
        <v>3622.5</v>
      </c>
      <c r="S128" s="18">
        <v>1</v>
      </c>
      <c r="T128" s="18">
        <v>0.15</v>
      </c>
      <c r="U128" s="9" t="s">
        <v>55</v>
      </c>
      <c r="V128" s="24" t="str" cm="1">
        <f t="array" ref="V128">_xlfn.IFNA(
    _xlfn.IFS(
        ISNUMBER(SEARCH("Fast Outgoing Transfer",L128)),"Transfer",
        ISNUMBER(SEARCH("Incoming Fast Transfer",L128)),"Transfer",
        ISNUMBER(SEARCH("Outgoing International Transfer",L128)),"Transfer",
        ISNUMBER(SEARCH("Bill Payment",L128)),"SADAD",
        ISNUMBER(SEARCH("Payroll",L128)),"Payroll",
        ISNUMBER(SEARCH("Cash Deposit",L128)),"Cash",
        ISNUMBER(SEARCH("Internal Transfer",L128)),"Transfer",
        ISNUMBER(SEARCH("Expatriate Services Payment",L128)),"SADAD",
        ISNUMBER(SEARCH("Rejected",L128)),"Transfer"
    ),
    "-"
)</f>
        <v>Transfer</v>
      </c>
      <c r="W128" s="25" t="str" cm="1">
        <f t="array" ref="W128">_xlfn.IFNA(
    _xlfn.IFS(
        AND(V128="Transfer",ISNUMBER(SEARCH("RIYAD BANK",L128))),"External FI",
        AND(V128="Transfer",ISNUMBER(SEARCH("Al Ahli",L128))),"External FI",
        AND(V128="Transfer",ISNUMBER(SEARCH("CIB via",L128))),"Local Transfer",
        AND(V128="Transfer",ISNUMBER(SEARCH("CIB)",L128))),"Local Transfer",
        AND(V128="Transfer",ISNUMBER(SEARCH("SMRT",L128))),"Local Transfer",
        AND(V128="Transfer",ISNUMBER(SEARCH("Al Murabba",L128))),"Local Transfer",
        AND(V128="Transfer",ISNUMBER(SEARCH("Internal Transfer",L128))),"Same FI",
        AND(V128="Transfer",ISNUMBER(SEARCH("Rejected",L128))),"Failed",
        V128="SADAD",
            _xlfn.IFS(
                ISNUMBER(SEARCH("Expatriate",L128)),"Expat Fees",
                TRUE,"Online Payment"
            ),
        V128="Payroll","Payroll",
        V128="Cash","Deposit",
        TRUE,"-"
    ),
    "-"
)</f>
        <v>Local Transfer</v>
      </c>
      <c r="X128" s="25" t="str" cm="1">
        <f t="array" ref="X128">_xlfn.IFNA(
    _xlfn.IFS(
        V128="-","Low",
        W128="-","Low",
        TRUE,"High"
    ),
    "-"
)</f>
        <v>High</v>
      </c>
      <c r="Y128" s="25" t="str">
        <f t="shared" si="4"/>
        <v>-</v>
      </c>
      <c r="Z128" s="25" t="str" cm="1">
        <f t="array" ref="Z128">_xlfn.IFNA(
    _xlfn.IFS(
        ISNUMBER(SEARCH("Abdul Latif Jameel",M128)),"Lender",
        ISNUMBER(SEARCH("Abdullah Abdulkarim Al Sudais",M128)),"Accounting",
        ISNUMBER(SEARCH("Abdullah Fahad for Accounting",M128)),"Accounting",
        ISNUMBER(SEARCH("Abdullah Rashid Shaikh",M128)),"Shareholder",
        ISNUMBER(SEARCH("Advanced Equipments",M128)),"Equipment Rental",
        ISNUMBER(SEARCH("Al Banuk Sana",M128)),"Telecom Company",
        ISNUMBER(SEARCH("Al Khaleefa Factory",M128)),"Manufacturer",
        ISNUMBER(SEARCH("Al Saadeh Trading",M128)),"Trading Company",
        ISNUMBER(SEARCH("Al Zaehaan",M128)),"Trading Company",
        ISNUMBER(SEARCH("Ali Abdullah K Al Darwish",M128)),"Airlines",
        ISNUMBER(SEARCH("Bupa Arabia",M128)),"Health Insurance",
        ISNUMBER(SEARCH("Dar Fahoosaat",M128)),"Consultant",
        ISNUMBER(SEARCH("General Authority of Zakat",M128)),"Tax Collection",
        ISNUMBER(SEARCH("Gulf Voyager",M128)),"Travel Agency",
        ISNUMBER(SEARCH("Hopeway Trading",M128)),"Trading Company",
        ISNUMBER(SEARCH("Interhealth Medical",M128)),"Medical Services",
        ISNUMBER(SEARCH("Ishaar",M128)),"Online Payment Service",
        ISNUMBER(SEARCH("ISO Arabia",M128)),"Certification",
        ISNUMBER(SEARCH("Khalid Saad Al Otaibi",M128)),"Trading Company",
        ISNUMBER(SEARCH("MERAS for Decoration",M128)),"Decor Company",
        ISNUMBER(SEARCH("Middle East Customs Clearance",M128)),"Customs",
        ISNUMBER(SEARCH("Ministry of Human Resources",M128)),"Government",
        ISNUMBER(SEARCH("My Business Services",M128)),"Service Provider",
        ISNUMBER(SEARCH("National Water Company",M128)),"Water Company",
        ISNUMBER(SEARCH("Rania Contracting",M128)),"Contracting",
        ISNUMBER(SEARCH("Rashid Ali Sheikh",M128)),"Shareholder",
        ISNUMBER(SEARCH("Sahab United Motors",M128)),"Car Show Room",
        ISNUMBER(SEARCH("Saud Mohammed Al Tamimi",M128)),"Shareholder",
        ISNUMBER(SEARCH("Saud Mohammed Tamimi",M128)),"Shareholder",
        ISNUMBER(SEARCH("Saudi Electric Company",M128)),"Electricity Company",
        ISNUMBER(SEARCH("Saudi Vetonit",M128)),"Building Materials",
        ISNUMBER(SEARCH("Shomoul Eng",M128)),"Safety",
        ISNUMBER(SEARCH("STC",M128)),"Telecom Company",
        ISNUMBER(SEARCH("The General Organization for Social Insurance",M128)),"Social Insurance Agency",
        ISNUMBER(SEARCH("TUV Rheinland",M128)),"Certification",
        ISNUMBER(SEARCH("Al Arabia Ceramic",M128)),"Building Materials",
        ISNUMBER(SEARCH("National Company for Building and Marketing",M128)),"Parent Company",
        ISNUMBER(SEARCH("Athraa Holding",M128)),"Holding Company",
        ISNUMBER(SEARCH("Al Rasan",M128)),"Contracting",
        ISNUMBER(SEARCH("Raboua Al Haid",M128)),"Trading Company",
        ISNUMBER(SEARCH("Al Jazeera Paint",M128)),"Manufacturer",
        ISNUMBER(SEARCH("Rania Works Contracting",M128)),"Contracting",
        ISNUMBER(SEARCH("Bandar Jarallah",M128)),"Trading Establishment",
        ISNUMBER(SEARCH("RS Infratec Saudi",M128)),"Same Company",
        ISNUMBER(SEARCH("Payroll",M128)),"Bank",
        ISNUMBER(SEARCH("Expatriate",M128)),"Government",
        ISNUMBER(SEARCH("Unknown Sender",M128)),"Unknown",
        TRUE,"Unknown"
    ),
    "-"
)</f>
        <v>Building Materials</v>
      </c>
      <c r="AA128" s="25" t="str" cm="1">
        <f t="array" ref="AA128">_xlfn.IFNA(
    _xlfn.IFS(
        Z128="Lender","Financing",
        Z128="Accounting","Accounting",
        Z128="Shareholder","Individual",
        Z128="Equipment Rental","Equipment Rental",
        Z128="Telecom Company","Telecom",
        Z128="Manufacturer","Manufacturer",
        Z128="Trading Company","Trading And Transport",
        Z128="Trading Establishment","Trading",
        Z128="Airlines","Airlines",
        Z128="Health Insurance","Insurance",
        Z128="Consultant","Consultant",
        Z128="Tax Collection","Government",
        Z128="Travel Agency","Travel Agency",
        Z128="Medical Services","Medical Center",
        Z128="Online Payment Service","Payment Facilitator",
        Z128="Certification","Safety",
        Z128="Decor Company","Design",
        Z128="Customs","Customs",
        Z128="Government","Government",
        Z128="Service Provider","Service Provider",
        Z128="Water Company","Water Company",
        Z128="Contracting","Contracting",
        Z128="Car Show Room","Car Trader",
        Z128="Electricity Company","Electricity Company",
        Z128="Building Materials","Building Materials",
        Z128="Safety","Safety",
        Z128="Social Insurance Agency","Government Fund",
        Z128="Parent Company","Holding Company",
        Z128="Holding Company","Holding Company",
        Z128="Same Company","Construction",
        Z128="Bank","Bank",
        Z128="Unknown","Unknown",
        TRUE,"-"
    ),
    "-"
)</f>
        <v>Building Materials</v>
      </c>
      <c r="AB128" s="25" t="str">
        <f t="shared" si="5"/>
        <v>-</v>
      </c>
      <c r="AC128" s="25" t="str" cm="1">
        <f t="array" ref="AC128">_xlfn.IFNA(
    _xlfn.IFS(
        Z128="Shareholder","Shareholder",
        Z128="Same Company","Same Company",
        Z128="Bank","Bank",
        Z128="Government","Government",
        Z128="Social Insurance Agency","Government",
        Z128="Parent Company","Customer",
        Z128="Lender","Lender",
        Z128="Unknown","Unknown",
        ISNUMBER(SEARCH("Abdullah Abdulkarim",M128)),"Service Provider",
        ISNUMBER(SEARCH("Abdullah Fahad",M128)),"Service Provider",
        ISNUMBER(SEARCH("Advanced Equipments",M128)),"Supplier",
        ISNUMBER(SEARCH("Al Banuk Sana",M128)),"Supplier",
        ISNUMBER(SEARCH("Al Khaleefa Factory",M128)),"Supplier",
        ISNUMBER(SEARCH("Al Saadeh Trading",M128)),"Supplier",
        ISNUMBER(SEARCH("Al Zaehaan",M128)),"Supplier",
        ISNUMBER(SEARCH("Ali Abdullah K Al Darwish",M128)),"Service Provider",
        ISNUMBER(SEARCH("Bupa Arabia",M128)),"Insurance Company",
        ISNUMBER(SEARCH("Dar Fahoosaat",M128)),"Service Provider",
        ISNUMBER(SEARCH("General Authority of Zakat",M128)),"Tax Authority",
        ISNUMBER(SEARCH("Gulf Voyager",M128)),"Service Provider",
        ISNUMBER(SEARCH("Hopeway Trading",M128)),"Supplier",
        ISNUMBER(SEARCH("Interhealth Medical",M128)),"Customer",
        ISNUMBER(SEARCH("Ishaar",M128)),"Service Provider",
        ISNUMBER(SEARCH("ISO Arabia",M128)),"Service Provider",
        ISNUMBER(SEARCH("Khalid Saad Al Otaibi",M128)),"Supplier",
        ISNUMBER(SEARCH("MERAS for Decoration",M128)),"Supplier",
        ISNUMBER(SEARCH("Middle East Customs Clearance",M128)),"Service Provider",
        ISNUMBER(SEARCH("Ministry of Human Resources",M128)),"Regulatory Agency",
        ISNUMBER(SEARCH("My Business Services",M128)),"Service Provider",
        ISNUMBER(SEARCH("National Water Company",M128)),"Utility Provider",
        ISNUMBER(SEARCH("Rania Contracting",M128)),"Supplier",
        ISNUMBER(SEARCH("Sahab United Motors",M128)),"Supplier",
        ISNUMBER(SEARCH("Saudi Electric Company",M128)),"Utility Provider",
        ISNUMBER(SEARCH("Saudi Vetonit",M128)),"Supplier",
        ISNUMBER(SEARCH("Shomoul Eng",M128)),"Service Provider",
        ISNUMBER(SEARCH("STC",M128)),"Utility Provider",
        ISNUMBER(SEARCH("The General Organization for Social Insurance",M128)),"Social Insurance Agency",
        ISNUMBER(SEARCH("TUV Rheinland",M128)),"Service Provider",
        ISNUMBER(SEARCH("Al Arabia Ceramic",M128)),"Supplier",
        ISNUMBER(SEARCH("National Company for Building",M128)),"Customer",
        ISNUMBER(SEARCH("Athraa Holding",M128)),"Customer",
        ISNUMBER(SEARCH("Al Rasan",M128)),"Supplier",
        ISNUMBER(SEARCH("Raboua Al Haid",M128)),"Customer",
        ISNUMBER(SEARCH("Al Jazeera Paint",M128)),"Supplier",
        ISNUMBER(SEARCH("Rania Works Contracting",M128)),"Supplier",
        ISNUMBER(SEARCH("Bandar Jarallah",M128)),"Supplier",
        TRUE,"Supplier"
    ),
    "-"
)</f>
        <v>Supplier</v>
      </c>
      <c r="AD128" s="25" t="str" cm="1">
        <f t="array" ref="AD128">_xlfn.IFNA(
    _xlfn.IFS(
        AC128="Same Company","High",
        AC128="Shareholder","High",
        AC128="Government","High",
        AC128="Bank","High",
        AC128="Lender","High",
        AC128="Unknown","Low",
        AC128="-","Low",
        TRUE,"Medium"
    ),
    "-"
)</f>
        <v>Medium</v>
      </c>
      <c r="AE128" s="25" t="str">
        <f t="shared" si="6"/>
        <v>-</v>
      </c>
      <c r="AF128" s="25" t="str" cm="1">
        <f t="array" ref="AF128">_xlfn.IFNA(
    _xlfn.IFS(
        K128="Credit",
            _xlfn.IFS(
                OR(ISNUMBER(SEARCH("Rejected",L128)),ISNUMBER(SEARCH("Returned",L128))),"Other Income",
                TRUE,"Revenue"
            ),
        K128="Debit",
            _xlfn.IFS(
                ISNUMBER(SEARCH("Payroll",L128)),"OPEX",
                ISNUMBER(SEARCH("Expatriate",L128)),"OPEX",
                ISNUMBER(SEARCH("Zakat",M128)),"ZATCA",
                ISNUMBER(SEARCH("General Organization for Social Insurance",M128)),"OPEX",
                ISNUMBER(SEARCH("Saudi Electric",M128)),"OPEX",
                ISNUMBER(SEARCH("STC",M128)),"OPEX",
                ISNUMBER(SEARCH("National Water",M128)),"OPEX",
                ISNUMBER(SEARCH("Bupa",M128)),"OPEX",
                ISNUMBER(SEARCH("Abdullah Abdulkarim",M128)),"OPEX",
                ISNUMBER(SEARCH("Abdullah Fahad",M128)),"OPEX",
                ISNUMBER(SEARCH("ISO Arabia",M128)),"OPEX",
                ISNUMBER(SEARCH("Gulf Voyager",M128)),"OPEX",
                ISNUMBER(SEARCH("Ministry",M128)),"OPEX",
                ISNUMBER(SEARCH("General Authority of Zakat",M128)),"ZATCA",
                ISNUMBER(SEARCH("Rejected",L128)),"Other Income",
                TRUE,"COGS"
            ),
        TRUE,"-"
    ),
    "-"
)</f>
        <v>COGS</v>
      </c>
      <c r="AG128" s="25" t="str" cm="1">
        <f t="array" ref="AG128">_xlfn.IFNA(
    _xlfn.IFS(
        ISNUMBER(SEARCH("Payroll",L128)),"Payroll",
        ISNUMBER(SEARCH("Expatriate",L128)),"Government Fees",
        ISNUMBER(SEARCH("Zakat",M128)),"Zakat",
        ISNUMBER(SEARCH("Social Insurance",M128)),"Social Insurance",
        ISNUMBER(SEARCH("Saudi Electric",M128)),"Electricity",
        ISNUMBER(SEARCH("STC",M128)),"Telecom",
        ISNUMBER(SEARCH("National Water",M128)),"Water",
        ISNUMBER(SEARCH("Bupa",M128)),"Insurance",
        ISNUMBER(SEARCH("Gulf Voyager",M128)),"Travel",
        ISNUMBER(SEARCH("Ministry",M128)),"Government Fees",
        ISNUMBER(SEARCH("Abdullah Abdulkarim",M128)),"Consulting",
        ISNUMBER(SEARCH("Abdullah Fahad",M128)),"Accounting",
        ISNUMBER(SEARCH("ISO Arabia",M128)),"Consulting",
        ISNUMBER(SEARCH("Rejected",L128)),"Refund",
        AF128="COGS","Inventory Purchase",
        AF128="Revenue","Revenue",
        AF128="OPEX","Other",
        AF128="ZATCA","Zakat",
        TRUE,"-"
    ),
    "-"
)</f>
        <v>Inventory Purchase</v>
      </c>
      <c r="AH128" s="25" t="str" cm="1">
        <f t="array" ref="AH128">_xlfn.IFNA(
    _xlfn.IFS(
        AF128="-","Low",
        AF128="Other","Low",
        TRUE,"Medium"
    ),
    "-"
)</f>
        <v>Medium</v>
      </c>
      <c r="AI128" s="25" t="str">
        <f t="shared" si="7"/>
        <v>-</v>
      </c>
    </row>
    <row r="129" spans="1:35" x14ac:dyDescent="0.25">
      <c r="A129" s="10">
        <v>8</v>
      </c>
      <c r="B129" s="10" t="s">
        <v>35</v>
      </c>
      <c r="C129" s="10" t="s">
        <v>36</v>
      </c>
      <c r="D129" s="10" t="s">
        <v>37</v>
      </c>
      <c r="E129" s="10" t="s">
        <v>38</v>
      </c>
      <c r="F129" s="11" t="s">
        <v>39</v>
      </c>
      <c r="G129" s="11" t="s">
        <v>40</v>
      </c>
      <c r="H129" s="12">
        <v>44977</v>
      </c>
      <c r="I129" s="20">
        <v>88160.16</v>
      </c>
      <c r="J129" s="20">
        <v>12881.15</v>
      </c>
      <c r="K129" s="10" t="s">
        <v>41</v>
      </c>
      <c r="L129" s="9" t="s">
        <v>56</v>
      </c>
      <c r="M129" s="9" t="s">
        <v>196</v>
      </c>
      <c r="N129" s="9" t="s">
        <v>197</v>
      </c>
      <c r="O129" s="9" t="s">
        <v>53</v>
      </c>
      <c r="P129" s="15">
        <v>44977</v>
      </c>
      <c r="Q129" s="9" t="s">
        <v>202</v>
      </c>
      <c r="R129" s="16">
        <v>12880</v>
      </c>
      <c r="S129" s="18">
        <v>1</v>
      </c>
      <c r="T129" s="18">
        <v>0.15</v>
      </c>
      <c r="U129" s="9" t="s">
        <v>55</v>
      </c>
      <c r="V129" s="24" t="str" cm="1">
        <f t="array" ref="V129">_xlfn.IFNA(
    _xlfn.IFS(
        ISNUMBER(SEARCH("Fast Outgoing Transfer",L129)),"Transfer",
        ISNUMBER(SEARCH("Incoming Fast Transfer",L129)),"Transfer",
        ISNUMBER(SEARCH("Outgoing International Transfer",L129)),"Transfer",
        ISNUMBER(SEARCH("Bill Payment",L129)),"SADAD",
        ISNUMBER(SEARCH("Payroll",L129)),"Payroll",
        ISNUMBER(SEARCH("Cash Deposit",L129)),"Cash",
        ISNUMBER(SEARCH("Internal Transfer",L129)),"Transfer",
        ISNUMBER(SEARCH("Expatriate Services Payment",L129)),"SADAD",
        ISNUMBER(SEARCH("Rejected",L129)),"Transfer"
    ),
    "-"
)</f>
        <v>Transfer</v>
      </c>
      <c r="W129" s="25" t="str" cm="1">
        <f t="array" ref="W129">_xlfn.IFNA(
    _xlfn.IFS(
        AND(V129="Transfer",ISNUMBER(SEARCH("RIYAD BANK",L129))),"External FI",
        AND(V129="Transfer",ISNUMBER(SEARCH("Al Ahli",L129))),"External FI",
        AND(V129="Transfer",ISNUMBER(SEARCH("CIB via",L129))),"Local Transfer",
        AND(V129="Transfer",ISNUMBER(SEARCH("CIB)",L129))),"Local Transfer",
        AND(V129="Transfer",ISNUMBER(SEARCH("SMRT",L129))),"Local Transfer",
        AND(V129="Transfer",ISNUMBER(SEARCH("Al Murabba",L129))),"Local Transfer",
        AND(V129="Transfer",ISNUMBER(SEARCH("Internal Transfer",L129))),"Same FI",
        AND(V129="Transfer",ISNUMBER(SEARCH("Rejected",L129))),"Failed",
        V129="SADAD",
            _xlfn.IFS(
                ISNUMBER(SEARCH("Expatriate",L129)),"Expat Fees",
                TRUE,"Online Payment"
            ),
        V129="Payroll","Payroll",
        V129="Cash","Deposit",
        TRUE,"-"
    ),
    "-"
)</f>
        <v>Local Transfer</v>
      </c>
      <c r="X129" s="25" t="str" cm="1">
        <f t="array" ref="X129">_xlfn.IFNA(
    _xlfn.IFS(
        V129="-","Low",
        W129="-","Low",
        TRUE,"High"
    ),
    "-"
)</f>
        <v>High</v>
      </c>
      <c r="Y129" s="25" t="str">
        <f t="shared" si="4"/>
        <v>-</v>
      </c>
      <c r="Z129" s="25" t="str" cm="1">
        <f t="array" ref="Z129">_xlfn.IFNA(
    _xlfn.IFS(
        ISNUMBER(SEARCH("Abdul Latif Jameel",M129)),"Lender",
        ISNUMBER(SEARCH("Abdullah Abdulkarim Al Sudais",M129)),"Accounting",
        ISNUMBER(SEARCH("Abdullah Fahad for Accounting",M129)),"Accounting",
        ISNUMBER(SEARCH("Abdullah Rashid Shaikh",M129)),"Shareholder",
        ISNUMBER(SEARCH("Advanced Equipments",M129)),"Equipment Rental",
        ISNUMBER(SEARCH("Al Banuk Sana",M129)),"Telecom Company",
        ISNUMBER(SEARCH("Al Khaleefa Factory",M129)),"Manufacturer",
        ISNUMBER(SEARCH("Al Saadeh Trading",M129)),"Trading Company",
        ISNUMBER(SEARCH("Al Zaehaan",M129)),"Trading Company",
        ISNUMBER(SEARCH("Ali Abdullah K Al Darwish",M129)),"Airlines",
        ISNUMBER(SEARCH("Bupa Arabia",M129)),"Health Insurance",
        ISNUMBER(SEARCH("Dar Fahoosaat",M129)),"Consultant",
        ISNUMBER(SEARCH("General Authority of Zakat",M129)),"Tax Collection",
        ISNUMBER(SEARCH("Gulf Voyager",M129)),"Travel Agency",
        ISNUMBER(SEARCH("Hopeway Trading",M129)),"Trading Company",
        ISNUMBER(SEARCH("Interhealth Medical",M129)),"Medical Services",
        ISNUMBER(SEARCH("Ishaar",M129)),"Online Payment Service",
        ISNUMBER(SEARCH("ISO Arabia",M129)),"Certification",
        ISNUMBER(SEARCH("Khalid Saad Al Otaibi",M129)),"Trading Company",
        ISNUMBER(SEARCH("MERAS for Decoration",M129)),"Decor Company",
        ISNUMBER(SEARCH("Middle East Customs Clearance",M129)),"Customs",
        ISNUMBER(SEARCH("Ministry of Human Resources",M129)),"Government",
        ISNUMBER(SEARCH("My Business Services",M129)),"Service Provider",
        ISNUMBER(SEARCH("National Water Company",M129)),"Water Company",
        ISNUMBER(SEARCH("Rania Contracting",M129)),"Contracting",
        ISNUMBER(SEARCH("Rashid Ali Sheikh",M129)),"Shareholder",
        ISNUMBER(SEARCH("Sahab United Motors",M129)),"Car Show Room",
        ISNUMBER(SEARCH("Saud Mohammed Al Tamimi",M129)),"Shareholder",
        ISNUMBER(SEARCH("Saud Mohammed Tamimi",M129)),"Shareholder",
        ISNUMBER(SEARCH("Saudi Electric Company",M129)),"Electricity Company",
        ISNUMBER(SEARCH("Saudi Vetonit",M129)),"Building Materials",
        ISNUMBER(SEARCH("Shomoul Eng",M129)),"Safety",
        ISNUMBER(SEARCH("STC",M129)),"Telecom Company",
        ISNUMBER(SEARCH("The General Organization for Social Insurance",M129)),"Social Insurance Agency",
        ISNUMBER(SEARCH("TUV Rheinland",M129)),"Certification",
        ISNUMBER(SEARCH("Al Arabia Ceramic",M129)),"Building Materials",
        ISNUMBER(SEARCH("National Company for Building and Marketing",M129)),"Parent Company",
        ISNUMBER(SEARCH("Athraa Holding",M129)),"Holding Company",
        ISNUMBER(SEARCH("Al Rasan",M129)),"Contracting",
        ISNUMBER(SEARCH("Raboua Al Haid",M129)),"Trading Company",
        ISNUMBER(SEARCH("Al Jazeera Paint",M129)),"Manufacturer",
        ISNUMBER(SEARCH("Rania Works Contracting",M129)),"Contracting",
        ISNUMBER(SEARCH("Bandar Jarallah",M129)),"Trading Establishment",
        ISNUMBER(SEARCH("RS Infratec Saudi",M129)),"Same Company",
        ISNUMBER(SEARCH("Payroll",M129)),"Bank",
        ISNUMBER(SEARCH("Expatriate",M129)),"Government",
        ISNUMBER(SEARCH("Unknown Sender",M129)),"Unknown",
        TRUE,"Unknown"
    ),
    "-"
)</f>
        <v>Building Materials</v>
      </c>
      <c r="AA129" s="25" t="str" cm="1">
        <f t="array" ref="AA129">_xlfn.IFNA(
    _xlfn.IFS(
        Z129="Lender","Financing",
        Z129="Accounting","Accounting",
        Z129="Shareholder","Individual",
        Z129="Equipment Rental","Equipment Rental",
        Z129="Telecom Company","Telecom",
        Z129="Manufacturer","Manufacturer",
        Z129="Trading Company","Trading And Transport",
        Z129="Trading Establishment","Trading",
        Z129="Airlines","Airlines",
        Z129="Health Insurance","Insurance",
        Z129="Consultant","Consultant",
        Z129="Tax Collection","Government",
        Z129="Travel Agency","Travel Agency",
        Z129="Medical Services","Medical Center",
        Z129="Online Payment Service","Payment Facilitator",
        Z129="Certification","Safety",
        Z129="Decor Company","Design",
        Z129="Customs","Customs",
        Z129="Government","Government",
        Z129="Service Provider","Service Provider",
        Z129="Water Company","Water Company",
        Z129="Contracting","Contracting",
        Z129="Car Show Room","Car Trader",
        Z129="Electricity Company","Electricity Company",
        Z129="Building Materials","Building Materials",
        Z129="Safety","Safety",
        Z129="Social Insurance Agency","Government Fund",
        Z129="Parent Company","Holding Company",
        Z129="Holding Company","Holding Company",
        Z129="Same Company","Construction",
        Z129="Bank","Bank",
        Z129="Unknown","Unknown",
        TRUE,"-"
    ),
    "-"
)</f>
        <v>Building Materials</v>
      </c>
      <c r="AB129" s="25" t="str">
        <f t="shared" si="5"/>
        <v>-</v>
      </c>
      <c r="AC129" s="25" t="str" cm="1">
        <f t="array" ref="AC129">_xlfn.IFNA(
    _xlfn.IFS(
        Z129="Shareholder","Shareholder",
        Z129="Same Company","Same Company",
        Z129="Bank","Bank",
        Z129="Government","Government",
        Z129="Social Insurance Agency","Government",
        Z129="Parent Company","Customer",
        Z129="Lender","Lender",
        Z129="Unknown","Unknown",
        ISNUMBER(SEARCH("Abdullah Abdulkarim",M129)),"Service Provider",
        ISNUMBER(SEARCH("Abdullah Fahad",M129)),"Service Provider",
        ISNUMBER(SEARCH("Advanced Equipments",M129)),"Supplier",
        ISNUMBER(SEARCH("Al Banuk Sana",M129)),"Supplier",
        ISNUMBER(SEARCH("Al Khaleefa Factory",M129)),"Supplier",
        ISNUMBER(SEARCH("Al Saadeh Trading",M129)),"Supplier",
        ISNUMBER(SEARCH("Al Zaehaan",M129)),"Supplier",
        ISNUMBER(SEARCH("Ali Abdullah K Al Darwish",M129)),"Service Provider",
        ISNUMBER(SEARCH("Bupa Arabia",M129)),"Insurance Company",
        ISNUMBER(SEARCH("Dar Fahoosaat",M129)),"Service Provider",
        ISNUMBER(SEARCH("General Authority of Zakat",M129)),"Tax Authority",
        ISNUMBER(SEARCH("Gulf Voyager",M129)),"Service Provider",
        ISNUMBER(SEARCH("Hopeway Trading",M129)),"Supplier",
        ISNUMBER(SEARCH("Interhealth Medical",M129)),"Customer",
        ISNUMBER(SEARCH("Ishaar",M129)),"Service Provider",
        ISNUMBER(SEARCH("ISO Arabia",M129)),"Service Provider",
        ISNUMBER(SEARCH("Khalid Saad Al Otaibi",M129)),"Supplier",
        ISNUMBER(SEARCH("MERAS for Decoration",M129)),"Supplier",
        ISNUMBER(SEARCH("Middle East Customs Clearance",M129)),"Service Provider",
        ISNUMBER(SEARCH("Ministry of Human Resources",M129)),"Regulatory Agency",
        ISNUMBER(SEARCH("My Business Services",M129)),"Service Provider",
        ISNUMBER(SEARCH("National Water Company",M129)),"Utility Provider",
        ISNUMBER(SEARCH("Rania Contracting",M129)),"Supplier",
        ISNUMBER(SEARCH("Sahab United Motors",M129)),"Supplier",
        ISNUMBER(SEARCH("Saudi Electric Company",M129)),"Utility Provider",
        ISNUMBER(SEARCH("Saudi Vetonit",M129)),"Supplier",
        ISNUMBER(SEARCH("Shomoul Eng",M129)),"Service Provider",
        ISNUMBER(SEARCH("STC",M129)),"Utility Provider",
        ISNUMBER(SEARCH("The General Organization for Social Insurance",M129)),"Social Insurance Agency",
        ISNUMBER(SEARCH("TUV Rheinland",M129)),"Service Provider",
        ISNUMBER(SEARCH("Al Arabia Ceramic",M129)),"Supplier",
        ISNUMBER(SEARCH("National Company for Building",M129)),"Customer",
        ISNUMBER(SEARCH("Athraa Holding",M129)),"Customer",
        ISNUMBER(SEARCH("Al Rasan",M129)),"Supplier",
        ISNUMBER(SEARCH("Raboua Al Haid",M129)),"Customer",
        ISNUMBER(SEARCH("Al Jazeera Paint",M129)),"Supplier",
        ISNUMBER(SEARCH("Rania Works Contracting",M129)),"Supplier",
        ISNUMBER(SEARCH("Bandar Jarallah",M129)),"Supplier",
        TRUE,"Supplier"
    ),
    "-"
)</f>
        <v>Supplier</v>
      </c>
      <c r="AD129" s="25" t="str" cm="1">
        <f t="array" ref="AD129">_xlfn.IFNA(
    _xlfn.IFS(
        AC129="Same Company","High",
        AC129="Shareholder","High",
        AC129="Government","High",
        AC129="Bank","High",
        AC129="Lender","High",
        AC129="Unknown","Low",
        AC129="-","Low",
        TRUE,"Medium"
    ),
    "-"
)</f>
        <v>Medium</v>
      </c>
      <c r="AE129" s="25" t="str">
        <f t="shared" si="6"/>
        <v>-</v>
      </c>
      <c r="AF129" s="25" t="str" cm="1">
        <f t="array" ref="AF129">_xlfn.IFNA(
    _xlfn.IFS(
        K129="Credit",
            _xlfn.IFS(
                OR(ISNUMBER(SEARCH("Rejected",L129)),ISNUMBER(SEARCH("Returned",L129))),"Other Income",
                TRUE,"Revenue"
            ),
        K129="Debit",
            _xlfn.IFS(
                ISNUMBER(SEARCH("Payroll",L129)),"OPEX",
                ISNUMBER(SEARCH("Expatriate",L129)),"OPEX",
                ISNUMBER(SEARCH("Zakat",M129)),"ZATCA",
                ISNUMBER(SEARCH("General Organization for Social Insurance",M129)),"OPEX",
                ISNUMBER(SEARCH("Saudi Electric",M129)),"OPEX",
                ISNUMBER(SEARCH("STC",M129)),"OPEX",
                ISNUMBER(SEARCH("National Water",M129)),"OPEX",
                ISNUMBER(SEARCH("Bupa",M129)),"OPEX",
                ISNUMBER(SEARCH("Abdullah Abdulkarim",M129)),"OPEX",
                ISNUMBER(SEARCH("Abdullah Fahad",M129)),"OPEX",
                ISNUMBER(SEARCH("ISO Arabia",M129)),"OPEX",
                ISNUMBER(SEARCH("Gulf Voyager",M129)),"OPEX",
                ISNUMBER(SEARCH("Ministry",M129)),"OPEX",
                ISNUMBER(SEARCH("General Authority of Zakat",M129)),"ZATCA",
                ISNUMBER(SEARCH("Rejected",L129)),"Other Income",
                TRUE,"COGS"
            ),
        TRUE,"-"
    ),
    "-"
)</f>
        <v>COGS</v>
      </c>
      <c r="AG129" s="25" t="str" cm="1">
        <f t="array" ref="AG129">_xlfn.IFNA(
    _xlfn.IFS(
        ISNUMBER(SEARCH("Payroll",L129)),"Payroll",
        ISNUMBER(SEARCH("Expatriate",L129)),"Government Fees",
        ISNUMBER(SEARCH("Zakat",M129)),"Zakat",
        ISNUMBER(SEARCH("Social Insurance",M129)),"Social Insurance",
        ISNUMBER(SEARCH("Saudi Electric",M129)),"Electricity",
        ISNUMBER(SEARCH("STC",M129)),"Telecom",
        ISNUMBER(SEARCH("National Water",M129)),"Water",
        ISNUMBER(SEARCH("Bupa",M129)),"Insurance",
        ISNUMBER(SEARCH("Gulf Voyager",M129)),"Travel",
        ISNUMBER(SEARCH("Ministry",M129)),"Government Fees",
        ISNUMBER(SEARCH("Abdullah Abdulkarim",M129)),"Consulting",
        ISNUMBER(SEARCH("Abdullah Fahad",M129)),"Accounting",
        ISNUMBER(SEARCH("ISO Arabia",M129)),"Consulting",
        ISNUMBER(SEARCH("Rejected",L129)),"Refund",
        AF129="COGS","Inventory Purchase",
        AF129="Revenue","Revenue",
        AF129="OPEX","Other",
        AF129="ZATCA","Zakat",
        TRUE,"-"
    ),
    "-"
)</f>
        <v>Inventory Purchase</v>
      </c>
      <c r="AH129" s="25" t="str" cm="1">
        <f t="array" ref="AH129">_xlfn.IFNA(
    _xlfn.IFS(
        AF129="-","Low",
        AF129="Other","Low",
        TRUE,"Medium"
    ),
    "-"
)</f>
        <v>Medium</v>
      </c>
      <c r="AI129" s="25" t="str">
        <f t="shared" si="7"/>
        <v>-</v>
      </c>
    </row>
    <row r="130" spans="1:35" x14ac:dyDescent="0.25">
      <c r="A130" s="10">
        <v>8</v>
      </c>
      <c r="B130" s="10" t="s">
        <v>35</v>
      </c>
      <c r="C130" s="10" t="s">
        <v>36</v>
      </c>
      <c r="D130" s="10" t="s">
        <v>37</v>
      </c>
      <c r="E130" s="10" t="s">
        <v>38</v>
      </c>
      <c r="F130" s="11" t="s">
        <v>39</v>
      </c>
      <c r="G130" s="11" t="s">
        <v>40</v>
      </c>
      <c r="H130" s="12">
        <v>44978</v>
      </c>
      <c r="I130" s="20">
        <v>104867.96</v>
      </c>
      <c r="J130" s="20">
        <v>23005.75</v>
      </c>
      <c r="K130" s="10" t="s">
        <v>41</v>
      </c>
      <c r="L130" s="9" t="s">
        <v>50</v>
      </c>
      <c r="M130" s="9" t="s">
        <v>196</v>
      </c>
      <c r="N130" s="9" t="s">
        <v>197</v>
      </c>
      <c r="O130" s="9" t="s">
        <v>53</v>
      </c>
      <c r="P130" s="15">
        <v>44978</v>
      </c>
      <c r="Q130" s="9" t="s">
        <v>203</v>
      </c>
      <c r="R130" s="16">
        <v>23000</v>
      </c>
      <c r="S130" s="18">
        <v>5</v>
      </c>
      <c r="T130" s="18">
        <v>0.75</v>
      </c>
      <c r="U130" s="9" t="s">
        <v>55</v>
      </c>
      <c r="V130" s="24" t="str" cm="1">
        <f t="array" ref="V130">_xlfn.IFNA(
    _xlfn.IFS(
        ISNUMBER(SEARCH("Fast Outgoing Transfer",L130)),"Transfer",
        ISNUMBER(SEARCH("Incoming Fast Transfer",L130)),"Transfer",
        ISNUMBER(SEARCH("Outgoing International Transfer",L130)),"Transfer",
        ISNUMBER(SEARCH("Bill Payment",L130)),"SADAD",
        ISNUMBER(SEARCH("Payroll",L130)),"Payroll",
        ISNUMBER(SEARCH("Cash Deposit",L130)),"Cash",
        ISNUMBER(SEARCH("Internal Transfer",L130)),"Transfer",
        ISNUMBER(SEARCH("Expatriate Services Payment",L130)),"SADAD",
        ISNUMBER(SEARCH("Rejected",L130)),"Transfer"
    ),
    "-"
)</f>
        <v>Transfer</v>
      </c>
      <c r="W130" s="25" t="str" cm="1">
        <f t="array" ref="W130">_xlfn.IFNA(
    _xlfn.IFS(
        AND(V130="Transfer",ISNUMBER(SEARCH("RIYAD BANK",L130))),"External FI",
        AND(V130="Transfer",ISNUMBER(SEARCH("Al Ahli",L130))),"External FI",
        AND(V130="Transfer",ISNUMBER(SEARCH("CIB via",L130))),"Local Transfer",
        AND(V130="Transfer",ISNUMBER(SEARCH("CIB)",L130))),"Local Transfer",
        AND(V130="Transfer",ISNUMBER(SEARCH("SMRT",L130))),"Local Transfer",
        AND(V130="Transfer",ISNUMBER(SEARCH("Al Murabba",L130))),"Local Transfer",
        AND(V130="Transfer",ISNUMBER(SEARCH("Internal Transfer",L130))),"Same FI",
        AND(V130="Transfer",ISNUMBER(SEARCH("Rejected",L130))),"Failed",
        V130="SADAD",
            _xlfn.IFS(
                ISNUMBER(SEARCH("Expatriate",L130)),"Expat Fees",
                TRUE,"Online Payment"
            ),
        V130="Payroll","Payroll",
        V130="Cash","Deposit",
        TRUE,"-"
    ),
    "-"
)</f>
        <v>Local Transfer</v>
      </c>
      <c r="X130" s="25" t="str" cm="1">
        <f t="array" ref="X130">_xlfn.IFNA(
    _xlfn.IFS(
        V130="-","Low",
        W130="-","Low",
        TRUE,"High"
    ),
    "-"
)</f>
        <v>High</v>
      </c>
      <c r="Y130" s="25" t="str">
        <f t="shared" si="4"/>
        <v>-</v>
      </c>
      <c r="Z130" s="25" t="str" cm="1">
        <f t="array" ref="Z130">_xlfn.IFNA(
    _xlfn.IFS(
        ISNUMBER(SEARCH("Abdul Latif Jameel",M130)),"Lender",
        ISNUMBER(SEARCH("Abdullah Abdulkarim Al Sudais",M130)),"Accounting",
        ISNUMBER(SEARCH("Abdullah Fahad for Accounting",M130)),"Accounting",
        ISNUMBER(SEARCH("Abdullah Rashid Shaikh",M130)),"Shareholder",
        ISNUMBER(SEARCH("Advanced Equipments",M130)),"Equipment Rental",
        ISNUMBER(SEARCH("Al Banuk Sana",M130)),"Telecom Company",
        ISNUMBER(SEARCH("Al Khaleefa Factory",M130)),"Manufacturer",
        ISNUMBER(SEARCH("Al Saadeh Trading",M130)),"Trading Company",
        ISNUMBER(SEARCH("Al Zaehaan",M130)),"Trading Company",
        ISNUMBER(SEARCH("Ali Abdullah K Al Darwish",M130)),"Airlines",
        ISNUMBER(SEARCH("Bupa Arabia",M130)),"Health Insurance",
        ISNUMBER(SEARCH("Dar Fahoosaat",M130)),"Consultant",
        ISNUMBER(SEARCH("General Authority of Zakat",M130)),"Tax Collection",
        ISNUMBER(SEARCH("Gulf Voyager",M130)),"Travel Agency",
        ISNUMBER(SEARCH("Hopeway Trading",M130)),"Trading Company",
        ISNUMBER(SEARCH("Interhealth Medical",M130)),"Medical Services",
        ISNUMBER(SEARCH("Ishaar",M130)),"Online Payment Service",
        ISNUMBER(SEARCH("ISO Arabia",M130)),"Certification",
        ISNUMBER(SEARCH("Khalid Saad Al Otaibi",M130)),"Trading Company",
        ISNUMBER(SEARCH("MERAS for Decoration",M130)),"Decor Company",
        ISNUMBER(SEARCH("Middle East Customs Clearance",M130)),"Customs",
        ISNUMBER(SEARCH("Ministry of Human Resources",M130)),"Government",
        ISNUMBER(SEARCH("My Business Services",M130)),"Service Provider",
        ISNUMBER(SEARCH("National Water Company",M130)),"Water Company",
        ISNUMBER(SEARCH("Rania Contracting",M130)),"Contracting",
        ISNUMBER(SEARCH("Rashid Ali Sheikh",M130)),"Shareholder",
        ISNUMBER(SEARCH("Sahab United Motors",M130)),"Car Show Room",
        ISNUMBER(SEARCH("Saud Mohammed Al Tamimi",M130)),"Shareholder",
        ISNUMBER(SEARCH("Saud Mohammed Tamimi",M130)),"Shareholder",
        ISNUMBER(SEARCH("Saudi Electric Company",M130)),"Electricity Company",
        ISNUMBER(SEARCH("Saudi Vetonit",M130)),"Building Materials",
        ISNUMBER(SEARCH("Shomoul Eng",M130)),"Safety",
        ISNUMBER(SEARCH("STC",M130)),"Telecom Company",
        ISNUMBER(SEARCH("The General Organization for Social Insurance",M130)),"Social Insurance Agency",
        ISNUMBER(SEARCH("TUV Rheinland",M130)),"Certification",
        ISNUMBER(SEARCH("Al Arabia Ceramic",M130)),"Building Materials",
        ISNUMBER(SEARCH("National Company for Building and Marketing",M130)),"Parent Company",
        ISNUMBER(SEARCH("Athraa Holding",M130)),"Holding Company",
        ISNUMBER(SEARCH("Al Rasan",M130)),"Contracting",
        ISNUMBER(SEARCH("Raboua Al Haid",M130)),"Trading Company",
        ISNUMBER(SEARCH("Al Jazeera Paint",M130)),"Manufacturer",
        ISNUMBER(SEARCH("Rania Works Contracting",M130)),"Contracting",
        ISNUMBER(SEARCH("Bandar Jarallah",M130)),"Trading Establishment",
        ISNUMBER(SEARCH("RS Infratec Saudi",M130)),"Same Company",
        ISNUMBER(SEARCH("Payroll",M130)),"Bank",
        ISNUMBER(SEARCH("Expatriate",M130)),"Government",
        ISNUMBER(SEARCH("Unknown Sender",M130)),"Unknown",
        TRUE,"Unknown"
    ),
    "-"
)</f>
        <v>Building Materials</v>
      </c>
      <c r="AA130" s="25" t="str" cm="1">
        <f t="array" ref="AA130">_xlfn.IFNA(
    _xlfn.IFS(
        Z130="Lender","Financing",
        Z130="Accounting","Accounting",
        Z130="Shareholder","Individual",
        Z130="Equipment Rental","Equipment Rental",
        Z130="Telecom Company","Telecom",
        Z130="Manufacturer","Manufacturer",
        Z130="Trading Company","Trading And Transport",
        Z130="Trading Establishment","Trading",
        Z130="Airlines","Airlines",
        Z130="Health Insurance","Insurance",
        Z130="Consultant","Consultant",
        Z130="Tax Collection","Government",
        Z130="Travel Agency","Travel Agency",
        Z130="Medical Services","Medical Center",
        Z130="Online Payment Service","Payment Facilitator",
        Z130="Certification","Safety",
        Z130="Decor Company","Design",
        Z130="Customs","Customs",
        Z130="Government","Government",
        Z130="Service Provider","Service Provider",
        Z130="Water Company","Water Company",
        Z130="Contracting","Contracting",
        Z130="Car Show Room","Car Trader",
        Z130="Electricity Company","Electricity Company",
        Z130="Building Materials","Building Materials",
        Z130="Safety","Safety",
        Z130="Social Insurance Agency","Government Fund",
        Z130="Parent Company","Holding Company",
        Z130="Holding Company","Holding Company",
        Z130="Same Company","Construction",
        Z130="Bank","Bank",
        Z130="Unknown","Unknown",
        TRUE,"-"
    ),
    "-"
)</f>
        <v>Building Materials</v>
      </c>
      <c r="AB130" s="25" t="str">
        <f t="shared" si="5"/>
        <v>-</v>
      </c>
      <c r="AC130" s="25" t="str" cm="1">
        <f t="array" ref="AC130">_xlfn.IFNA(
    _xlfn.IFS(
        Z130="Shareholder","Shareholder",
        Z130="Same Company","Same Company",
        Z130="Bank","Bank",
        Z130="Government","Government",
        Z130="Social Insurance Agency","Government",
        Z130="Parent Company","Customer",
        Z130="Lender","Lender",
        Z130="Unknown","Unknown",
        ISNUMBER(SEARCH("Abdullah Abdulkarim",M130)),"Service Provider",
        ISNUMBER(SEARCH("Abdullah Fahad",M130)),"Service Provider",
        ISNUMBER(SEARCH("Advanced Equipments",M130)),"Supplier",
        ISNUMBER(SEARCH("Al Banuk Sana",M130)),"Supplier",
        ISNUMBER(SEARCH("Al Khaleefa Factory",M130)),"Supplier",
        ISNUMBER(SEARCH("Al Saadeh Trading",M130)),"Supplier",
        ISNUMBER(SEARCH("Al Zaehaan",M130)),"Supplier",
        ISNUMBER(SEARCH("Ali Abdullah K Al Darwish",M130)),"Service Provider",
        ISNUMBER(SEARCH("Bupa Arabia",M130)),"Insurance Company",
        ISNUMBER(SEARCH("Dar Fahoosaat",M130)),"Service Provider",
        ISNUMBER(SEARCH("General Authority of Zakat",M130)),"Tax Authority",
        ISNUMBER(SEARCH("Gulf Voyager",M130)),"Service Provider",
        ISNUMBER(SEARCH("Hopeway Trading",M130)),"Supplier",
        ISNUMBER(SEARCH("Interhealth Medical",M130)),"Customer",
        ISNUMBER(SEARCH("Ishaar",M130)),"Service Provider",
        ISNUMBER(SEARCH("ISO Arabia",M130)),"Service Provider",
        ISNUMBER(SEARCH("Khalid Saad Al Otaibi",M130)),"Supplier",
        ISNUMBER(SEARCH("MERAS for Decoration",M130)),"Supplier",
        ISNUMBER(SEARCH("Middle East Customs Clearance",M130)),"Service Provider",
        ISNUMBER(SEARCH("Ministry of Human Resources",M130)),"Regulatory Agency",
        ISNUMBER(SEARCH("My Business Services",M130)),"Service Provider",
        ISNUMBER(SEARCH("National Water Company",M130)),"Utility Provider",
        ISNUMBER(SEARCH("Rania Contracting",M130)),"Supplier",
        ISNUMBER(SEARCH("Sahab United Motors",M130)),"Supplier",
        ISNUMBER(SEARCH("Saudi Electric Company",M130)),"Utility Provider",
        ISNUMBER(SEARCH("Saudi Vetonit",M130)),"Supplier",
        ISNUMBER(SEARCH("Shomoul Eng",M130)),"Service Provider",
        ISNUMBER(SEARCH("STC",M130)),"Utility Provider",
        ISNUMBER(SEARCH("The General Organization for Social Insurance",M130)),"Social Insurance Agency",
        ISNUMBER(SEARCH("TUV Rheinland",M130)),"Service Provider",
        ISNUMBER(SEARCH("Al Arabia Ceramic",M130)),"Supplier",
        ISNUMBER(SEARCH("National Company for Building",M130)),"Customer",
        ISNUMBER(SEARCH("Athraa Holding",M130)),"Customer",
        ISNUMBER(SEARCH("Al Rasan",M130)),"Supplier",
        ISNUMBER(SEARCH("Raboua Al Haid",M130)),"Customer",
        ISNUMBER(SEARCH("Al Jazeera Paint",M130)),"Supplier",
        ISNUMBER(SEARCH("Rania Works Contracting",M130)),"Supplier",
        ISNUMBER(SEARCH("Bandar Jarallah",M130)),"Supplier",
        TRUE,"Supplier"
    ),
    "-"
)</f>
        <v>Supplier</v>
      </c>
      <c r="AD130" s="25" t="str" cm="1">
        <f t="array" ref="AD130">_xlfn.IFNA(
    _xlfn.IFS(
        AC130="Same Company","High",
        AC130="Shareholder","High",
        AC130="Government","High",
        AC130="Bank","High",
        AC130="Lender","High",
        AC130="Unknown","Low",
        AC130="-","Low",
        TRUE,"Medium"
    ),
    "-"
)</f>
        <v>Medium</v>
      </c>
      <c r="AE130" s="25" t="str">
        <f t="shared" si="6"/>
        <v>-</v>
      </c>
      <c r="AF130" s="25" t="str" cm="1">
        <f t="array" ref="AF130">_xlfn.IFNA(
    _xlfn.IFS(
        K130="Credit",
            _xlfn.IFS(
                OR(ISNUMBER(SEARCH("Rejected",L130)),ISNUMBER(SEARCH("Returned",L130))),"Other Income",
                TRUE,"Revenue"
            ),
        K130="Debit",
            _xlfn.IFS(
                ISNUMBER(SEARCH("Payroll",L130)),"OPEX",
                ISNUMBER(SEARCH("Expatriate",L130)),"OPEX",
                ISNUMBER(SEARCH("Zakat",M130)),"ZATCA",
                ISNUMBER(SEARCH("General Organization for Social Insurance",M130)),"OPEX",
                ISNUMBER(SEARCH("Saudi Electric",M130)),"OPEX",
                ISNUMBER(SEARCH("STC",M130)),"OPEX",
                ISNUMBER(SEARCH("National Water",M130)),"OPEX",
                ISNUMBER(SEARCH("Bupa",M130)),"OPEX",
                ISNUMBER(SEARCH("Abdullah Abdulkarim",M130)),"OPEX",
                ISNUMBER(SEARCH("Abdullah Fahad",M130)),"OPEX",
                ISNUMBER(SEARCH("ISO Arabia",M130)),"OPEX",
                ISNUMBER(SEARCH("Gulf Voyager",M130)),"OPEX",
                ISNUMBER(SEARCH("Ministry",M130)),"OPEX",
                ISNUMBER(SEARCH("General Authority of Zakat",M130)),"ZATCA",
                ISNUMBER(SEARCH("Rejected",L130)),"Other Income",
                TRUE,"COGS"
            ),
        TRUE,"-"
    ),
    "-"
)</f>
        <v>COGS</v>
      </c>
      <c r="AG130" s="25" t="str" cm="1">
        <f t="array" ref="AG130">_xlfn.IFNA(
    _xlfn.IFS(
        ISNUMBER(SEARCH("Payroll",L130)),"Payroll",
        ISNUMBER(SEARCH("Expatriate",L130)),"Government Fees",
        ISNUMBER(SEARCH("Zakat",M130)),"Zakat",
        ISNUMBER(SEARCH("Social Insurance",M130)),"Social Insurance",
        ISNUMBER(SEARCH("Saudi Electric",M130)),"Electricity",
        ISNUMBER(SEARCH("STC",M130)),"Telecom",
        ISNUMBER(SEARCH("National Water",M130)),"Water",
        ISNUMBER(SEARCH("Bupa",M130)),"Insurance",
        ISNUMBER(SEARCH("Gulf Voyager",M130)),"Travel",
        ISNUMBER(SEARCH("Ministry",M130)),"Government Fees",
        ISNUMBER(SEARCH("Abdullah Abdulkarim",M130)),"Consulting",
        ISNUMBER(SEARCH("Abdullah Fahad",M130)),"Accounting",
        ISNUMBER(SEARCH("ISO Arabia",M130)),"Consulting",
        ISNUMBER(SEARCH("Rejected",L130)),"Refund",
        AF130="COGS","Inventory Purchase",
        AF130="Revenue","Revenue",
        AF130="OPEX","Other",
        AF130="ZATCA","Zakat",
        TRUE,"-"
    ),
    "-"
)</f>
        <v>Inventory Purchase</v>
      </c>
      <c r="AH130" s="25" t="str" cm="1">
        <f t="array" ref="AH130">_xlfn.IFNA(
    _xlfn.IFS(
        AF130="-","Low",
        AF130="Other","Low",
        TRUE,"Medium"
    ),
    "-"
)</f>
        <v>Medium</v>
      </c>
      <c r="AI130" s="25" t="str">
        <f t="shared" si="7"/>
        <v>-</v>
      </c>
    </row>
    <row r="131" spans="1:35" x14ac:dyDescent="0.25">
      <c r="A131" s="10">
        <v>8</v>
      </c>
      <c r="B131" s="10" t="s">
        <v>35</v>
      </c>
      <c r="C131" s="10" t="s">
        <v>36</v>
      </c>
      <c r="D131" s="10" t="s">
        <v>37</v>
      </c>
      <c r="E131" s="10" t="s">
        <v>38</v>
      </c>
      <c r="F131" s="11" t="s">
        <v>39</v>
      </c>
      <c r="G131" s="11" t="s">
        <v>40</v>
      </c>
      <c r="H131" s="12">
        <v>44990</v>
      </c>
      <c r="I131" s="20">
        <v>138535.38</v>
      </c>
      <c r="J131" s="20">
        <v>21855.75</v>
      </c>
      <c r="K131" s="10" t="s">
        <v>41</v>
      </c>
      <c r="L131" s="9" t="s">
        <v>50</v>
      </c>
      <c r="M131" s="9" t="s">
        <v>196</v>
      </c>
      <c r="N131" s="9" t="s">
        <v>197</v>
      </c>
      <c r="O131" s="9" t="s">
        <v>53</v>
      </c>
      <c r="P131" s="15">
        <v>44990</v>
      </c>
      <c r="Q131" s="9" t="s">
        <v>204</v>
      </c>
      <c r="R131" s="16">
        <v>21850</v>
      </c>
      <c r="S131" s="18">
        <v>5</v>
      </c>
      <c r="T131" s="18">
        <v>0.75</v>
      </c>
      <c r="U131" s="9" t="s">
        <v>55</v>
      </c>
      <c r="V131" s="24" t="str" cm="1">
        <f t="array" ref="V131">_xlfn.IFNA(
    _xlfn.IFS(
        ISNUMBER(SEARCH("Fast Outgoing Transfer",L131)),"Transfer",
        ISNUMBER(SEARCH("Incoming Fast Transfer",L131)),"Transfer",
        ISNUMBER(SEARCH("Outgoing International Transfer",L131)),"Transfer",
        ISNUMBER(SEARCH("Bill Payment",L131)),"SADAD",
        ISNUMBER(SEARCH("Payroll",L131)),"Payroll",
        ISNUMBER(SEARCH("Cash Deposit",L131)),"Cash",
        ISNUMBER(SEARCH("Internal Transfer",L131)),"Transfer",
        ISNUMBER(SEARCH("Expatriate Services Payment",L131)),"SADAD",
        ISNUMBER(SEARCH("Rejected",L131)),"Transfer"
    ),
    "-"
)</f>
        <v>Transfer</v>
      </c>
      <c r="W131" s="25" t="str" cm="1">
        <f t="array" ref="W131">_xlfn.IFNA(
    _xlfn.IFS(
        AND(V131="Transfer",ISNUMBER(SEARCH("RIYAD BANK",L131))),"External FI",
        AND(V131="Transfer",ISNUMBER(SEARCH("Al Ahli",L131))),"External FI",
        AND(V131="Transfer",ISNUMBER(SEARCH("CIB via",L131))),"Local Transfer",
        AND(V131="Transfer",ISNUMBER(SEARCH("CIB)",L131))),"Local Transfer",
        AND(V131="Transfer",ISNUMBER(SEARCH("SMRT",L131))),"Local Transfer",
        AND(V131="Transfer",ISNUMBER(SEARCH("Al Murabba",L131))),"Local Transfer",
        AND(V131="Transfer",ISNUMBER(SEARCH("Internal Transfer",L131))),"Same FI",
        AND(V131="Transfer",ISNUMBER(SEARCH("Rejected",L131))),"Failed",
        V131="SADAD",
            _xlfn.IFS(
                ISNUMBER(SEARCH("Expatriate",L131)),"Expat Fees",
                TRUE,"Online Payment"
            ),
        V131="Payroll","Payroll",
        V131="Cash","Deposit",
        TRUE,"-"
    ),
    "-"
)</f>
        <v>Local Transfer</v>
      </c>
      <c r="X131" s="25" t="str" cm="1">
        <f t="array" ref="X131">_xlfn.IFNA(
    _xlfn.IFS(
        V131="-","Low",
        W131="-","Low",
        TRUE,"High"
    ),
    "-"
)</f>
        <v>High</v>
      </c>
      <c r="Y131" s="25" t="str">
        <f t="shared" ref="Y131:Y194" si="8">"-"</f>
        <v>-</v>
      </c>
      <c r="Z131" s="25" t="str" cm="1">
        <f t="array" ref="Z131">_xlfn.IFNA(
    _xlfn.IFS(
        ISNUMBER(SEARCH("Abdul Latif Jameel",M131)),"Lender",
        ISNUMBER(SEARCH("Abdullah Abdulkarim Al Sudais",M131)),"Accounting",
        ISNUMBER(SEARCH("Abdullah Fahad for Accounting",M131)),"Accounting",
        ISNUMBER(SEARCH("Abdullah Rashid Shaikh",M131)),"Shareholder",
        ISNUMBER(SEARCH("Advanced Equipments",M131)),"Equipment Rental",
        ISNUMBER(SEARCH("Al Banuk Sana",M131)),"Telecom Company",
        ISNUMBER(SEARCH("Al Khaleefa Factory",M131)),"Manufacturer",
        ISNUMBER(SEARCH("Al Saadeh Trading",M131)),"Trading Company",
        ISNUMBER(SEARCH("Al Zaehaan",M131)),"Trading Company",
        ISNUMBER(SEARCH("Ali Abdullah K Al Darwish",M131)),"Airlines",
        ISNUMBER(SEARCH("Bupa Arabia",M131)),"Health Insurance",
        ISNUMBER(SEARCH("Dar Fahoosaat",M131)),"Consultant",
        ISNUMBER(SEARCH("General Authority of Zakat",M131)),"Tax Collection",
        ISNUMBER(SEARCH("Gulf Voyager",M131)),"Travel Agency",
        ISNUMBER(SEARCH("Hopeway Trading",M131)),"Trading Company",
        ISNUMBER(SEARCH("Interhealth Medical",M131)),"Medical Services",
        ISNUMBER(SEARCH("Ishaar",M131)),"Online Payment Service",
        ISNUMBER(SEARCH("ISO Arabia",M131)),"Certification",
        ISNUMBER(SEARCH("Khalid Saad Al Otaibi",M131)),"Trading Company",
        ISNUMBER(SEARCH("MERAS for Decoration",M131)),"Decor Company",
        ISNUMBER(SEARCH("Middle East Customs Clearance",M131)),"Customs",
        ISNUMBER(SEARCH("Ministry of Human Resources",M131)),"Government",
        ISNUMBER(SEARCH("My Business Services",M131)),"Service Provider",
        ISNUMBER(SEARCH("National Water Company",M131)),"Water Company",
        ISNUMBER(SEARCH("Rania Contracting",M131)),"Contracting",
        ISNUMBER(SEARCH("Rashid Ali Sheikh",M131)),"Shareholder",
        ISNUMBER(SEARCH("Sahab United Motors",M131)),"Car Show Room",
        ISNUMBER(SEARCH("Saud Mohammed Al Tamimi",M131)),"Shareholder",
        ISNUMBER(SEARCH("Saud Mohammed Tamimi",M131)),"Shareholder",
        ISNUMBER(SEARCH("Saudi Electric Company",M131)),"Electricity Company",
        ISNUMBER(SEARCH("Saudi Vetonit",M131)),"Building Materials",
        ISNUMBER(SEARCH("Shomoul Eng",M131)),"Safety",
        ISNUMBER(SEARCH("STC",M131)),"Telecom Company",
        ISNUMBER(SEARCH("The General Organization for Social Insurance",M131)),"Social Insurance Agency",
        ISNUMBER(SEARCH("TUV Rheinland",M131)),"Certification",
        ISNUMBER(SEARCH("Al Arabia Ceramic",M131)),"Building Materials",
        ISNUMBER(SEARCH("National Company for Building and Marketing",M131)),"Parent Company",
        ISNUMBER(SEARCH("Athraa Holding",M131)),"Holding Company",
        ISNUMBER(SEARCH("Al Rasan",M131)),"Contracting",
        ISNUMBER(SEARCH("Raboua Al Haid",M131)),"Trading Company",
        ISNUMBER(SEARCH("Al Jazeera Paint",M131)),"Manufacturer",
        ISNUMBER(SEARCH("Rania Works Contracting",M131)),"Contracting",
        ISNUMBER(SEARCH("Bandar Jarallah",M131)),"Trading Establishment",
        ISNUMBER(SEARCH("RS Infratec Saudi",M131)),"Same Company",
        ISNUMBER(SEARCH("Payroll",M131)),"Bank",
        ISNUMBER(SEARCH("Expatriate",M131)),"Government",
        ISNUMBER(SEARCH("Unknown Sender",M131)),"Unknown",
        TRUE,"Unknown"
    ),
    "-"
)</f>
        <v>Building Materials</v>
      </c>
      <c r="AA131" s="25" t="str" cm="1">
        <f t="array" ref="AA131">_xlfn.IFNA(
    _xlfn.IFS(
        Z131="Lender","Financing",
        Z131="Accounting","Accounting",
        Z131="Shareholder","Individual",
        Z131="Equipment Rental","Equipment Rental",
        Z131="Telecom Company","Telecom",
        Z131="Manufacturer","Manufacturer",
        Z131="Trading Company","Trading And Transport",
        Z131="Trading Establishment","Trading",
        Z131="Airlines","Airlines",
        Z131="Health Insurance","Insurance",
        Z131="Consultant","Consultant",
        Z131="Tax Collection","Government",
        Z131="Travel Agency","Travel Agency",
        Z131="Medical Services","Medical Center",
        Z131="Online Payment Service","Payment Facilitator",
        Z131="Certification","Safety",
        Z131="Decor Company","Design",
        Z131="Customs","Customs",
        Z131="Government","Government",
        Z131="Service Provider","Service Provider",
        Z131="Water Company","Water Company",
        Z131="Contracting","Contracting",
        Z131="Car Show Room","Car Trader",
        Z131="Electricity Company","Electricity Company",
        Z131="Building Materials","Building Materials",
        Z131="Safety","Safety",
        Z131="Social Insurance Agency","Government Fund",
        Z131="Parent Company","Holding Company",
        Z131="Holding Company","Holding Company",
        Z131="Same Company","Construction",
        Z131="Bank","Bank",
        Z131="Unknown","Unknown",
        TRUE,"-"
    ),
    "-"
)</f>
        <v>Building Materials</v>
      </c>
      <c r="AB131" s="25" t="str">
        <f t="shared" ref="AB131:AB194" si="9">"-"</f>
        <v>-</v>
      </c>
      <c r="AC131" s="25" t="str" cm="1">
        <f t="array" ref="AC131">_xlfn.IFNA(
    _xlfn.IFS(
        Z131="Shareholder","Shareholder",
        Z131="Same Company","Same Company",
        Z131="Bank","Bank",
        Z131="Government","Government",
        Z131="Social Insurance Agency","Government",
        Z131="Parent Company","Customer",
        Z131="Lender","Lender",
        Z131="Unknown","Unknown",
        ISNUMBER(SEARCH("Abdullah Abdulkarim",M131)),"Service Provider",
        ISNUMBER(SEARCH("Abdullah Fahad",M131)),"Service Provider",
        ISNUMBER(SEARCH("Advanced Equipments",M131)),"Supplier",
        ISNUMBER(SEARCH("Al Banuk Sana",M131)),"Supplier",
        ISNUMBER(SEARCH("Al Khaleefa Factory",M131)),"Supplier",
        ISNUMBER(SEARCH("Al Saadeh Trading",M131)),"Supplier",
        ISNUMBER(SEARCH("Al Zaehaan",M131)),"Supplier",
        ISNUMBER(SEARCH("Ali Abdullah K Al Darwish",M131)),"Service Provider",
        ISNUMBER(SEARCH("Bupa Arabia",M131)),"Insurance Company",
        ISNUMBER(SEARCH("Dar Fahoosaat",M131)),"Service Provider",
        ISNUMBER(SEARCH("General Authority of Zakat",M131)),"Tax Authority",
        ISNUMBER(SEARCH("Gulf Voyager",M131)),"Service Provider",
        ISNUMBER(SEARCH("Hopeway Trading",M131)),"Supplier",
        ISNUMBER(SEARCH("Interhealth Medical",M131)),"Customer",
        ISNUMBER(SEARCH("Ishaar",M131)),"Service Provider",
        ISNUMBER(SEARCH("ISO Arabia",M131)),"Service Provider",
        ISNUMBER(SEARCH("Khalid Saad Al Otaibi",M131)),"Supplier",
        ISNUMBER(SEARCH("MERAS for Decoration",M131)),"Supplier",
        ISNUMBER(SEARCH("Middle East Customs Clearance",M131)),"Service Provider",
        ISNUMBER(SEARCH("Ministry of Human Resources",M131)),"Regulatory Agency",
        ISNUMBER(SEARCH("My Business Services",M131)),"Service Provider",
        ISNUMBER(SEARCH("National Water Company",M131)),"Utility Provider",
        ISNUMBER(SEARCH("Rania Contracting",M131)),"Supplier",
        ISNUMBER(SEARCH("Sahab United Motors",M131)),"Supplier",
        ISNUMBER(SEARCH("Saudi Electric Company",M131)),"Utility Provider",
        ISNUMBER(SEARCH("Saudi Vetonit",M131)),"Supplier",
        ISNUMBER(SEARCH("Shomoul Eng",M131)),"Service Provider",
        ISNUMBER(SEARCH("STC",M131)),"Utility Provider",
        ISNUMBER(SEARCH("The General Organization for Social Insurance",M131)),"Social Insurance Agency",
        ISNUMBER(SEARCH("TUV Rheinland",M131)),"Service Provider",
        ISNUMBER(SEARCH("Al Arabia Ceramic",M131)),"Supplier",
        ISNUMBER(SEARCH("National Company for Building",M131)),"Customer",
        ISNUMBER(SEARCH("Athraa Holding",M131)),"Customer",
        ISNUMBER(SEARCH("Al Rasan",M131)),"Supplier",
        ISNUMBER(SEARCH("Raboua Al Haid",M131)),"Customer",
        ISNUMBER(SEARCH("Al Jazeera Paint",M131)),"Supplier",
        ISNUMBER(SEARCH("Rania Works Contracting",M131)),"Supplier",
        ISNUMBER(SEARCH("Bandar Jarallah",M131)),"Supplier",
        TRUE,"Supplier"
    ),
    "-"
)</f>
        <v>Supplier</v>
      </c>
      <c r="AD131" s="25" t="str" cm="1">
        <f t="array" ref="AD131">_xlfn.IFNA(
    _xlfn.IFS(
        AC131="Same Company","High",
        AC131="Shareholder","High",
        AC131="Government","High",
        AC131="Bank","High",
        AC131="Lender","High",
        AC131="Unknown","Low",
        AC131="-","Low",
        TRUE,"Medium"
    ),
    "-"
)</f>
        <v>Medium</v>
      </c>
      <c r="AE131" s="25" t="str">
        <f t="shared" ref="AE131:AE194" si="10">"-"</f>
        <v>-</v>
      </c>
      <c r="AF131" s="25" t="str" cm="1">
        <f t="array" ref="AF131">_xlfn.IFNA(
    _xlfn.IFS(
        K131="Credit",
            _xlfn.IFS(
                OR(ISNUMBER(SEARCH("Rejected",L131)),ISNUMBER(SEARCH("Returned",L131))),"Other Income",
                TRUE,"Revenue"
            ),
        K131="Debit",
            _xlfn.IFS(
                ISNUMBER(SEARCH("Payroll",L131)),"OPEX",
                ISNUMBER(SEARCH("Expatriate",L131)),"OPEX",
                ISNUMBER(SEARCH("Zakat",M131)),"ZATCA",
                ISNUMBER(SEARCH("General Organization for Social Insurance",M131)),"OPEX",
                ISNUMBER(SEARCH("Saudi Electric",M131)),"OPEX",
                ISNUMBER(SEARCH("STC",M131)),"OPEX",
                ISNUMBER(SEARCH("National Water",M131)),"OPEX",
                ISNUMBER(SEARCH("Bupa",M131)),"OPEX",
                ISNUMBER(SEARCH("Abdullah Abdulkarim",M131)),"OPEX",
                ISNUMBER(SEARCH("Abdullah Fahad",M131)),"OPEX",
                ISNUMBER(SEARCH("ISO Arabia",M131)),"OPEX",
                ISNUMBER(SEARCH("Gulf Voyager",M131)),"OPEX",
                ISNUMBER(SEARCH("Ministry",M131)),"OPEX",
                ISNUMBER(SEARCH("General Authority of Zakat",M131)),"ZATCA",
                ISNUMBER(SEARCH("Rejected",L131)),"Other Income",
                TRUE,"COGS"
            ),
        TRUE,"-"
    ),
    "-"
)</f>
        <v>COGS</v>
      </c>
      <c r="AG131" s="25" t="str" cm="1">
        <f t="array" ref="AG131">_xlfn.IFNA(
    _xlfn.IFS(
        ISNUMBER(SEARCH("Payroll",L131)),"Payroll",
        ISNUMBER(SEARCH("Expatriate",L131)),"Government Fees",
        ISNUMBER(SEARCH("Zakat",M131)),"Zakat",
        ISNUMBER(SEARCH("Social Insurance",M131)),"Social Insurance",
        ISNUMBER(SEARCH("Saudi Electric",M131)),"Electricity",
        ISNUMBER(SEARCH("STC",M131)),"Telecom",
        ISNUMBER(SEARCH("National Water",M131)),"Water",
        ISNUMBER(SEARCH("Bupa",M131)),"Insurance",
        ISNUMBER(SEARCH("Gulf Voyager",M131)),"Travel",
        ISNUMBER(SEARCH("Ministry",M131)),"Government Fees",
        ISNUMBER(SEARCH("Abdullah Abdulkarim",M131)),"Consulting",
        ISNUMBER(SEARCH("Abdullah Fahad",M131)),"Accounting",
        ISNUMBER(SEARCH("ISO Arabia",M131)),"Consulting",
        ISNUMBER(SEARCH("Rejected",L131)),"Refund",
        AF131="COGS","Inventory Purchase",
        AF131="Revenue","Revenue",
        AF131="OPEX","Other",
        AF131="ZATCA","Zakat",
        TRUE,"-"
    ),
    "-"
)</f>
        <v>Inventory Purchase</v>
      </c>
      <c r="AH131" s="25" t="str" cm="1">
        <f t="array" ref="AH131">_xlfn.IFNA(
    _xlfn.IFS(
        AF131="-","Low",
        AF131="Other","Low",
        TRUE,"Medium"
    ),
    "-"
)</f>
        <v>Medium</v>
      </c>
      <c r="AI131" s="25" t="str">
        <f t="shared" ref="AI131:AI194" si="11">"-"</f>
        <v>-</v>
      </c>
    </row>
    <row r="132" spans="1:35" x14ac:dyDescent="0.25">
      <c r="A132" s="10">
        <v>8</v>
      </c>
      <c r="B132" s="10" t="s">
        <v>35</v>
      </c>
      <c r="C132" s="10" t="s">
        <v>36</v>
      </c>
      <c r="D132" s="10" t="s">
        <v>37</v>
      </c>
      <c r="E132" s="10" t="s">
        <v>38</v>
      </c>
      <c r="F132" s="11" t="s">
        <v>39</v>
      </c>
      <c r="G132" s="11" t="s">
        <v>40</v>
      </c>
      <c r="H132" s="12">
        <v>44990</v>
      </c>
      <c r="I132" s="20">
        <v>115184.63</v>
      </c>
      <c r="J132" s="20">
        <v>23350.75</v>
      </c>
      <c r="K132" s="10" t="s">
        <v>41</v>
      </c>
      <c r="L132" s="9" t="s">
        <v>50</v>
      </c>
      <c r="M132" s="9" t="s">
        <v>196</v>
      </c>
      <c r="N132" s="9" t="s">
        <v>197</v>
      </c>
      <c r="O132" s="9" t="s">
        <v>53</v>
      </c>
      <c r="P132" s="15">
        <v>44990</v>
      </c>
      <c r="Q132" s="9" t="s">
        <v>205</v>
      </c>
      <c r="R132" s="16">
        <v>23345</v>
      </c>
      <c r="S132" s="18">
        <v>5</v>
      </c>
      <c r="T132" s="18">
        <v>0.75</v>
      </c>
      <c r="U132" s="9" t="s">
        <v>55</v>
      </c>
      <c r="V132" s="24" t="str" cm="1">
        <f t="array" ref="V132">_xlfn.IFNA(
    _xlfn.IFS(
        ISNUMBER(SEARCH("Fast Outgoing Transfer",L132)),"Transfer",
        ISNUMBER(SEARCH("Incoming Fast Transfer",L132)),"Transfer",
        ISNUMBER(SEARCH("Outgoing International Transfer",L132)),"Transfer",
        ISNUMBER(SEARCH("Bill Payment",L132)),"SADAD",
        ISNUMBER(SEARCH("Payroll",L132)),"Payroll",
        ISNUMBER(SEARCH("Cash Deposit",L132)),"Cash",
        ISNUMBER(SEARCH("Internal Transfer",L132)),"Transfer",
        ISNUMBER(SEARCH("Expatriate Services Payment",L132)),"SADAD",
        ISNUMBER(SEARCH("Rejected",L132)),"Transfer"
    ),
    "-"
)</f>
        <v>Transfer</v>
      </c>
      <c r="W132" s="25" t="str" cm="1">
        <f t="array" ref="W132">_xlfn.IFNA(
    _xlfn.IFS(
        AND(V132="Transfer",ISNUMBER(SEARCH("RIYAD BANK",L132))),"External FI",
        AND(V132="Transfer",ISNUMBER(SEARCH("Al Ahli",L132))),"External FI",
        AND(V132="Transfer",ISNUMBER(SEARCH("CIB via",L132))),"Local Transfer",
        AND(V132="Transfer",ISNUMBER(SEARCH("CIB)",L132))),"Local Transfer",
        AND(V132="Transfer",ISNUMBER(SEARCH("SMRT",L132))),"Local Transfer",
        AND(V132="Transfer",ISNUMBER(SEARCH("Al Murabba",L132))),"Local Transfer",
        AND(V132="Transfer",ISNUMBER(SEARCH("Internal Transfer",L132))),"Same FI",
        AND(V132="Transfer",ISNUMBER(SEARCH("Rejected",L132))),"Failed",
        V132="SADAD",
            _xlfn.IFS(
                ISNUMBER(SEARCH("Expatriate",L132)),"Expat Fees",
                TRUE,"Online Payment"
            ),
        V132="Payroll","Payroll",
        V132="Cash","Deposit",
        TRUE,"-"
    ),
    "-"
)</f>
        <v>Local Transfer</v>
      </c>
      <c r="X132" s="25" t="str" cm="1">
        <f t="array" ref="X132">_xlfn.IFNA(
    _xlfn.IFS(
        V132="-","Low",
        W132="-","Low",
        TRUE,"High"
    ),
    "-"
)</f>
        <v>High</v>
      </c>
      <c r="Y132" s="25" t="str">
        <f t="shared" si="8"/>
        <v>-</v>
      </c>
      <c r="Z132" s="25" t="str" cm="1">
        <f t="array" ref="Z132">_xlfn.IFNA(
    _xlfn.IFS(
        ISNUMBER(SEARCH("Abdul Latif Jameel",M132)),"Lender",
        ISNUMBER(SEARCH("Abdullah Abdulkarim Al Sudais",M132)),"Accounting",
        ISNUMBER(SEARCH("Abdullah Fahad for Accounting",M132)),"Accounting",
        ISNUMBER(SEARCH("Abdullah Rashid Shaikh",M132)),"Shareholder",
        ISNUMBER(SEARCH("Advanced Equipments",M132)),"Equipment Rental",
        ISNUMBER(SEARCH("Al Banuk Sana",M132)),"Telecom Company",
        ISNUMBER(SEARCH("Al Khaleefa Factory",M132)),"Manufacturer",
        ISNUMBER(SEARCH("Al Saadeh Trading",M132)),"Trading Company",
        ISNUMBER(SEARCH("Al Zaehaan",M132)),"Trading Company",
        ISNUMBER(SEARCH("Ali Abdullah K Al Darwish",M132)),"Airlines",
        ISNUMBER(SEARCH("Bupa Arabia",M132)),"Health Insurance",
        ISNUMBER(SEARCH("Dar Fahoosaat",M132)),"Consultant",
        ISNUMBER(SEARCH("General Authority of Zakat",M132)),"Tax Collection",
        ISNUMBER(SEARCH("Gulf Voyager",M132)),"Travel Agency",
        ISNUMBER(SEARCH("Hopeway Trading",M132)),"Trading Company",
        ISNUMBER(SEARCH("Interhealth Medical",M132)),"Medical Services",
        ISNUMBER(SEARCH("Ishaar",M132)),"Online Payment Service",
        ISNUMBER(SEARCH("ISO Arabia",M132)),"Certification",
        ISNUMBER(SEARCH("Khalid Saad Al Otaibi",M132)),"Trading Company",
        ISNUMBER(SEARCH("MERAS for Decoration",M132)),"Decor Company",
        ISNUMBER(SEARCH("Middle East Customs Clearance",M132)),"Customs",
        ISNUMBER(SEARCH("Ministry of Human Resources",M132)),"Government",
        ISNUMBER(SEARCH("My Business Services",M132)),"Service Provider",
        ISNUMBER(SEARCH("National Water Company",M132)),"Water Company",
        ISNUMBER(SEARCH("Rania Contracting",M132)),"Contracting",
        ISNUMBER(SEARCH("Rashid Ali Sheikh",M132)),"Shareholder",
        ISNUMBER(SEARCH("Sahab United Motors",M132)),"Car Show Room",
        ISNUMBER(SEARCH("Saud Mohammed Al Tamimi",M132)),"Shareholder",
        ISNUMBER(SEARCH("Saud Mohammed Tamimi",M132)),"Shareholder",
        ISNUMBER(SEARCH("Saudi Electric Company",M132)),"Electricity Company",
        ISNUMBER(SEARCH("Saudi Vetonit",M132)),"Building Materials",
        ISNUMBER(SEARCH("Shomoul Eng",M132)),"Safety",
        ISNUMBER(SEARCH("STC",M132)),"Telecom Company",
        ISNUMBER(SEARCH("The General Organization for Social Insurance",M132)),"Social Insurance Agency",
        ISNUMBER(SEARCH("TUV Rheinland",M132)),"Certification",
        ISNUMBER(SEARCH("Al Arabia Ceramic",M132)),"Building Materials",
        ISNUMBER(SEARCH("National Company for Building and Marketing",M132)),"Parent Company",
        ISNUMBER(SEARCH("Athraa Holding",M132)),"Holding Company",
        ISNUMBER(SEARCH("Al Rasan",M132)),"Contracting",
        ISNUMBER(SEARCH("Raboua Al Haid",M132)),"Trading Company",
        ISNUMBER(SEARCH("Al Jazeera Paint",M132)),"Manufacturer",
        ISNUMBER(SEARCH("Rania Works Contracting",M132)),"Contracting",
        ISNUMBER(SEARCH("Bandar Jarallah",M132)),"Trading Establishment",
        ISNUMBER(SEARCH("RS Infratec Saudi",M132)),"Same Company",
        ISNUMBER(SEARCH("Payroll",M132)),"Bank",
        ISNUMBER(SEARCH("Expatriate",M132)),"Government",
        ISNUMBER(SEARCH("Unknown Sender",M132)),"Unknown",
        TRUE,"Unknown"
    ),
    "-"
)</f>
        <v>Building Materials</v>
      </c>
      <c r="AA132" s="25" t="str" cm="1">
        <f t="array" ref="AA132">_xlfn.IFNA(
    _xlfn.IFS(
        Z132="Lender","Financing",
        Z132="Accounting","Accounting",
        Z132="Shareholder","Individual",
        Z132="Equipment Rental","Equipment Rental",
        Z132="Telecom Company","Telecom",
        Z132="Manufacturer","Manufacturer",
        Z132="Trading Company","Trading And Transport",
        Z132="Trading Establishment","Trading",
        Z132="Airlines","Airlines",
        Z132="Health Insurance","Insurance",
        Z132="Consultant","Consultant",
        Z132="Tax Collection","Government",
        Z132="Travel Agency","Travel Agency",
        Z132="Medical Services","Medical Center",
        Z132="Online Payment Service","Payment Facilitator",
        Z132="Certification","Safety",
        Z132="Decor Company","Design",
        Z132="Customs","Customs",
        Z132="Government","Government",
        Z132="Service Provider","Service Provider",
        Z132="Water Company","Water Company",
        Z132="Contracting","Contracting",
        Z132="Car Show Room","Car Trader",
        Z132="Electricity Company","Electricity Company",
        Z132="Building Materials","Building Materials",
        Z132="Safety","Safety",
        Z132="Social Insurance Agency","Government Fund",
        Z132="Parent Company","Holding Company",
        Z132="Holding Company","Holding Company",
        Z132="Same Company","Construction",
        Z132="Bank","Bank",
        Z132="Unknown","Unknown",
        TRUE,"-"
    ),
    "-"
)</f>
        <v>Building Materials</v>
      </c>
      <c r="AB132" s="25" t="str">
        <f t="shared" si="9"/>
        <v>-</v>
      </c>
      <c r="AC132" s="25" t="str" cm="1">
        <f t="array" ref="AC132">_xlfn.IFNA(
    _xlfn.IFS(
        Z132="Shareholder","Shareholder",
        Z132="Same Company","Same Company",
        Z132="Bank","Bank",
        Z132="Government","Government",
        Z132="Social Insurance Agency","Government",
        Z132="Parent Company","Customer",
        Z132="Lender","Lender",
        Z132="Unknown","Unknown",
        ISNUMBER(SEARCH("Abdullah Abdulkarim",M132)),"Service Provider",
        ISNUMBER(SEARCH("Abdullah Fahad",M132)),"Service Provider",
        ISNUMBER(SEARCH("Advanced Equipments",M132)),"Supplier",
        ISNUMBER(SEARCH("Al Banuk Sana",M132)),"Supplier",
        ISNUMBER(SEARCH("Al Khaleefa Factory",M132)),"Supplier",
        ISNUMBER(SEARCH("Al Saadeh Trading",M132)),"Supplier",
        ISNUMBER(SEARCH("Al Zaehaan",M132)),"Supplier",
        ISNUMBER(SEARCH("Ali Abdullah K Al Darwish",M132)),"Service Provider",
        ISNUMBER(SEARCH("Bupa Arabia",M132)),"Insurance Company",
        ISNUMBER(SEARCH("Dar Fahoosaat",M132)),"Service Provider",
        ISNUMBER(SEARCH("General Authority of Zakat",M132)),"Tax Authority",
        ISNUMBER(SEARCH("Gulf Voyager",M132)),"Service Provider",
        ISNUMBER(SEARCH("Hopeway Trading",M132)),"Supplier",
        ISNUMBER(SEARCH("Interhealth Medical",M132)),"Customer",
        ISNUMBER(SEARCH("Ishaar",M132)),"Service Provider",
        ISNUMBER(SEARCH("ISO Arabia",M132)),"Service Provider",
        ISNUMBER(SEARCH("Khalid Saad Al Otaibi",M132)),"Supplier",
        ISNUMBER(SEARCH("MERAS for Decoration",M132)),"Supplier",
        ISNUMBER(SEARCH("Middle East Customs Clearance",M132)),"Service Provider",
        ISNUMBER(SEARCH("Ministry of Human Resources",M132)),"Regulatory Agency",
        ISNUMBER(SEARCH("My Business Services",M132)),"Service Provider",
        ISNUMBER(SEARCH("National Water Company",M132)),"Utility Provider",
        ISNUMBER(SEARCH("Rania Contracting",M132)),"Supplier",
        ISNUMBER(SEARCH("Sahab United Motors",M132)),"Supplier",
        ISNUMBER(SEARCH("Saudi Electric Company",M132)),"Utility Provider",
        ISNUMBER(SEARCH("Saudi Vetonit",M132)),"Supplier",
        ISNUMBER(SEARCH("Shomoul Eng",M132)),"Service Provider",
        ISNUMBER(SEARCH("STC",M132)),"Utility Provider",
        ISNUMBER(SEARCH("The General Organization for Social Insurance",M132)),"Social Insurance Agency",
        ISNUMBER(SEARCH("TUV Rheinland",M132)),"Service Provider",
        ISNUMBER(SEARCH("Al Arabia Ceramic",M132)),"Supplier",
        ISNUMBER(SEARCH("National Company for Building",M132)),"Customer",
        ISNUMBER(SEARCH("Athraa Holding",M132)),"Customer",
        ISNUMBER(SEARCH("Al Rasan",M132)),"Supplier",
        ISNUMBER(SEARCH("Raboua Al Haid",M132)),"Customer",
        ISNUMBER(SEARCH("Al Jazeera Paint",M132)),"Supplier",
        ISNUMBER(SEARCH("Rania Works Contracting",M132)),"Supplier",
        ISNUMBER(SEARCH("Bandar Jarallah",M132)),"Supplier",
        TRUE,"Supplier"
    ),
    "-"
)</f>
        <v>Supplier</v>
      </c>
      <c r="AD132" s="25" t="str" cm="1">
        <f t="array" ref="AD132">_xlfn.IFNA(
    _xlfn.IFS(
        AC132="Same Company","High",
        AC132="Shareholder","High",
        AC132="Government","High",
        AC132="Bank","High",
        AC132="Lender","High",
        AC132="Unknown","Low",
        AC132="-","Low",
        TRUE,"Medium"
    ),
    "-"
)</f>
        <v>Medium</v>
      </c>
      <c r="AE132" s="25" t="str">
        <f t="shared" si="10"/>
        <v>-</v>
      </c>
      <c r="AF132" s="25" t="str" cm="1">
        <f t="array" ref="AF132">_xlfn.IFNA(
    _xlfn.IFS(
        K132="Credit",
            _xlfn.IFS(
                OR(ISNUMBER(SEARCH("Rejected",L132)),ISNUMBER(SEARCH("Returned",L132))),"Other Income",
                TRUE,"Revenue"
            ),
        K132="Debit",
            _xlfn.IFS(
                ISNUMBER(SEARCH("Payroll",L132)),"OPEX",
                ISNUMBER(SEARCH("Expatriate",L132)),"OPEX",
                ISNUMBER(SEARCH("Zakat",M132)),"ZATCA",
                ISNUMBER(SEARCH("General Organization for Social Insurance",M132)),"OPEX",
                ISNUMBER(SEARCH("Saudi Electric",M132)),"OPEX",
                ISNUMBER(SEARCH("STC",M132)),"OPEX",
                ISNUMBER(SEARCH("National Water",M132)),"OPEX",
                ISNUMBER(SEARCH("Bupa",M132)),"OPEX",
                ISNUMBER(SEARCH("Abdullah Abdulkarim",M132)),"OPEX",
                ISNUMBER(SEARCH("Abdullah Fahad",M132)),"OPEX",
                ISNUMBER(SEARCH("ISO Arabia",M132)),"OPEX",
                ISNUMBER(SEARCH("Gulf Voyager",M132)),"OPEX",
                ISNUMBER(SEARCH("Ministry",M132)),"OPEX",
                ISNUMBER(SEARCH("General Authority of Zakat",M132)),"ZATCA",
                ISNUMBER(SEARCH("Rejected",L132)),"Other Income",
                TRUE,"COGS"
            ),
        TRUE,"-"
    ),
    "-"
)</f>
        <v>COGS</v>
      </c>
      <c r="AG132" s="25" t="str" cm="1">
        <f t="array" ref="AG132">_xlfn.IFNA(
    _xlfn.IFS(
        ISNUMBER(SEARCH("Payroll",L132)),"Payroll",
        ISNUMBER(SEARCH("Expatriate",L132)),"Government Fees",
        ISNUMBER(SEARCH("Zakat",M132)),"Zakat",
        ISNUMBER(SEARCH("Social Insurance",M132)),"Social Insurance",
        ISNUMBER(SEARCH("Saudi Electric",M132)),"Electricity",
        ISNUMBER(SEARCH("STC",M132)),"Telecom",
        ISNUMBER(SEARCH("National Water",M132)),"Water",
        ISNUMBER(SEARCH("Bupa",M132)),"Insurance",
        ISNUMBER(SEARCH("Gulf Voyager",M132)),"Travel",
        ISNUMBER(SEARCH("Ministry",M132)),"Government Fees",
        ISNUMBER(SEARCH("Abdullah Abdulkarim",M132)),"Consulting",
        ISNUMBER(SEARCH("Abdullah Fahad",M132)),"Accounting",
        ISNUMBER(SEARCH("ISO Arabia",M132)),"Consulting",
        ISNUMBER(SEARCH("Rejected",L132)),"Refund",
        AF132="COGS","Inventory Purchase",
        AF132="Revenue","Revenue",
        AF132="OPEX","Other",
        AF132="ZATCA","Zakat",
        TRUE,"-"
    ),
    "-"
)</f>
        <v>Inventory Purchase</v>
      </c>
      <c r="AH132" s="25" t="str" cm="1">
        <f t="array" ref="AH132">_xlfn.IFNA(
    _xlfn.IFS(
        AF132="-","Low",
        AF132="Other","Low",
        TRUE,"Medium"
    ),
    "-"
)</f>
        <v>Medium</v>
      </c>
      <c r="AI132" s="25" t="str">
        <f t="shared" si="11"/>
        <v>-</v>
      </c>
    </row>
    <row r="133" spans="1:35" x14ac:dyDescent="0.25">
      <c r="A133" s="10">
        <v>10</v>
      </c>
      <c r="B133" s="10" t="s">
        <v>35</v>
      </c>
      <c r="C133" s="10" t="s">
        <v>36</v>
      </c>
      <c r="D133" s="10" t="s">
        <v>37</v>
      </c>
      <c r="E133" s="10" t="s">
        <v>38</v>
      </c>
      <c r="F133" s="11" t="s">
        <v>39</v>
      </c>
      <c r="G133" s="11" t="s">
        <v>40</v>
      </c>
      <c r="H133" s="12">
        <v>44938</v>
      </c>
      <c r="I133" s="20">
        <v>17894.27</v>
      </c>
      <c r="J133" s="20">
        <v>162</v>
      </c>
      <c r="K133" s="10" t="s">
        <v>41</v>
      </c>
      <c r="L133" s="9" t="s">
        <v>338</v>
      </c>
      <c r="M133" s="9" t="s">
        <v>339</v>
      </c>
      <c r="O133" s="9" t="s">
        <v>340</v>
      </c>
      <c r="P133" s="15">
        <v>44938</v>
      </c>
      <c r="R133" s="16">
        <v>162</v>
      </c>
      <c r="U133" s="9" t="s">
        <v>55</v>
      </c>
      <c r="V133" s="24" t="str" cm="1">
        <f t="array" ref="V133">_xlfn.IFNA(
    _xlfn.IFS(
        ISNUMBER(SEARCH("Fast Outgoing Transfer",L133)),"Transfer",
        ISNUMBER(SEARCH("Incoming Fast Transfer",L133)),"Transfer",
        ISNUMBER(SEARCH("Outgoing International Transfer",L133)),"Transfer",
        ISNUMBER(SEARCH("Bill Payment",L133)),"SADAD",
        ISNUMBER(SEARCH("Payroll",L133)),"Payroll",
        ISNUMBER(SEARCH("Cash Deposit",L133)),"Cash",
        ISNUMBER(SEARCH("Internal Transfer",L133)),"Transfer",
        ISNUMBER(SEARCH("Expatriate Services Payment",L133)),"SADAD",
        ISNUMBER(SEARCH("Rejected",L133)),"Transfer"
    ),
    "-"
)</f>
        <v>SADAD</v>
      </c>
      <c r="W133" s="25" t="str" cm="1">
        <f t="array" ref="W133">_xlfn.IFNA(
    _xlfn.IFS(
        AND(V133="Transfer",ISNUMBER(SEARCH("RIYAD BANK",L133))),"External FI",
        AND(V133="Transfer",ISNUMBER(SEARCH("Al Ahli",L133))),"External FI",
        AND(V133="Transfer",ISNUMBER(SEARCH("CIB via",L133))),"Local Transfer",
        AND(V133="Transfer",ISNUMBER(SEARCH("CIB)",L133))),"Local Transfer",
        AND(V133="Transfer",ISNUMBER(SEARCH("SMRT",L133))),"Local Transfer",
        AND(V133="Transfer",ISNUMBER(SEARCH("Al Murabba",L133))),"Local Transfer",
        AND(V133="Transfer",ISNUMBER(SEARCH("Internal Transfer",L133))),"Same FI",
        AND(V133="Transfer",ISNUMBER(SEARCH("Rejected",L133))),"Failed",
        V133="SADAD",
            _xlfn.IFS(
                ISNUMBER(SEARCH("Expatriate",L133)),"Expat Fees",
                TRUE,"Online Payment"
            ),
        V133="Payroll","Payroll",
        V133="Cash","Deposit",
        TRUE,"-"
    ),
    "-"
)</f>
        <v>Expat Fees</v>
      </c>
      <c r="X133" s="25" t="str" cm="1">
        <f t="array" ref="X133">_xlfn.IFNA(
    _xlfn.IFS(
        V133="-","Low",
        W133="-","Low",
        TRUE,"High"
    ),
    "-"
)</f>
        <v>High</v>
      </c>
      <c r="Y133" s="25" t="str">
        <f t="shared" si="8"/>
        <v>-</v>
      </c>
      <c r="Z133" s="25" t="str" cm="1">
        <f t="array" ref="Z133">_xlfn.IFNA(
    _xlfn.IFS(
        ISNUMBER(SEARCH("Abdul Latif Jameel",M133)),"Lender",
        ISNUMBER(SEARCH("Abdullah Abdulkarim Al Sudais",M133)),"Accounting",
        ISNUMBER(SEARCH("Abdullah Fahad for Accounting",M133)),"Accounting",
        ISNUMBER(SEARCH("Abdullah Rashid Shaikh",M133)),"Shareholder",
        ISNUMBER(SEARCH("Advanced Equipments",M133)),"Equipment Rental",
        ISNUMBER(SEARCH("Al Banuk Sana",M133)),"Telecom Company",
        ISNUMBER(SEARCH("Al Khaleefa Factory",M133)),"Manufacturer",
        ISNUMBER(SEARCH("Al Saadeh Trading",M133)),"Trading Company",
        ISNUMBER(SEARCH("Al Zaehaan",M133)),"Trading Company",
        ISNUMBER(SEARCH("Ali Abdullah K Al Darwish",M133)),"Airlines",
        ISNUMBER(SEARCH("Bupa Arabia",M133)),"Health Insurance",
        ISNUMBER(SEARCH("Dar Fahoosaat",M133)),"Consultant",
        ISNUMBER(SEARCH("General Authority of Zakat",M133)),"Tax Collection",
        ISNUMBER(SEARCH("Gulf Voyager",M133)),"Travel Agency",
        ISNUMBER(SEARCH("Hopeway Trading",M133)),"Trading Company",
        ISNUMBER(SEARCH("Interhealth Medical",M133)),"Medical Services",
        ISNUMBER(SEARCH("Ishaar",M133)),"Online Payment Service",
        ISNUMBER(SEARCH("ISO Arabia",M133)),"Certification",
        ISNUMBER(SEARCH("Khalid Saad Al Otaibi",M133)),"Trading Company",
        ISNUMBER(SEARCH("MERAS for Decoration",M133)),"Decor Company",
        ISNUMBER(SEARCH("Middle East Customs Clearance",M133)),"Customs",
        ISNUMBER(SEARCH("Ministry of Human Resources",M133)),"Government",
        ISNUMBER(SEARCH("My Business Services",M133)),"Service Provider",
        ISNUMBER(SEARCH("National Water Company",M133)),"Water Company",
        ISNUMBER(SEARCH("Rania Contracting",M133)),"Contracting",
        ISNUMBER(SEARCH("Rashid Ali Sheikh",M133)),"Shareholder",
        ISNUMBER(SEARCH("Sahab United Motors",M133)),"Car Show Room",
        ISNUMBER(SEARCH("Saud Mohammed Al Tamimi",M133)),"Shareholder",
        ISNUMBER(SEARCH("Saud Mohammed Tamimi",M133)),"Shareholder",
        ISNUMBER(SEARCH("Saudi Electric Company",M133)),"Electricity Company",
        ISNUMBER(SEARCH("Saudi Vetonit",M133)),"Building Materials",
        ISNUMBER(SEARCH("Shomoul Eng",M133)),"Safety",
        ISNUMBER(SEARCH("STC",M133)),"Telecom Company",
        ISNUMBER(SEARCH("The General Organization for Social Insurance",M133)),"Social Insurance Agency",
        ISNUMBER(SEARCH("TUV Rheinland",M133)),"Certification",
        ISNUMBER(SEARCH("Al Arabia Ceramic",M133)),"Building Materials",
        ISNUMBER(SEARCH("National Company for Building and Marketing",M133)),"Parent Company",
        ISNUMBER(SEARCH("Athraa Holding",M133)),"Holding Company",
        ISNUMBER(SEARCH("Al Rasan",M133)),"Contracting",
        ISNUMBER(SEARCH("Raboua Al Haid",M133)),"Trading Company",
        ISNUMBER(SEARCH("Al Jazeera Paint",M133)),"Manufacturer",
        ISNUMBER(SEARCH("Rania Works Contracting",M133)),"Contracting",
        ISNUMBER(SEARCH("Bandar Jarallah",M133)),"Trading Establishment",
        ISNUMBER(SEARCH("RS Infratec Saudi",M133)),"Same Company",
        ISNUMBER(SEARCH("Payroll",M133)),"Bank",
        ISNUMBER(SEARCH("Expatriate",M133)),"Government",
        ISNUMBER(SEARCH("Unknown Sender",M133)),"Unknown",
        TRUE,"Unknown"
    ),
    "-"
)</f>
        <v>Government</v>
      </c>
      <c r="AA133" s="25" t="str" cm="1">
        <f t="array" ref="AA133">_xlfn.IFNA(
    _xlfn.IFS(
        Z133="Lender","Financing",
        Z133="Accounting","Accounting",
        Z133="Shareholder","Individual",
        Z133="Equipment Rental","Equipment Rental",
        Z133="Telecom Company","Telecom",
        Z133="Manufacturer","Manufacturer",
        Z133="Trading Company","Trading And Transport",
        Z133="Trading Establishment","Trading",
        Z133="Airlines","Airlines",
        Z133="Health Insurance","Insurance",
        Z133="Consultant","Consultant",
        Z133="Tax Collection","Government",
        Z133="Travel Agency","Travel Agency",
        Z133="Medical Services","Medical Center",
        Z133="Online Payment Service","Payment Facilitator",
        Z133="Certification","Safety",
        Z133="Decor Company","Design",
        Z133="Customs","Customs",
        Z133="Government","Government",
        Z133="Service Provider","Service Provider",
        Z133="Water Company","Water Company",
        Z133="Contracting","Contracting",
        Z133="Car Show Room","Car Trader",
        Z133="Electricity Company","Electricity Company",
        Z133="Building Materials","Building Materials",
        Z133="Safety","Safety",
        Z133="Social Insurance Agency","Government Fund",
        Z133="Parent Company","Holding Company",
        Z133="Holding Company","Holding Company",
        Z133="Same Company","Construction",
        Z133="Bank","Bank",
        Z133="Unknown","Unknown",
        TRUE,"-"
    ),
    "-"
)</f>
        <v>Government</v>
      </c>
      <c r="AB133" s="25" t="str">
        <f t="shared" si="9"/>
        <v>-</v>
      </c>
      <c r="AC133" s="25" t="str" cm="1">
        <f t="array" ref="AC133">_xlfn.IFNA(
    _xlfn.IFS(
        Z133="Shareholder","Shareholder",
        Z133="Same Company","Same Company",
        Z133="Bank","Bank",
        Z133="Government","Government",
        Z133="Social Insurance Agency","Government",
        Z133="Parent Company","Customer",
        Z133="Lender","Lender",
        Z133="Unknown","Unknown",
        ISNUMBER(SEARCH("Abdullah Abdulkarim",M133)),"Service Provider",
        ISNUMBER(SEARCH("Abdullah Fahad",M133)),"Service Provider",
        ISNUMBER(SEARCH("Advanced Equipments",M133)),"Supplier",
        ISNUMBER(SEARCH("Al Banuk Sana",M133)),"Supplier",
        ISNUMBER(SEARCH("Al Khaleefa Factory",M133)),"Supplier",
        ISNUMBER(SEARCH("Al Saadeh Trading",M133)),"Supplier",
        ISNUMBER(SEARCH("Al Zaehaan",M133)),"Supplier",
        ISNUMBER(SEARCH("Ali Abdullah K Al Darwish",M133)),"Service Provider",
        ISNUMBER(SEARCH("Bupa Arabia",M133)),"Insurance Company",
        ISNUMBER(SEARCH("Dar Fahoosaat",M133)),"Service Provider",
        ISNUMBER(SEARCH("General Authority of Zakat",M133)),"Tax Authority",
        ISNUMBER(SEARCH("Gulf Voyager",M133)),"Service Provider",
        ISNUMBER(SEARCH("Hopeway Trading",M133)),"Supplier",
        ISNUMBER(SEARCH("Interhealth Medical",M133)),"Customer",
        ISNUMBER(SEARCH("Ishaar",M133)),"Service Provider",
        ISNUMBER(SEARCH("ISO Arabia",M133)),"Service Provider",
        ISNUMBER(SEARCH("Khalid Saad Al Otaibi",M133)),"Supplier",
        ISNUMBER(SEARCH("MERAS for Decoration",M133)),"Supplier",
        ISNUMBER(SEARCH("Middle East Customs Clearance",M133)),"Service Provider",
        ISNUMBER(SEARCH("Ministry of Human Resources",M133)),"Regulatory Agency",
        ISNUMBER(SEARCH("My Business Services",M133)),"Service Provider",
        ISNUMBER(SEARCH("National Water Company",M133)),"Utility Provider",
        ISNUMBER(SEARCH("Rania Contracting",M133)),"Supplier",
        ISNUMBER(SEARCH("Sahab United Motors",M133)),"Supplier",
        ISNUMBER(SEARCH("Saudi Electric Company",M133)),"Utility Provider",
        ISNUMBER(SEARCH("Saudi Vetonit",M133)),"Supplier",
        ISNUMBER(SEARCH("Shomoul Eng",M133)),"Service Provider",
        ISNUMBER(SEARCH("STC",M133)),"Utility Provider",
        ISNUMBER(SEARCH("The General Organization for Social Insurance",M133)),"Social Insurance Agency",
        ISNUMBER(SEARCH("TUV Rheinland",M133)),"Service Provider",
        ISNUMBER(SEARCH("Al Arabia Ceramic",M133)),"Supplier",
        ISNUMBER(SEARCH("National Company for Building",M133)),"Customer",
        ISNUMBER(SEARCH("Athraa Holding",M133)),"Customer",
        ISNUMBER(SEARCH("Al Rasan",M133)),"Supplier",
        ISNUMBER(SEARCH("Raboua Al Haid",M133)),"Customer",
        ISNUMBER(SEARCH("Al Jazeera Paint",M133)),"Supplier",
        ISNUMBER(SEARCH("Rania Works Contracting",M133)),"Supplier",
        ISNUMBER(SEARCH("Bandar Jarallah",M133)),"Supplier",
        TRUE,"Supplier"
    ),
    "-"
)</f>
        <v>Government</v>
      </c>
      <c r="AD133" s="25" t="str" cm="1">
        <f t="array" ref="AD133">_xlfn.IFNA(
    _xlfn.IFS(
        AC133="Same Company","High",
        AC133="Shareholder","High",
        AC133="Government","High",
        AC133="Bank","High",
        AC133="Lender","High",
        AC133="Unknown","Low",
        AC133="-","Low",
        TRUE,"Medium"
    ),
    "-"
)</f>
        <v>High</v>
      </c>
      <c r="AE133" s="25" t="str">
        <f t="shared" si="10"/>
        <v>-</v>
      </c>
      <c r="AF133" s="25" t="str" cm="1">
        <f t="array" ref="AF133">_xlfn.IFNA(
    _xlfn.IFS(
        K133="Credit",
            _xlfn.IFS(
                OR(ISNUMBER(SEARCH("Rejected",L133)),ISNUMBER(SEARCH("Returned",L133))),"Other Income",
                TRUE,"Revenue"
            ),
        K133="Debit",
            _xlfn.IFS(
                ISNUMBER(SEARCH("Payroll",L133)),"OPEX",
                ISNUMBER(SEARCH("Expatriate",L133)),"OPEX",
                ISNUMBER(SEARCH("Zakat",M133)),"ZATCA",
                ISNUMBER(SEARCH("General Organization for Social Insurance",M133)),"OPEX",
                ISNUMBER(SEARCH("Saudi Electric",M133)),"OPEX",
                ISNUMBER(SEARCH("STC",M133)),"OPEX",
                ISNUMBER(SEARCH("National Water",M133)),"OPEX",
                ISNUMBER(SEARCH("Bupa",M133)),"OPEX",
                ISNUMBER(SEARCH("Abdullah Abdulkarim",M133)),"OPEX",
                ISNUMBER(SEARCH("Abdullah Fahad",M133)),"OPEX",
                ISNUMBER(SEARCH("ISO Arabia",M133)),"OPEX",
                ISNUMBER(SEARCH("Gulf Voyager",M133)),"OPEX",
                ISNUMBER(SEARCH("Ministry",M133)),"OPEX",
                ISNUMBER(SEARCH("General Authority of Zakat",M133)),"ZATCA",
                ISNUMBER(SEARCH("Rejected",L133)),"Other Income",
                TRUE,"COGS"
            ),
        TRUE,"-"
    ),
    "-"
)</f>
        <v>OPEX</v>
      </c>
      <c r="AG133" s="25" t="str" cm="1">
        <f t="array" ref="AG133">_xlfn.IFNA(
    _xlfn.IFS(
        ISNUMBER(SEARCH("Payroll",L133)),"Payroll",
        ISNUMBER(SEARCH("Expatriate",L133)),"Government Fees",
        ISNUMBER(SEARCH("Zakat",M133)),"Zakat",
        ISNUMBER(SEARCH("Social Insurance",M133)),"Social Insurance",
        ISNUMBER(SEARCH("Saudi Electric",M133)),"Electricity",
        ISNUMBER(SEARCH("STC",M133)),"Telecom",
        ISNUMBER(SEARCH("National Water",M133)),"Water",
        ISNUMBER(SEARCH("Bupa",M133)),"Insurance",
        ISNUMBER(SEARCH("Gulf Voyager",M133)),"Travel",
        ISNUMBER(SEARCH("Ministry",M133)),"Government Fees",
        ISNUMBER(SEARCH("Abdullah Abdulkarim",M133)),"Consulting",
        ISNUMBER(SEARCH("Abdullah Fahad",M133)),"Accounting",
        ISNUMBER(SEARCH("ISO Arabia",M133)),"Consulting",
        ISNUMBER(SEARCH("Rejected",L133)),"Refund",
        AF133="COGS","Inventory Purchase",
        AF133="Revenue","Revenue",
        AF133="OPEX","Other",
        AF133="ZATCA","Zakat",
        TRUE,"-"
    ),
    "-"
)</f>
        <v>Government Fees</v>
      </c>
      <c r="AH133" s="25" t="str" cm="1">
        <f t="array" ref="AH133">_xlfn.IFNA(
    _xlfn.IFS(
        AF133="-","Low",
        AF133="Other","Low",
        TRUE,"Medium"
    ),
    "-"
)</f>
        <v>Medium</v>
      </c>
      <c r="AI133" s="25" t="str">
        <f t="shared" si="11"/>
        <v>-</v>
      </c>
    </row>
    <row r="134" spans="1:35" x14ac:dyDescent="0.25">
      <c r="A134" s="10">
        <v>10</v>
      </c>
      <c r="B134" s="10" t="s">
        <v>35</v>
      </c>
      <c r="C134" s="10" t="s">
        <v>36</v>
      </c>
      <c r="D134" s="10" t="s">
        <v>37</v>
      </c>
      <c r="E134" s="10" t="s">
        <v>38</v>
      </c>
      <c r="F134" s="11" t="s">
        <v>39</v>
      </c>
      <c r="G134" s="10" t="s">
        <v>40</v>
      </c>
      <c r="H134" s="12">
        <v>44938</v>
      </c>
      <c r="I134" s="20">
        <v>17731.27</v>
      </c>
      <c r="J134" s="20">
        <v>163</v>
      </c>
      <c r="K134" s="10" t="s">
        <v>41</v>
      </c>
      <c r="L134" s="9" t="s">
        <v>338</v>
      </c>
      <c r="M134" s="9" t="s">
        <v>341</v>
      </c>
      <c r="O134" s="9" t="s">
        <v>340</v>
      </c>
      <c r="P134" s="15">
        <v>44938</v>
      </c>
      <c r="R134" s="16">
        <v>163</v>
      </c>
      <c r="U134" s="9" t="s">
        <v>55</v>
      </c>
      <c r="V134" s="24" t="str" cm="1">
        <f t="array" ref="V134">_xlfn.IFNA(
    _xlfn.IFS(
        ISNUMBER(SEARCH("Fast Outgoing Transfer",L134)),"Transfer",
        ISNUMBER(SEARCH("Incoming Fast Transfer",L134)),"Transfer",
        ISNUMBER(SEARCH("Outgoing International Transfer",L134)),"Transfer",
        ISNUMBER(SEARCH("Bill Payment",L134)),"SADAD",
        ISNUMBER(SEARCH("Payroll",L134)),"Payroll",
        ISNUMBER(SEARCH("Cash Deposit",L134)),"Cash",
        ISNUMBER(SEARCH("Internal Transfer",L134)),"Transfer",
        ISNUMBER(SEARCH("Expatriate Services Payment",L134)),"SADAD",
        ISNUMBER(SEARCH("Rejected",L134)),"Transfer"
    ),
    "-"
)</f>
        <v>SADAD</v>
      </c>
      <c r="W134" s="25" t="str" cm="1">
        <f t="array" ref="W134">_xlfn.IFNA(
    _xlfn.IFS(
        AND(V134="Transfer",ISNUMBER(SEARCH("RIYAD BANK",L134))),"External FI",
        AND(V134="Transfer",ISNUMBER(SEARCH("Al Ahli",L134))),"External FI",
        AND(V134="Transfer",ISNUMBER(SEARCH("CIB via",L134))),"Local Transfer",
        AND(V134="Transfer",ISNUMBER(SEARCH("CIB)",L134))),"Local Transfer",
        AND(V134="Transfer",ISNUMBER(SEARCH("SMRT",L134))),"Local Transfer",
        AND(V134="Transfer",ISNUMBER(SEARCH("Al Murabba",L134))),"Local Transfer",
        AND(V134="Transfer",ISNUMBER(SEARCH("Internal Transfer",L134))),"Same FI",
        AND(V134="Transfer",ISNUMBER(SEARCH("Rejected",L134))),"Failed",
        V134="SADAD",
            _xlfn.IFS(
                ISNUMBER(SEARCH("Expatriate",L134)),"Expat Fees",
                TRUE,"Online Payment"
            ),
        V134="Payroll","Payroll",
        V134="Cash","Deposit",
        TRUE,"-"
    ),
    "-"
)</f>
        <v>Expat Fees</v>
      </c>
      <c r="X134" s="25" t="str" cm="1">
        <f t="array" ref="X134">_xlfn.IFNA(
    _xlfn.IFS(
        V134="-","Low",
        W134="-","Low",
        TRUE,"High"
    ),
    "-"
)</f>
        <v>High</v>
      </c>
      <c r="Y134" s="25" t="str">
        <f t="shared" si="8"/>
        <v>-</v>
      </c>
      <c r="Z134" s="25" t="str" cm="1">
        <f t="array" ref="Z134">_xlfn.IFNA(
    _xlfn.IFS(
        ISNUMBER(SEARCH("Abdul Latif Jameel",M134)),"Lender",
        ISNUMBER(SEARCH("Abdullah Abdulkarim Al Sudais",M134)),"Accounting",
        ISNUMBER(SEARCH("Abdullah Fahad for Accounting",M134)),"Accounting",
        ISNUMBER(SEARCH("Abdullah Rashid Shaikh",M134)),"Shareholder",
        ISNUMBER(SEARCH("Advanced Equipments",M134)),"Equipment Rental",
        ISNUMBER(SEARCH("Al Banuk Sana",M134)),"Telecom Company",
        ISNUMBER(SEARCH("Al Khaleefa Factory",M134)),"Manufacturer",
        ISNUMBER(SEARCH("Al Saadeh Trading",M134)),"Trading Company",
        ISNUMBER(SEARCH("Al Zaehaan",M134)),"Trading Company",
        ISNUMBER(SEARCH("Ali Abdullah K Al Darwish",M134)),"Airlines",
        ISNUMBER(SEARCH("Bupa Arabia",M134)),"Health Insurance",
        ISNUMBER(SEARCH("Dar Fahoosaat",M134)),"Consultant",
        ISNUMBER(SEARCH("General Authority of Zakat",M134)),"Tax Collection",
        ISNUMBER(SEARCH("Gulf Voyager",M134)),"Travel Agency",
        ISNUMBER(SEARCH("Hopeway Trading",M134)),"Trading Company",
        ISNUMBER(SEARCH("Interhealth Medical",M134)),"Medical Services",
        ISNUMBER(SEARCH("Ishaar",M134)),"Online Payment Service",
        ISNUMBER(SEARCH("ISO Arabia",M134)),"Certification",
        ISNUMBER(SEARCH("Khalid Saad Al Otaibi",M134)),"Trading Company",
        ISNUMBER(SEARCH("MERAS for Decoration",M134)),"Decor Company",
        ISNUMBER(SEARCH("Middle East Customs Clearance",M134)),"Customs",
        ISNUMBER(SEARCH("Ministry of Human Resources",M134)),"Government",
        ISNUMBER(SEARCH("My Business Services",M134)),"Service Provider",
        ISNUMBER(SEARCH("National Water Company",M134)),"Water Company",
        ISNUMBER(SEARCH("Rania Contracting",M134)),"Contracting",
        ISNUMBER(SEARCH("Rashid Ali Sheikh",M134)),"Shareholder",
        ISNUMBER(SEARCH("Sahab United Motors",M134)),"Car Show Room",
        ISNUMBER(SEARCH("Saud Mohammed Al Tamimi",M134)),"Shareholder",
        ISNUMBER(SEARCH("Saud Mohammed Tamimi",M134)),"Shareholder",
        ISNUMBER(SEARCH("Saudi Electric Company",M134)),"Electricity Company",
        ISNUMBER(SEARCH("Saudi Vetonit",M134)),"Building Materials",
        ISNUMBER(SEARCH("Shomoul Eng",M134)),"Safety",
        ISNUMBER(SEARCH("STC",M134)),"Telecom Company",
        ISNUMBER(SEARCH("The General Organization for Social Insurance",M134)),"Social Insurance Agency",
        ISNUMBER(SEARCH("TUV Rheinland",M134)),"Certification",
        ISNUMBER(SEARCH("Al Arabia Ceramic",M134)),"Building Materials",
        ISNUMBER(SEARCH("National Company for Building and Marketing",M134)),"Parent Company",
        ISNUMBER(SEARCH("Athraa Holding",M134)),"Holding Company",
        ISNUMBER(SEARCH("Al Rasan",M134)),"Contracting",
        ISNUMBER(SEARCH("Raboua Al Haid",M134)),"Trading Company",
        ISNUMBER(SEARCH("Al Jazeera Paint",M134)),"Manufacturer",
        ISNUMBER(SEARCH("Rania Works Contracting",M134)),"Contracting",
        ISNUMBER(SEARCH("Bandar Jarallah",M134)),"Trading Establishment",
        ISNUMBER(SEARCH("RS Infratec Saudi",M134)),"Same Company",
        ISNUMBER(SEARCH("Payroll",M134)),"Bank",
        ISNUMBER(SEARCH("Expatriate",M134)),"Government",
        ISNUMBER(SEARCH("Unknown Sender",M134)),"Unknown",
        TRUE,"Unknown"
    ),
    "-"
)</f>
        <v>Government</v>
      </c>
      <c r="AA134" s="25" t="str" cm="1">
        <f t="array" ref="AA134">_xlfn.IFNA(
    _xlfn.IFS(
        Z134="Lender","Financing",
        Z134="Accounting","Accounting",
        Z134="Shareholder","Individual",
        Z134="Equipment Rental","Equipment Rental",
        Z134="Telecom Company","Telecom",
        Z134="Manufacturer","Manufacturer",
        Z134="Trading Company","Trading And Transport",
        Z134="Trading Establishment","Trading",
        Z134="Airlines","Airlines",
        Z134="Health Insurance","Insurance",
        Z134="Consultant","Consultant",
        Z134="Tax Collection","Government",
        Z134="Travel Agency","Travel Agency",
        Z134="Medical Services","Medical Center",
        Z134="Online Payment Service","Payment Facilitator",
        Z134="Certification","Safety",
        Z134="Decor Company","Design",
        Z134="Customs","Customs",
        Z134="Government","Government",
        Z134="Service Provider","Service Provider",
        Z134="Water Company","Water Company",
        Z134="Contracting","Contracting",
        Z134="Car Show Room","Car Trader",
        Z134="Electricity Company","Electricity Company",
        Z134="Building Materials","Building Materials",
        Z134="Safety","Safety",
        Z134="Social Insurance Agency","Government Fund",
        Z134="Parent Company","Holding Company",
        Z134="Holding Company","Holding Company",
        Z134="Same Company","Construction",
        Z134="Bank","Bank",
        Z134="Unknown","Unknown",
        TRUE,"-"
    ),
    "-"
)</f>
        <v>Government</v>
      </c>
      <c r="AB134" s="25" t="str">
        <f t="shared" si="9"/>
        <v>-</v>
      </c>
      <c r="AC134" s="25" t="str" cm="1">
        <f t="array" ref="AC134">_xlfn.IFNA(
    _xlfn.IFS(
        Z134="Shareholder","Shareholder",
        Z134="Same Company","Same Company",
        Z134="Bank","Bank",
        Z134="Government","Government",
        Z134="Social Insurance Agency","Government",
        Z134="Parent Company","Customer",
        Z134="Lender","Lender",
        Z134="Unknown","Unknown",
        ISNUMBER(SEARCH("Abdullah Abdulkarim",M134)),"Service Provider",
        ISNUMBER(SEARCH("Abdullah Fahad",M134)),"Service Provider",
        ISNUMBER(SEARCH("Advanced Equipments",M134)),"Supplier",
        ISNUMBER(SEARCH("Al Banuk Sana",M134)),"Supplier",
        ISNUMBER(SEARCH("Al Khaleefa Factory",M134)),"Supplier",
        ISNUMBER(SEARCH("Al Saadeh Trading",M134)),"Supplier",
        ISNUMBER(SEARCH("Al Zaehaan",M134)),"Supplier",
        ISNUMBER(SEARCH("Ali Abdullah K Al Darwish",M134)),"Service Provider",
        ISNUMBER(SEARCH("Bupa Arabia",M134)),"Insurance Company",
        ISNUMBER(SEARCH("Dar Fahoosaat",M134)),"Service Provider",
        ISNUMBER(SEARCH("General Authority of Zakat",M134)),"Tax Authority",
        ISNUMBER(SEARCH("Gulf Voyager",M134)),"Service Provider",
        ISNUMBER(SEARCH("Hopeway Trading",M134)),"Supplier",
        ISNUMBER(SEARCH("Interhealth Medical",M134)),"Customer",
        ISNUMBER(SEARCH("Ishaar",M134)),"Service Provider",
        ISNUMBER(SEARCH("ISO Arabia",M134)),"Service Provider",
        ISNUMBER(SEARCH("Khalid Saad Al Otaibi",M134)),"Supplier",
        ISNUMBER(SEARCH("MERAS for Decoration",M134)),"Supplier",
        ISNUMBER(SEARCH("Middle East Customs Clearance",M134)),"Service Provider",
        ISNUMBER(SEARCH("Ministry of Human Resources",M134)),"Regulatory Agency",
        ISNUMBER(SEARCH("My Business Services",M134)),"Service Provider",
        ISNUMBER(SEARCH("National Water Company",M134)),"Utility Provider",
        ISNUMBER(SEARCH("Rania Contracting",M134)),"Supplier",
        ISNUMBER(SEARCH("Sahab United Motors",M134)),"Supplier",
        ISNUMBER(SEARCH("Saudi Electric Company",M134)),"Utility Provider",
        ISNUMBER(SEARCH("Saudi Vetonit",M134)),"Supplier",
        ISNUMBER(SEARCH("Shomoul Eng",M134)),"Service Provider",
        ISNUMBER(SEARCH("STC",M134)),"Utility Provider",
        ISNUMBER(SEARCH("The General Organization for Social Insurance",M134)),"Social Insurance Agency",
        ISNUMBER(SEARCH("TUV Rheinland",M134)),"Service Provider",
        ISNUMBER(SEARCH("Al Arabia Ceramic",M134)),"Supplier",
        ISNUMBER(SEARCH("National Company for Building",M134)),"Customer",
        ISNUMBER(SEARCH("Athraa Holding",M134)),"Customer",
        ISNUMBER(SEARCH("Al Rasan",M134)),"Supplier",
        ISNUMBER(SEARCH("Raboua Al Haid",M134)),"Customer",
        ISNUMBER(SEARCH("Al Jazeera Paint",M134)),"Supplier",
        ISNUMBER(SEARCH("Rania Works Contracting",M134)),"Supplier",
        ISNUMBER(SEARCH("Bandar Jarallah",M134)),"Supplier",
        TRUE,"Supplier"
    ),
    "-"
)</f>
        <v>Government</v>
      </c>
      <c r="AD134" s="25" t="str" cm="1">
        <f t="array" ref="AD134">_xlfn.IFNA(
    _xlfn.IFS(
        AC134="Same Company","High",
        AC134="Shareholder","High",
        AC134="Government","High",
        AC134="Bank","High",
        AC134="Lender","High",
        AC134="Unknown","Low",
        AC134="-","Low",
        TRUE,"Medium"
    ),
    "-"
)</f>
        <v>High</v>
      </c>
      <c r="AE134" s="25" t="str">
        <f t="shared" si="10"/>
        <v>-</v>
      </c>
      <c r="AF134" s="25" t="str" cm="1">
        <f t="array" ref="AF134">_xlfn.IFNA(
    _xlfn.IFS(
        K134="Credit",
            _xlfn.IFS(
                OR(ISNUMBER(SEARCH("Rejected",L134)),ISNUMBER(SEARCH("Returned",L134))),"Other Income",
                TRUE,"Revenue"
            ),
        K134="Debit",
            _xlfn.IFS(
                ISNUMBER(SEARCH("Payroll",L134)),"OPEX",
                ISNUMBER(SEARCH("Expatriate",L134)),"OPEX",
                ISNUMBER(SEARCH("Zakat",M134)),"ZATCA",
                ISNUMBER(SEARCH("General Organization for Social Insurance",M134)),"OPEX",
                ISNUMBER(SEARCH("Saudi Electric",M134)),"OPEX",
                ISNUMBER(SEARCH("STC",M134)),"OPEX",
                ISNUMBER(SEARCH("National Water",M134)),"OPEX",
                ISNUMBER(SEARCH("Bupa",M134)),"OPEX",
                ISNUMBER(SEARCH("Abdullah Abdulkarim",M134)),"OPEX",
                ISNUMBER(SEARCH("Abdullah Fahad",M134)),"OPEX",
                ISNUMBER(SEARCH("ISO Arabia",M134)),"OPEX",
                ISNUMBER(SEARCH("Gulf Voyager",M134)),"OPEX",
                ISNUMBER(SEARCH("Ministry",M134)),"OPEX",
                ISNUMBER(SEARCH("General Authority of Zakat",M134)),"ZATCA",
                ISNUMBER(SEARCH("Rejected",L134)),"Other Income",
                TRUE,"COGS"
            ),
        TRUE,"-"
    ),
    "-"
)</f>
        <v>OPEX</v>
      </c>
      <c r="AG134" s="25" t="str" cm="1">
        <f t="array" ref="AG134">_xlfn.IFNA(
    _xlfn.IFS(
        ISNUMBER(SEARCH("Payroll",L134)),"Payroll",
        ISNUMBER(SEARCH("Expatriate",L134)),"Government Fees",
        ISNUMBER(SEARCH("Zakat",M134)),"Zakat",
        ISNUMBER(SEARCH("Social Insurance",M134)),"Social Insurance",
        ISNUMBER(SEARCH("Saudi Electric",M134)),"Electricity",
        ISNUMBER(SEARCH("STC",M134)),"Telecom",
        ISNUMBER(SEARCH("National Water",M134)),"Water",
        ISNUMBER(SEARCH("Bupa",M134)),"Insurance",
        ISNUMBER(SEARCH("Gulf Voyager",M134)),"Travel",
        ISNUMBER(SEARCH("Ministry",M134)),"Government Fees",
        ISNUMBER(SEARCH("Abdullah Abdulkarim",M134)),"Consulting",
        ISNUMBER(SEARCH("Abdullah Fahad",M134)),"Accounting",
        ISNUMBER(SEARCH("ISO Arabia",M134)),"Consulting",
        ISNUMBER(SEARCH("Rejected",L134)),"Refund",
        AF134="COGS","Inventory Purchase",
        AF134="Revenue","Revenue",
        AF134="OPEX","Other",
        AF134="ZATCA","Zakat",
        TRUE,"-"
    ),
    "-"
)</f>
        <v>Government Fees</v>
      </c>
      <c r="AH134" s="25" t="str" cm="1">
        <f t="array" ref="AH134">_xlfn.IFNA(
    _xlfn.IFS(
        AF134="-","Low",
        AF134="Other","Low",
        TRUE,"Medium"
    ),
    "-"
)</f>
        <v>Medium</v>
      </c>
      <c r="AI134" s="25" t="str">
        <f t="shared" si="11"/>
        <v>-</v>
      </c>
    </row>
    <row r="135" spans="1:35" x14ac:dyDescent="0.25">
      <c r="A135" s="10">
        <v>10</v>
      </c>
      <c r="B135" s="10" t="s">
        <v>35</v>
      </c>
      <c r="C135" s="10" t="s">
        <v>36</v>
      </c>
      <c r="D135" s="10" t="s">
        <v>37</v>
      </c>
      <c r="E135" s="10" t="s">
        <v>38</v>
      </c>
      <c r="F135" s="11" t="s">
        <v>39</v>
      </c>
      <c r="G135" s="11" t="s">
        <v>40</v>
      </c>
      <c r="H135" s="12">
        <v>44938</v>
      </c>
      <c r="I135" s="20">
        <v>17569.27</v>
      </c>
      <c r="J135" s="20">
        <v>162</v>
      </c>
      <c r="K135" s="10" t="s">
        <v>41</v>
      </c>
      <c r="L135" s="9" t="s">
        <v>338</v>
      </c>
      <c r="M135" s="9" t="s">
        <v>342</v>
      </c>
      <c r="O135" s="9" t="s">
        <v>340</v>
      </c>
      <c r="P135" s="15">
        <v>44938</v>
      </c>
      <c r="R135" s="16">
        <v>162</v>
      </c>
      <c r="U135" s="9" t="s">
        <v>55</v>
      </c>
      <c r="V135" s="24" t="str" cm="1">
        <f t="array" ref="V135">_xlfn.IFNA(
    _xlfn.IFS(
        ISNUMBER(SEARCH("Fast Outgoing Transfer",L135)),"Transfer",
        ISNUMBER(SEARCH("Incoming Fast Transfer",L135)),"Transfer",
        ISNUMBER(SEARCH("Outgoing International Transfer",L135)),"Transfer",
        ISNUMBER(SEARCH("Bill Payment",L135)),"SADAD",
        ISNUMBER(SEARCH("Payroll",L135)),"Payroll",
        ISNUMBER(SEARCH("Cash Deposit",L135)),"Cash",
        ISNUMBER(SEARCH("Internal Transfer",L135)),"Transfer",
        ISNUMBER(SEARCH("Expatriate Services Payment",L135)),"SADAD",
        ISNUMBER(SEARCH("Rejected",L135)),"Transfer"
    ),
    "-"
)</f>
        <v>SADAD</v>
      </c>
      <c r="W135" s="25" t="str" cm="1">
        <f t="array" ref="W135">_xlfn.IFNA(
    _xlfn.IFS(
        AND(V135="Transfer",ISNUMBER(SEARCH("RIYAD BANK",L135))),"External FI",
        AND(V135="Transfer",ISNUMBER(SEARCH("Al Ahli",L135))),"External FI",
        AND(V135="Transfer",ISNUMBER(SEARCH("CIB via",L135))),"Local Transfer",
        AND(V135="Transfer",ISNUMBER(SEARCH("CIB)",L135))),"Local Transfer",
        AND(V135="Transfer",ISNUMBER(SEARCH("SMRT",L135))),"Local Transfer",
        AND(V135="Transfer",ISNUMBER(SEARCH("Al Murabba",L135))),"Local Transfer",
        AND(V135="Transfer",ISNUMBER(SEARCH("Internal Transfer",L135))),"Same FI",
        AND(V135="Transfer",ISNUMBER(SEARCH("Rejected",L135))),"Failed",
        V135="SADAD",
            _xlfn.IFS(
                ISNUMBER(SEARCH("Expatriate",L135)),"Expat Fees",
                TRUE,"Online Payment"
            ),
        V135="Payroll","Payroll",
        V135="Cash","Deposit",
        TRUE,"-"
    ),
    "-"
)</f>
        <v>Expat Fees</v>
      </c>
      <c r="X135" s="25" t="str" cm="1">
        <f t="array" ref="X135">_xlfn.IFNA(
    _xlfn.IFS(
        V135="-","Low",
        W135="-","Low",
        TRUE,"High"
    ),
    "-"
)</f>
        <v>High</v>
      </c>
      <c r="Y135" s="25" t="str">
        <f t="shared" si="8"/>
        <v>-</v>
      </c>
      <c r="Z135" s="25" t="str" cm="1">
        <f t="array" ref="Z135">_xlfn.IFNA(
    _xlfn.IFS(
        ISNUMBER(SEARCH("Abdul Latif Jameel",M135)),"Lender",
        ISNUMBER(SEARCH("Abdullah Abdulkarim Al Sudais",M135)),"Accounting",
        ISNUMBER(SEARCH("Abdullah Fahad for Accounting",M135)),"Accounting",
        ISNUMBER(SEARCH("Abdullah Rashid Shaikh",M135)),"Shareholder",
        ISNUMBER(SEARCH("Advanced Equipments",M135)),"Equipment Rental",
        ISNUMBER(SEARCH("Al Banuk Sana",M135)),"Telecom Company",
        ISNUMBER(SEARCH("Al Khaleefa Factory",M135)),"Manufacturer",
        ISNUMBER(SEARCH("Al Saadeh Trading",M135)),"Trading Company",
        ISNUMBER(SEARCH("Al Zaehaan",M135)),"Trading Company",
        ISNUMBER(SEARCH("Ali Abdullah K Al Darwish",M135)),"Airlines",
        ISNUMBER(SEARCH("Bupa Arabia",M135)),"Health Insurance",
        ISNUMBER(SEARCH("Dar Fahoosaat",M135)),"Consultant",
        ISNUMBER(SEARCH("General Authority of Zakat",M135)),"Tax Collection",
        ISNUMBER(SEARCH("Gulf Voyager",M135)),"Travel Agency",
        ISNUMBER(SEARCH("Hopeway Trading",M135)),"Trading Company",
        ISNUMBER(SEARCH("Interhealth Medical",M135)),"Medical Services",
        ISNUMBER(SEARCH("Ishaar",M135)),"Online Payment Service",
        ISNUMBER(SEARCH("ISO Arabia",M135)),"Certification",
        ISNUMBER(SEARCH("Khalid Saad Al Otaibi",M135)),"Trading Company",
        ISNUMBER(SEARCH("MERAS for Decoration",M135)),"Decor Company",
        ISNUMBER(SEARCH("Middle East Customs Clearance",M135)),"Customs",
        ISNUMBER(SEARCH("Ministry of Human Resources",M135)),"Government",
        ISNUMBER(SEARCH("My Business Services",M135)),"Service Provider",
        ISNUMBER(SEARCH("National Water Company",M135)),"Water Company",
        ISNUMBER(SEARCH("Rania Contracting",M135)),"Contracting",
        ISNUMBER(SEARCH("Rashid Ali Sheikh",M135)),"Shareholder",
        ISNUMBER(SEARCH("Sahab United Motors",M135)),"Car Show Room",
        ISNUMBER(SEARCH("Saud Mohammed Al Tamimi",M135)),"Shareholder",
        ISNUMBER(SEARCH("Saud Mohammed Tamimi",M135)),"Shareholder",
        ISNUMBER(SEARCH("Saudi Electric Company",M135)),"Electricity Company",
        ISNUMBER(SEARCH("Saudi Vetonit",M135)),"Building Materials",
        ISNUMBER(SEARCH("Shomoul Eng",M135)),"Safety",
        ISNUMBER(SEARCH("STC",M135)),"Telecom Company",
        ISNUMBER(SEARCH("The General Organization for Social Insurance",M135)),"Social Insurance Agency",
        ISNUMBER(SEARCH("TUV Rheinland",M135)),"Certification",
        ISNUMBER(SEARCH("Al Arabia Ceramic",M135)),"Building Materials",
        ISNUMBER(SEARCH("National Company for Building and Marketing",M135)),"Parent Company",
        ISNUMBER(SEARCH("Athraa Holding",M135)),"Holding Company",
        ISNUMBER(SEARCH("Al Rasan",M135)),"Contracting",
        ISNUMBER(SEARCH("Raboua Al Haid",M135)),"Trading Company",
        ISNUMBER(SEARCH("Al Jazeera Paint",M135)),"Manufacturer",
        ISNUMBER(SEARCH("Rania Works Contracting",M135)),"Contracting",
        ISNUMBER(SEARCH("Bandar Jarallah",M135)),"Trading Establishment",
        ISNUMBER(SEARCH("RS Infratec Saudi",M135)),"Same Company",
        ISNUMBER(SEARCH("Payroll",M135)),"Bank",
        ISNUMBER(SEARCH("Expatriate",M135)),"Government",
        ISNUMBER(SEARCH("Unknown Sender",M135)),"Unknown",
        TRUE,"Unknown"
    ),
    "-"
)</f>
        <v>Government</v>
      </c>
      <c r="AA135" s="25" t="str" cm="1">
        <f t="array" ref="AA135">_xlfn.IFNA(
    _xlfn.IFS(
        Z135="Lender","Financing",
        Z135="Accounting","Accounting",
        Z135="Shareholder","Individual",
        Z135="Equipment Rental","Equipment Rental",
        Z135="Telecom Company","Telecom",
        Z135="Manufacturer","Manufacturer",
        Z135="Trading Company","Trading And Transport",
        Z135="Trading Establishment","Trading",
        Z135="Airlines","Airlines",
        Z135="Health Insurance","Insurance",
        Z135="Consultant","Consultant",
        Z135="Tax Collection","Government",
        Z135="Travel Agency","Travel Agency",
        Z135="Medical Services","Medical Center",
        Z135="Online Payment Service","Payment Facilitator",
        Z135="Certification","Safety",
        Z135="Decor Company","Design",
        Z135="Customs","Customs",
        Z135="Government","Government",
        Z135="Service Provider","Service Provider",
        Z135="Water Company","Water Company",
        Z135="Contracting","Contracting",
        Z135="Car Show Room","Car Trader",
        Z135="Electricity Company","Electricity Company",
        Z135="Building Materials","Building Materials",
        Z135="Safety","Safety",
        Z135="Social Insurance Agency","Government Fund",
        Z135="Parent Company","Holding Company",
        Z135="Holding Company","Holding Company",
        Z135="Same Company","Construction",
        Z135="Bank","Bank",
        Z135="Unknown","Unknown",
        TRUE,"-"
    ),
    "-"
)</f>
        <v>Government</v>
      </c>
      <c r="AB135" s="25" t="str">
        <f t="shared" si="9"/>
        <v>-</v>
      </c>
      <c r="AC135" s="25" t="str" cm="1">
        <f t="array" ref="AC135">_xlfn.IFNA(
    _xlfn.IFS(
        Z135="Shareholder","Shareholder",
        Z135="Same Company","Same Company",
        Z135="Bank","Bank",
        Z135="Government","Government",
        Z135="Social Insurance Agency","Government",
        Z135="Parent Company","Customer",
        Z135="Lender","Lender",
        Z135="Unknown","Unknown",
        ISNUMBER(SEARCH("Abdullah Abdulkarim",M135)),"Service Provider",
        ISNUMBER(SEARCH("Abdullah Fahad",M135)),"Service Provider",
        ISNUMBER(SEARCH("Advanced Equipments",M135)),"Supplier",
        ISNUMBER(SEARCH("Al Banuk Sana",M135)),"Supplier",
        ISNUMBER(SEARCH("Al Khaleefa Factory",M135)),"Supplier",
        ISNUMBER(SEARCH("Al Saadeh Trading",M135)),"Supplier",
        ISNUMBER(SEARCH("Al Zaehaan",M135)),"Supplier",
        ISNUMBER(SEARCH("Ali Abdullah K Al Darwish",M135)),"Service Provider",
        ISNUMBER(SEARCH("Bupa Arabia",M135)),"Insurance Company",
        ISNUMBER(SEARCH("Dar Fahoosaat",M135)),"Service Provider",
        ISNUMBER(SEARCH("General Authority of Zakat",M135)),"Tax Authority",
        ISNUMBER(SEARCH("Gulf Voyager",M135)),"Service Provider",
        ISNUMBER(SEARCH("Hopeway Trading",M135)),"Supplier",
        ISNUMBER(SEARCH("Interhealth Medical",M135)),"Customer",
        ISNUMBER(SEARCH("Ishaar",M135)),"Service Provider",
        ISNUMBER(SEARCH("ISO Arabia",M135)),"Service Provider",
        ISNUMBER(SEARCH("Khalid Saad Al Otaibi",M135)),"Supplier",
        ISNUMBER(SEARCH("MERAS for Decoration",M135)),"Supplier",
        ISNUMBER(SEARCH("Middle East Customs Clearance",M135)),"Service Provider",
        ISNUMBER(SEARCH("Ministry of Human Resources",M135)),"Regulatory Agency",
        ISNUMBER(SEARCH("My Business Services",M135)),"Service Provider",
        ISNUMBER(SEARCH("National Water Company",M135)),"Utility Provider",
        ISNUMBER(SEARCH("Rania Contracting",M135)),"Supplier",
        ISNUMBER(SEARCH("Sahab United Motors",M135)),"Supplier",
        ISNUMBER(SEARCH("Saudi Electric Company",M135)),"Utility Provider",
        ISNUMBER(SEARCH("Saudi Vetonit",M135)),"Supplier",
        ISNUMBER(SEARCH("Shomoul Eng",M135)),"Service Provider",
        ISNUMBER(SEARCH("STC",M135)),"Utility Provider",
        ISNUMBER(SEARCH("The General Organization for Social Insurance",M135)),"Social Insurance Agency",
        ISNUMBER(SEARCH("TUV Rheinland",M135)),"Service Provider",
        ISNUMBER(SEARCH("Al Arabia Ceramic",M135)),"Supplier",
        ISNUMBER(SEARCH("National Company for Building",M135)),"Customer",
        ISNUMBER(SEARCH("Athraa Holding",M135)),"Customer",
        ISNUMBER(SEARCH("Al Rasan",M135)),"Supplier",
        ISNUMBER(SEARCH("Raboua Al Haid",M135)),"Customer",
        ISNUMBER(SEARCH("Al Jazeera Paint",M135)),"Supplier",
        ISNUMBER(SEARCH("Rania Works Contracting",M135)),"Supplier",
        ISNUMBER(SEARCH("Bandar Jarallah",M135)),"Supplier",
        TRUE,"Supplier"
    ),
    "-"
)</f>
        <v>Government</v>
      </c>
      <c r="AD135" s="25" t="str" cm="1">
        <f t="array" ref="AD135">_xlfn.IFNA(
    _xlfn.IFS(
        AC135="Same Company","High",
        AC135="Shareholder","High",
        AC135="Government","High",
        AC135="Bank","High",
        AC135="Lender","High",
        AC135="Unknown","Low",
        AC135="-","Low",
        TRUE,"Medium"
    ),
    "-"
)</f>
        <v>High</v>
      </c>
      <c r="AE135" s="25" t="str">
        <f t="shared" si="10"/>
        <v>-</v>
      </c>
      <c r="AF135" s="25" t="str" cm="1">
        <f t="array" ref="AF135">_xlfn.IFNA(
    _xlfn.IFS(
        K135="Credit",
            _xlfn.IFS(
                OR(ISNUMBER(SEARCH("Rejected",L135)),ISNUMBER(SEARCH("Returned",L135))),"Other Income",
                TRUE,"Revenue"
            ),
        K135="Debit",
            _xlfn.IFS(
                ISNUMBER(SEARCH("Payroll",L135)),"OPEX",
                ISNUMBER(SEARCH("Expatriate",L135)),"OPEX",
                ISNUMBER(SEARCH("Zakat",M135)),"ZATCA",
                ISNUMBER(SEARCH("General Organization for Social Insurance",M135)),"OPEX",
                ISNUMBER(SEARCH("Saudi Electric",M135)),"OPEX",
                ISNUMBER(SEARCH("STC",M135)),"OPEX",
                ISNUMBER(SEARCH("National Water",M135)),"OPEX",
                ISNUMBER(SEARCH("Bupa",M135)),"OPEX",
                ISNUMBER(SEARCH("Abdullah Abdulkarim",M135)),"OPEX",
                ISNUMBER(SEARCH("Abdullah Fahad",M135)),"OPEX",
                ISNUMBER(SEARCH("ISO Arabia",M135)),"OPEX",
                ISNUMBER(SEARCH("Gulf Voyager",M135)),"OPEX",
                ISNUMBER(SEARCH("Ministry",M135)),"OPEX",
                ISNUMBER(SEARCH("General Authority of Zakat",M135)),"ZATCA",
                ISNUMBER(SEARCH("Rejected",L135)),"Other Income",
                TRUE,"COGS"
            ),
        TRUE,"-"
    ),
    "-"
)</f>
        <v>OPEX</v>
      </c>
      <c r="AG135" s="25" t="str" cm="1">
        <f t="array" ref="AG135">_xlfn.IFNA(
    _xlfn.IFS(
        ISNUMBER(SEARCH("Payroll",L135)),"Payroll",
        ISNUMBER(SEARCH("Expatriate",L135)),"Government Fees",
        ISNUMBER(SEARCH("Zakat",M135)),"Zakat",
        ISNUMBER(SEARCH("Social Insurance",M135)),"Social Insurance",
        ISNUMBER(SEARCH("Saudi Electric",M135)),"Electricity",
        ISNUMBER(SEARCH("STC",M135)),"Telecom",
        ISNUMBER(SEARCH("National Water",M135)),"Water",
        ISNUMBER(SEARCH("Bupa",M135)),"Insurance",
        ISNUMBER(SEARCH("Gulf Voyager",M135)),"Travel",
        ISNUMBER(SEARCH("Ministry",M135)),"Government Fees",
        ISNUMBER(SEARCH("Abdullah Abdulkarim",M135)),"Consulting",
        ISNUMBER(SEARCH("Abdullah Fahad",M135)),"Accounting",
        ISNUMBER(SEARCH("ISO Arabia",M135)),"Consulting",
        ISNUMBER(SEARCH("Rejected",L135)),"Refund",
        AF135="COGS","Inventory Purchase",
        AF135="Revenue","Revenue",
        AF135="OPEX","Other",
        AF135="ZATCA","Zakat",
        TRUE,"-"
    ),
    "-"
)</f>
        <v>Government Fees</v>
      </c>
      <c r="AH135" s="25" t="str" cm="1">
        <f t="array" ref="AH135">_xlfn.IFNA(
    _xlfn.IFS(
        AF135="-","Low",
        AF135="Other","Low",
        TRUE,"Medium"
    ),
    "-"
)</f>
        <v>Medium</v>
      </c>
      <c r="AI135" s="25" t="str">
        <f t="shared" si="11"/>
        <v>-</v>
      </c>
    </row>
    <row r="136" spans="1:35" x14ac:dyDescent="0.25">
      <c r="A136" s="10">
        <v>10</v>
      </c>
      <c r="B136" s="10" t="s">
        <v>35</v>
      </c>
      <c r="C136" s="10" t="s">
        <v>36</v>
      </c>
      <c r="D136" s="10" t="s">
        <v>37</v>
      </c>
      <c r="E136" s="10" t="s">
        <v>38</v>
      </c>
      <c r="F136" s="11" t="s">
        <v>39</v>
      </c>
      <c r="G136" s="11" t="s">
        <v>40</v>
      </c>
      <c r="H136" s="12">
        <v>44938</v>
      </c>
      <c r="I136" s="20">
        <v>17407.27</v>
      </c>
      <c r="J136" s="20">
        <v>162</v>
      </c>
      <c r="K136" s="10" t="s">
        <v>41</v>
      </c>
      <c r="L136" s="9" t="s">
        <v>338</v>
      </c>
      <c r="M136" s="9" t="s">
        <v>343</v>
      </c>
      <c r="O136" s="9" t="s">
        <v>340</v>
      </c>
      <c r="P136" s="15">
        <v>44938</v>
      </c>
      <c r="R136" s="16">
        <v>162</v>
      </c>
      <c r="U136" s="9" t="s">
        <v>55</v>
      </c>
      <c r="V136" s="24" t="str" cm="1">
        <f t="array" ref="V136">_xlfn.IFNA(
    _xlfn.IFS(
        ISNUMBER(SEARCH("Fast Outgoing Transfer",L136)),"Transfer",
        ISNUMBER(SEARCH("Incoming Fast Transfer",L136)),"Transfer",
        ISNUMBER(SEARCH("Outgoing International Transfer",L136)),"Transfer",
        ISNUMBER(SEARCH("Bill Payment",L136)),"SADAD",
        ISNUMBER(SEARCH("Payroll",L136)),"Payroll",
        ISNUMBER(SEARCH("Cash Deposit",L136)),"Cash",
        ISNUMBER(SEARCH("Internal Transfer",L136)),"Transfer",
        ISNUMBER(SEARCH("Expatriate Services Payment",L136)),"SADAD",
        ISNUMBER(SEARCH("Rejected",L136)),"Transfer"
    ),
    "-"
)</f>
        <v>SADAD</v>
      </c>
      <c r="W136" s="25" t="str" cm="1">
        <f t="array" ref="W136">_xlfn.IFNA(
    _xlfn.IFS(
        AND(V136="Transfer",ISNUMBER(SEARCH("RIYAD BANK",L136))),"External FI",
        AND(V136="Transfer",ISNUMBER(SEARCH("Al Ahli",L136))),"External FI",
        AND(V136="Transfer",ISNUMBER(SEARCH("CIB via",L136))),"Local Transfer",
        AND(V136="Transfer",ISNUMBER(SEARCH("CIB)",L136))),"Local Transfer",
        AND(V136="Transfer",ISNUMBER(SEARCH("SMRT",L136))),"Local Transfer",
        AND(V136="Transfer",ISNUMBER(SEARCH("Al Murabba",L136))),"Local Transfer",
        AND(V136="Transfer",ISNUMBER(SEARCH("Internal Transfer",L136))),"Same FI",
        AND(V136="Transfer",ISNUMBER(SEARCH("Rejected",L136))),"Failed",
        V136="SADAD",
            _xlfn.IFS(
                ISNUMBER(SEARCH("Expatriate",L136)),"Expat Fees",
                TRUE,"Online Payment"
            ),
        V136="Payroll","Payroll",
        V136="Cash","Deposit",
        TRUE,"-"
    ),
    "-"
)</f>
        <v>Expat Fees</v>
      </c>
      <c r="X136" s="25" t="str" cm="1">
        <f t="array" ref="X136">_xlfn.IFNA(
    _xlfn.IFS(
        V136="-","Low",
        W136="-","Low",
        TRUE,"High"
    ),
    "-"
)</f>
        <v>High</v>
      </c>
      <c r="Y136" s="25" t="str">
        <f t="shared" si="8"/>
        <v>-</v>
      </c>
      <c r="Z136" s="25" t="str" cm="1">
        <f t="array" ref="Z136">_xlfn.IFNA(
    _xlfn.IFS(
        ISNUMBER(SEARCH("Abdul Latif Jameel",M136)),"Lender",
        ISNUMBER(SEARCH("Abdullah Abdulkarim Al Sudais",M136)),"Accounting",
        ISNUMBER(SEARCH("Abdullah Fahad for Accounting",M136)),"Accounting",
        ISNUMBER(SEARCH("Abdullah Rashid Shaikh",M136)),"Shareholder",
        ISNUMBER(SEARCH("Advanced Equipments",M136)),"Equipment Rental",
        ISNUMBER(SEARCH("Al Banuk Sana",M136)),"Telecom Company",
        ISNUMBER(SEARCH("Al Khaleefa Factory",M136)),"Manufacturer",
        ISNUMBER(SEARCH("Al Saadeh Trading",M136)),"Trading Company",
        ISNUMBER(SEARCH("Al Zaehaan",M136)),"Trading Company",
        ISNUMBER(SEARCH("Ali Abdullah K Al Darwish",M136)),"Airlines",
        ISNUMBER(SEARCH("Bupa Arabia",M136)),"Health Insurance",
        ISNUMBER(SEARCH("Dar Fahoosaat",M136)),"Consultant",
        ISNUMBER(SEARCH("General Authority of Zakat",M136)),"Tax Collection",
        ISNUMBER(SEARCH("Gulf Voyager",M136)),"Travel Agency",
        ISNUMBER(SEARCH("Hopeway Trading",M136)),"Trading Company",
        ISNUMBER(SEARCH("Interhealth Medical",M136)),"Medical Services",
        ISNUMBER(SEARCH("Ishaar",M136)),"Online Payment Service",
        ISNUMBER(SEARCH("ISO Arabia",M136)),"Certification",
        ISNUMBER(SEARCH("Khalid Saad Al Otaibi",M136)),"Trading Company",
        ISNUMBER(SEARCH("MERAS for Decoration",M136)),"Decor Company",
        ISNUMBER(SEARCH("Middle East Customs Clearance",M136)),"Customs",
        ISNUMBER(SEARCH("Ministry of Human Resources",M136)),"Government",
        ISNUMBER(SEARCH("My Business Services",M136)),"Service Provider",
        ISNUMBER(SEARCH("National Water Company",M136)),"Water Company",
        ISNUMBER(SEARCH("Rania Contracting",M136)),"Contracting",
        ISNUMBER(SEARCH("Rashid Ali Sheikh",M136)),"Shareholder",
        ISNUMBER(SEARCH("Sahab United Motors",M136)),"Car Show Room",
        ISNUMBER(SEARCH("Saud Mohammed Al Tamimi",M136)),"Shareholder",
        ISNUMBER(SEARCH("Saud Mohammed Tamimi",M136)),"Shareholder",
        ISNUMBER(SEARCH("Saudi Electric Company",M136)),"Electricity Company",
        ISNUMBER(SEARCH("Saudi Vetonit",M136)),"Building Materials",
        ISNUMBER(SEARCH("Shomoul Eng",M136)),"Safety",
        ISNUMBER(SEARCH("STC",M136)),"Telecom Company",
        ISNUMBER(SEARCH("The General Organization for Social Insurance",M136)),"Social Insurance Agency",
        ISNUMBER(SEARCH("TUV Rheinland",M136)),"Certification",
        ISNUMBER(SEARCH("Al Arabia Ceramic",M136)),"Building Materials",
        ISNUMBER(SEARCH("National Company for Building and Marketing",M136)),"Parent Company",
        ISNUMBER(SEARCH("Athraa Holding",M136)),"Holding Company",
        ISNUMBER(SEARCH("Al Rasan",M136)),"Contracting",
        ISNUMBER(SEARCH("Raboua Al Haid",M136)),"Trading Company",
        ISNUMBER(SEARCH("Al Jazeera Paint",M136)),"Manufacturer",
        ISNUMBER(SEARCH("Rania Works Contracting",M136)),"Contracting",
        ISNUMBER(SEARCH("Bandar Jarallah",M136)),"Trading Establishment",
        ISNUMBER(SEARCH("RS Infratec Saudi",M136)),"Same Company",
        ISNUMBER(SEARCH("Payroll",M136)),"Bank",
        ISNUMBER(SEARCH("Expatriate",M136)),"Government",
        ISNUMBER(SEARCH("Unknown Sender",M136)),"Unknown",
        TRUE,"Unknown"
    ),
    "-"
)</f>
        <v>Government</v>
      </c>
      <c r="AA136" s="25" t="str" cm="1">
        <f t="array" ref="AA136">_xlfn.IFNA(
    _xlfn.IFS(
        Z136="Lender","Financing",
        Z136="Accounting","Accounting",
        Z136="Shareholder","Individual",
        Z136="Equipment Rental","Equipment Rental",
        Z136="Telecom Company","Telecom",
        Z136="Manufacturer","Manufacturer",
        Z136="Trading Company","Trading And Transport",
        Z136="Trading Establishment","Trading",
        Z136="Airlines","Airlines",
        Z136="Health Insurance","Insurance",
        Z136="Consultant","Consultant",
        Z136="Tax Collection","Government",
        Z136="Travel Agency","Travel Agency",
        Z136="Medical Services","Medical Center",
        Z136="Online Payment Service","Payment Facilitator",
        Z136="Certification","Safety",
        Z136="Decor Company","Design",
        Z136="Customs","Customs",
        Z136="Government","Government",
        Z136="Service Provider","Service Provider",
        Z136="Water Company","Water Company",
        Z136="Contracting","Contracting",
        Z136="Car Show Room","Car Trader",
        Z136="Electricity Company","Electricity Company",
        Z136="Building Materials","Building Materials",
        Z136="Safety","Safety",
        Z136="Social Insurance Agency","Government Fund",
        Z136="Parent Company","Holding Company",
        Z136="Holding Company","Holding Company",
        Z136="Same Company","Construction",
        Z136="Bank","Bank",
        Z136="Unknown","Unknown",
        TRUE,"-"
    ),
    "-"
)</f>
        <v>Government</v>
      </c>
      <c r="AB136" s="25" t="str">
        <f t="shared" si="9"/>
        <v>-</v>
      </c>
      <c r="AC136" s="25" t="str" cm="1">
        <f t="array" ref="AC136">_xlfn.IFNA(
    _xlfn.IFS(
        Z136="Shareholder","Shareholder",
        Z136="Same Company","Same Company",
        Z136="Bank","Bank",
        Z136="Government","Government",
        Z136="Social Insurance Agency","Government",
        Z136="Parent Company","Customer",
        Z136="Lender","Lender",
        Z136="Unknown","Unknown",
        ISNUMBER(SEARCH("Abdullah Abdulkarim",M136)),"Service Provider",
        ISNUMBER(SEARCH("Abdullah Fahad",M136)),"Service Provider",
        ISNUMBER(SEARCH("Advanced Equipments",M136)),"Supplier",
        ISNUMBER(SEARCH("Al Banuk Sana",M136)),"Supplier",
        ISNUMBER(SEARCH("Al Khaleefa Factory",M136)),"Supplier",
        ISNUMBER(SEARCH("Al Saadeh Trading",M136)),"Supplier",
        ISNUMBER(SEARCH("Al Zaehaan",M136)),"Supplier",
        ISNUMBER(SEARCH("Ali Abdullah K Al Darwish",M136)),"Service Provider",
        ISNUMBER(SEARCH("Bupa Arabia",M136)),"Insurance Company",
        ISNUMBER(SEARCH("Dar Fahoosaat",M136)),"Service Provider",
        ISNUMBER(SEARCH("General Authority of Zakat",M136)),"Tax Authority",
        ISNUMBER(SEARCH("Gulf Voyager",M136)),"Service Provider",
        ISNUMBER(SEARCH("Hopeway Trading",M136)),"Supplier",
        ISNUMBER(SEARCH("Interhealth Medical",M136)),"Customer",
        ISNUMBER(SEARCH("Ishaar",M136)),"Service Provider",
        ISNUMBER(SEARCH("ISO Arabia",M136)),"Service Provider",
        ISNUMBER(SEARCH("Khalid Saad Al Otaibi",M136)),"Supplier",
        ISNUMBER(SEARCH("MERAS for Decoration",M136)),"Supplier",
        ISNUMBER(SEARCH("Middle East Customs Clearance",M136)),"Service Provider",
        ISNUMBER(SEARCH("Ministry of Human Resources",M136)),"Regulatory Agency",
        ISNUMBER(SEARCH("My Business Services",M136)),"Service Provider",
        ISNUMBER(SEARCH("National Water Company",M136)),"Utility Provider",
        ISNUMBER(SEARCH("Rania Contracting",M136)),"Supplier",
        ISNUMBER(SEARCH("Sahab United Motors",M136)),"Supplier",
        ISNUMBER(SEARCH("Saudi Electric Company",M136)),"Utility Provider",
        ISNUMBER(SEARCH("Saudi Vetonit",M136)),"Supplier",
        ISNUMBER(SEARCH("Shomoul Eng",M136)),"Service Provider",
        ISNUMBER(SEARCH("STC",M136)),"Utility Provider",
        ISNUMBER(SEARCH("The General Organization for Social Insurance",M136)),"Social Insurance Agency",
        ISNUMBER(SEARCH("TUV Rheinland",M136)),"Service Provider",
        ISNUMBER(SEARCH("Al Arabia Ceramic",M136)),"Supplier",
        ISNUMBER(SEARCH("National Company for Building",M136)),"Customer",
        ISNUMBER(SEARCH("Athraa Holding",M136)),"Customer",
        ISNUMBER(SEARCH("Al Rasan",M136)),"Supplier",
        ISNUMBER(SEARCH("Raboua Al Haid",M136)),"Customer",
        ISNUMBER(SEARCH("Al Jazeera Paint",M136)),"Supplier",
        ISNUMBER(SEARCH("Rania Works Contracting",M136)),"Supplier",
        ISNUMBER(SEARCH("Bandar Jarallah",M136)),"Supplier",
        TRUE,"Supplier"
    ),
    "-"
)</f>
        <v>Government</v>
      </c>
      <c r="AD136" s="25" t="str" cm="1">
        <f t="array" ref="AD136">_xlfn.IFNA(
    _xlfn.IFS(
        AC136="Same Company","High",
        AC136="Shareholder","High",
        AC136="Government","High",
        AC136="Bank","High",
        AC136="Lender","High",
        AC136="Unknown","Low",
        AC136="-","Low",
        TRUE,"Medium"
    ),
    "-"
)</f>
        <v>High</v>
      </c>
      <c r="AE136" s="25" t="str">
        <f t="shared" si="10"/>
        <v>-</v>
      </c>
      <c r="AF136" s="25" t="str" cm="1">
        <f t="array" ref="AF136">_xlfn.IFNA(
    _xlfn.IFS(
        K136="Credit",
            _xlfn.IFS(
                OR(ISNUMBER(SEARCH("Rejected",L136)),ISNUMBER(SEARCH("Returned",L136))),"Other Income",
                TRUE,"Revenue"
            ),
        K136="Debit",
            _xlfn.IFS(
                ISNUMBER(SEARCH("Payroll",L136)),"OPEX",
                ISNUMBER(SEARCH("Expatriate",L136)),"OPEX",
                ISNUMBER(SEARCH("Zakat",M136)),"ZATCA",
                ISNUMBER(SEARCH("General Organization for Social Insurance",M136)),"OPEX",
                ISNUMBER(SEARCH("Saudi Electric",M136)),"OPEX",
                ISNUMBER(SEARCH("STC",M136)),"OPEX",
                ISNUMBER(SEARCH("National Water",M136)),"OPEX",
                ISNUMBER(SEARCH("Bupa",M136)),"OPEX",
                ISNUMBER(SEARCH("Abdullah Abdulkarim",M136)),"OPEX",
                ISNUMBER(SEARCH("Abdullah Fahad",M136)),"OPEX",
                ISNUMBER(SEARCH("ISO Arabia",M136)),"OPEX",
                ISNUMBER(SEARCH("Gulf Voyager",M136)),"OPEX",
                ISNUMBER(SEARCH("Ministry",M136)),"OPEX",
                ISNUMBER(SEARCH("General Authority of Zakat",M136)),"ZATCA",
                ISNUMBER(SEARCH("Rejected",L136)),"Other Income",
                TRUE,"COGS"
            ),
        TRUE,"-"
    ),
    "-"
)</f>
        <v>OPEX</v>
      </c>
      <c r="AG136" s="25" t="str" cm="1">
        <f t="array" ref="AG136">_xlfn.IFNA(
    _xlfn.IFS(
        ISNUMBER(SEARCH("Payroll",L136)),"Payroll",
        ISNUMBER(SEARCH("Expatriate",L136)),"Government Fees",
        ISNUMBER(SEARCH("Zakat",M136)),"Zakat",
        ISNUMBER(SEARCH("Social Insurance",M136)),"Social Insurance",
        ISNUMBER(SEARCH("Saudi Electric",M136)),"Electricity",
        ISNUMBER(SEARCH("STC",M136)),"Telecom",
        ISNUMBER(SEARCH("National Water",M136)),"Water",
        ISNUMBER(SEARCH("Bupa",M136)),"Insurance",
        ISNUMBER(SEARCH("Gulf Voyager",M136)),"Travel",
        ISNUMBER(SEARCH("Ministry",M136)),"Government Fees",
        ISNUMBER(SEARCH("Abdullah Abdulkarim",M136)),"Consulting",
        ISNUMBER(SEARCH("Abdullah Fahad",M136)),"Accounting",
        ISNUMBER(SEARCH("ISO Arabia",M136)),"Consulting",
        ISNUMBER(SEARCH("Rejected",L136)),"Refund",
        AF136="COGS","Inventory Purchase",
        AF136="Revenue","Revenue",
        AF136="OPEX","Other",
        AF136="ZATCA","Zakat",
        TRUE,"-"
    ),
    "-"
)</f>
        <v>Government Fees</v>
      </c>
      <c r="AH136" s="25" t="str" cm="1">
        <f t="array" ref="AH136">_xlfn.IFNA(
    _xlfn.IFS(
        AF136="-","Low",
        AF136="Other","Low",
        TRUE,"Medium"
    ),
    "-"
)</f>
        <v>Medium</v>
      </c>
      <c r="AI136" s="25" t="str">
        <f t="shared" si="11"/>
        <v>-</v>
      </c>
    </row>
    <row r="137" spans="1:35" x14ac:dyDescent="0.25">
      <c r="A137" s="10">
        <v>10</v>
      </c>
      <c r="B137" s="10" t="s">
        <v>35</v>
      </c>
      <c r="C137" s="10" t="s">
        <v>36</v>
      </c>
      <c r="D137" s="10" t="s">
        <v>37</v>
      </c>
      <c r="E137" s="10" t="s">
        <v>38</v>
      </c>
      <c r="F137" s="11" t="s">
        <v>39</v>
      </c>
      <c r="G137" s="11" t="s">
        <v>40</v>
      </c>
      <c r="H137" s="12">
        <v>44938</v>
      </c>
      <c r="I137" s="20">
        <v>17245.27</v>
      </c>
      <c r="J137" s="20">
        <v>162</v>
      </c>
      <c r="K137" s="10" t="s">
        <v>41</v>
      </c>
      <c r="L137" s="9" t="s">
        <v>338</v>
      </c>
      <c r="M137" s="9" t="s">
        <v>344</v>
      </c>
      <c r="O137" s="9" t="s">
        <v>340</v>
      </c>
      <c r="P137" s="15">
        <v>44938</v>
      </c>
      <c r="R137" s="16">
        <v>162</v>
      </c>
      <c r="U137" s="9" t="s">
        <v>55</v>
      </c>
      <c r="V137" s="24" t="str" cm="1">
        <f t="array" ref="V137">_xlfn.IFNA(
    _xlfn.IFS(
        ISNUMBER(SEARCH("Fast Outgoing Transfer",L137)),"Transfer",
        ISNUMBER(SEARCH("Incoming Fast Transfer",L137)),"Transfer",
        ISNUMBER(SEARCH("Outgoing International Transfer",L137)),"Transfer",
        ISNUMBER(SEARCH("Bill Payment",L137)),"SADAD",
        ISNUMBER(SEARCH("Payroll",L137)),"Payroll",
        ISNUMBER(SEARCH("Cash Deposit",L137)),"Cash",
        ISNUMBER(SEARCH("Internal Transfer",L137)),"Transfer",
        ISNUMBER(SEARCH("Expatriate Services Payment",L137)),"SADAD",
        ISNUMBER(SEARCH("Rejected",L137)),"Transfer"
    ),
    "-"
)</f>
        <v>SADAD</v>
      </c>
      <c r="W137" s="25" t="str" cm="1">
        <f t="array" ref="W137">_xlfn.IFNA(
    _xlfn.IFS(
        AND(V137="Transfer",ISNUMBER(SEARCH("RIYAD BANK",L137))),"External FI",
        AND(V137="Transfer",ISNUMBER(SEARCH("Al Ahli",L137))),"External FI",
        AND(V137="Transfer",ISNUMBER(SEARCH("CIB via",L137))),"Local Transfer",
        AND(V137="Transfer",ISNUMBER(SEARCH("CIB)",L137))),"Local Transfer",
        AND(V137="Transfer",ISNUMBER(SEARCH("SMRT",L137))),"Local Transfer",
        AND(V137="Transfer",ISNUMBER(SEARCH("Al Murabba",L137))),"Local Transfer",
        AND(V137="Transfer",ISNUMBER(SEARCH("Internal Transfer",L137))),"Same FI",
        AND(V137="Transfer",ISNUMBER(SEARCH("Rejected",L137))),"Failed",
        V137="SADAD",
            _xlfn.IFS(
                ISNUMBER(SEARCH("Expatriate",L137)),"Expat Fees",
                TRUE,"Online Payment"
            ),
        V137="Payroll","Payroll",
        V137="Cash","Deposit",
        TRUE,"-"
    ),
    "-"
)</f>
        <v>Expat Fees</v>
      </c>
      <c r="X137" s="25" t="str" cm="1">
        <f t="array" ref="X137">_xlfn.IFNA(
    _xlfn.IFS(
        V137="-","Low",
        W137="-","Low",
        TRUE,"High"
    ),
    "-"
)</f>
        <v>High</v>
      </c>
      <c r="Y137" s="25" t="str">
        <f t="shared" si="8"/>
        <v>-</v>
      </c>
      <c r="Z137" s="25" t="str" cm="1">
        <f t="array" ref="Z137">_xlfn.IFNA(
    _xlfn.IFS(
        ISNUMBER(SEARCH("Abdul Latif Jameel",M137)),"Lender",
        ISNUMBER(SEARCH("Abdullah Abdulkarim Al Sudais",M137)),"Accounting",
        ISNUMBER(SEARCH("Abdullah Fahad for Accounting",M137)),"Accounting",
        ISNUMBER(SEARCH("Abdullah Rashid Shaikh",M137)),"Shareholder",
        ISNUMBER(SEARCH("Advanced Equipments",M137)),"Equipment Rental",
        ISNUMBER(SEARCH("Al Banuk Sana",M137)),"Telecom Company",
        ISNUMBER(SEARCH("Al Khaleefa Factory",M137)),"Manufacturer",
        ISNUMBER(SEARCH("Al Saadeh Trading",M137)),"Trading Company",
        ISNUMBER(SEARCH("Al Zaehaan",M137)),"Trading Company",
        ISNUMBER(SEARCH("Ali Abdullah K Al Darwish",M137)),"Airlines",
        ISNUMBER(SEARCH("Bupa Arabia",M137)),"Health Insurance",
        ISNUMBER(SEARCH("Dar Fahoosaat",M137)),"Consultant",
        ISNUMBER(SEARCH("General Authority of Zakat",M137)),"Tax Collection",
        ISNUMBER(SEARCH("Gulf Voyager",M137)),"Travel Agency",
        ISNUMBER(SEARCH("Hopeway Trading",M137)),"Trading Company",
        ISNUMBER(SEARCH("Interhealth Medical",M137)),"Medical Services",
        ISNUMBER(SEARCH("Ishaar",M137)),"Online Payment Service",
        ISNUMBER(SEARCH("ISO Arabia",M137)),"Certification",
        ISNUMBER(SEARCH("Khalid Saad Al Otaibi",M137)),"Trading Company",
        ISNUMBER(SEARCH("MERAS for Decoration",M137)),"Decor Company",
        ISNUMBER(SEARCH("Middle East Customs Clearance",M137)),"Customs",
        ISNUMBER(SEARCH("Ministry of Human Resources",M137)),"Government",
        ISNUMBER(SEARCH("My Business Services",M137)),"Service Provider",
        ISNUMBER(SEARCH("National Water Company",M137)),"Water Company",
        ISNUMBER(SEARCH("Rania Contracting",M137)),"Contracting",
        ISNUMBER(SEARCH("Rashid Ali Sheikh",M137)),"Shareholder",
        ISNUMBER(SEARCH("Sahab United Motors",M137)),"Car Show Room",
        ISNUMBER(SEARCH("Saud Mohammed Al Tamimi",M137)),"Shareholder",
        ISNUMBER(SEARCH("Saud Mohammed Tamimi",M137)),"Shareholder",
        ISNUMBER(SEARCH("Saudi Electric Company",M137)),"Electricity Company",
        ISNUMBER(SEARCH("Saudi Vetonit",M137)),"Building Materials",
        ISNUMBER(SEARCH("Shomoul Eng",M137)),"Safety",
        ISNUMBER(SEARCH("STC",M137)),"Telecom Company",
        ISNUMBER(SEARCH("The General Organization for Social Insurance",M137)),"Social Insurance Agency",
        ISNUMBER(SEARCH("TUV Rheinland",M137)),"Certification",
        ISNUMBER(SEARCH("Al Arabia Ceramic",M137)),"Building Materials",
        ISNUMBER(SEARCH("National Company for Building and Marketing",M137)),"Parent Company",
        ISNUMBER(SEARCH("Athraa Holding",M137)),"Holding Company",
        ISNUMBER(SEARCH("Al Rasan",M137)),"Contracting",
        ISNUMBER(SEARCH("Raboua Al Haid",M137)),"Trading Company",
        ISNUMBER(SEARCH("Al Jazeera Paint",M137)),"Manufacturer",
        ISNUMBER(SEARCH("Rania Works Contracting",M137)),"Contracting",
        ISNUMBER(SEARCH("Bandar Jarallah",M137)),"Trading Establishment",
        ISNUMBER(SEARCH("RS Infratec Saudi",M137)),"Same Company",
        ISNUMBER(SEARCH("Payroll",M137)),"Bank",
        ISNUMBER(SEARCH("Expatriate",M137)),"Government",
        ISNUMBER(SEARCH("Unknown Sender",M137)),"Unknown",
        TRUE,"Unknown"
    ),
    "-"
)</f>
        <v>Government</v>
      </c>
      <c r="AA137" s="25" t="str" cm="1">
        <f t="array" ref="AA137">_xlfn.IFNA(
    _xlfn.IFS(
        Z137="Lender","Financing",
        Z137="Accounting","Accounting",
        Z137="Shareholder","Individual",
        Z137="Equipment Rental","Equipment Rental",
        Z137="Telecom Company","Telecom",
        Z137="Manufacturer","Manufacturer",
        Z137="Trading Company","Trading And Transport",
        Z137="Trading Establishment","Trading",
        Z137="Airlines","Airlines",
        Z137="Health Insurance","Insurance",
        Z137="Consultant","Consultant",
        Z137="Tax Collection","Government",
        Z137="Travel Agency","Travel Agency",
        Z137="Medical Services","Medical Center",
        Z137="Online Payment Service","Payment Facilitator",
        Z137="Certification","Safety",
        Z137="Decor Company","Design",
        Z137="Customs","Customs",
        Z137="Government","Government",
        Z137="Service Provider","Service Provider",
        Z137="Water Company","Water Company",
        Z137="Contracting","Contracting",
        Z137="Car Show Room","Car Trader",
        Z137="Electricity Company","Electricity Company",
        Z137="Building Materials","Building Materials",
        Z137="Safety","Safety",
        Z137="Social Insurance Agency","Government Fund",
        Z137="Parent Company","Holding Company",
        Z137="Holding Company","Holding Company",
        Z137="Same Company","Construction",
        Z137="Bank","Bank",
        Z137="Unknown","Unknown",
        TRUE,"-"
    ),
    "-"
)</f>
        <v>Government</v>
      </c>
      <c r="AB137" s="25" t="str">
        <f t="shared" si="9"/>
        <v>-</v>
      </c>
      <c r="AC137" s="25" t="str" cm="1">
        <f t="array" ref="AC137">_xlfn.IFNA(
    _xlfn.IFS(
        Z137="Shareholder","Shareholder",
        Z137="Same Company","Same Company",
        Z137="Bank","Bank",
        Z137="Government","Government",
        Z137="Social Insurance Agency","Government",
        Z137="Parent Company","Customer",
        Z137="Lender","Lender",
        Z137="Unknown","Unknown",
        ISNUMBER(SEARCH("Abdullah Abdulkarim",M137)),"Service Provider",
        ISNUMBER(SEARCH("Abdullah Fahad",M137)),"Service Provider",
        ISNUMBER(SEARCH("Advanced Equipments",M137)),"Supplier",
        ISNUMBER(SEARCH("Al Banuk Sana",M137)),"Supplier",
        ISNUMBER(SEARCH("Al Khaleefa Factory",M137)),"Supplier",
        ISNUMBER(SEARCH("Al Saadeh Trading",M137)),"Supplier",
        ISNUMBER(SEARCH("Al Zaehaan",M137)),"Supplier",
        ISNUMBER(SEARCH("Ali Abdullah K Al Darwish",M137)),"Service Provider",
        ISNUMBER(SEARCH("Bupa Arabia",M137)),"Insurance Company",
        ISNUMBER(SEARCH("Dar Fahoosaat",M137)),"Service Provider",
        ISNUMBER(SEARCH("General Authority of Zakat",M137)),"Tax Authority",
        ISNUMBER(SEARCH("Gulf Voyager",M137)),"Service Provider",
        ISNUMBER(SEARCH("Hopeway Trading",M137)),"Supplier",
        ISNUMBER(SEARCH("Interhealth Medical",M137)),"Customer",
        ISNUMBER(SEARCH("Ishaar",M137)),"Service Provider",
        ISNUMBER(SEARCH("ISO Arabia",M137)),"Service Provider",
        ISNUMBER(SEARCH("Khalid Saad Al Otaibi",M137)),"Supplier",
        ISNUMBER(SEARCH("MERAS for Decoration",M137)),"Supplier",
        ISNUMBER(SEARCH("Middle East Customs Clearance",M137)),"Service Provider",
        ISNUMBER(SEARCH("Ministry of Human Resources",M137)),"Regulatory Agency",
        ISNUMBER(SEARCH("My Business Services",M137)),"Service Provider",
        ISNUMBER(SEARCH("National Water Company",M137)),"Utility Provider",
        ISNUMBER(SEARCH("Rania Contracting",M137)),"Supplier",
        ISNUMBER(SEARCH("Sahab United Motors",M137)),"Supplier",
        ISNUMBER(SEARCH("Saudi Electric Company",M137)),"Utility Provider",
        ISNUMBER(SEARCH("Saudi Vetonit",M137)),"Supplier",
        ISNUMBER(SEARCH("Shomoul Eng",M137)),"Service Provider",
        ISNUMBER(SEARCH("STC",M137)),"Utility Provider",
        ISNUMBER(SEARCH("The General Organization for Social Insurance",M137)),"Social Insurance Agency",
        ISNUMBER(SEARCH("TUV Rheinland",M137)),"Service Provider",
        ISNUMBER(SEARCH("Al Arabia Ceramic",M137)),"Supplier",
        ISNUMBER(SEARCH("National Company for Building",M137)),"Customer",
        ISNUMBER(SEARCH("Athraa Holding",M137)),"Customer",
        ISNUMBER(SEARCH("Al Rasan",M137)),"Supplier",
        ISNUMBER(SEARCH("Raboua Al Haid",M137)),"Customer",
        ISNUMBER(SEARCH("Al Jazeera Paint",M137)),"Supplier",
        ISNUMBER(SEARCH("Rania Works Contracting",M137)),"Supplier",
        ISNUMBER(SEARCH("Bandar Jarallah",M137)),"Supplier",
        TRUE,"Supplier"
    ),
    "-"
)</f>
        <v>Government</v>
      </c>
      <c r="AD137" s="25" t="str" cm="1">
        <f t="array" ref="AD137">_xlfn.IFNA(
    _xlfn.IFS(
        AC137="Same Company","High",
        AC137="Shareholder","High",
        AC137="Government","High",
        AC137="Bank","High",
        AC137="Lender","High",
        AC137="Unknown","Low",
        AC137="-","Low",
        TRUE,"Medium"
    ),
    "-"
)</f>
        <v>High</v>
      </c>
      <c r="AE137" s="25" t="str">
        <f t="shared" si="10"/>
        <v>-</v>
      </c>
      <c r="AF137" s="25" t="str" cm="1">
        <f t="array" ref="AF137">_xlfn.IFNA(
    _xlfn.IFS(
        K137="Credit",
            _xlfn.IFS(
                OR(ISNUMBER(SEARCH("Rejected",L137)),ISNUMBER(SEARCH("Returned",L137))),"Other Income",
                TRUE,"Revenue"
            ),
        K137="Debit",
            _xlfn.IFS(
                ISNUMBER(SEARCH("Payroll",L137)),"OPEX",
                ISNUMBER(SEARCH("Expatriate",L137)),"OPEX",
                ISNUMBER(SEARCH("Zakat",M137)),"ZATCA",
                ISNUMBER(SEARCH("General Organization for Social Insurance",M137)),"OPEX",
                ISNUMBER(SEARCH("Saudi Electric",M137)),"OPEX",
                ISNUMBER(SEARCH("STC",M137)),"OPEX",
                ISNUMBER(SEARCH("National Water",M137)),"OPEX",
                ISNUMBER(SEARCH("Bupa",M137)),"OPEX",
                ISNUMBER(SEARCH("Abdullah Abdulkarim",M137)),"OPEX",
                ISNUMBER(SEARCH("Abdullah Fahad",M137)),"OPEX",
                ISNUMBER(SEARCH("ISO Arabia",M137)),"OPEX",
                ISNUMBER(SEARCH("Gulf Voyager",M137)),"OPEX",
                ISNUMBER(SEARCH("Ministry",M137)),"OPEX",
                ISNUMBER(SEARCH("General Authority of Zakat",M137)),"ZATCA",
                ISNUMBER(SEARCH("Rejected",L137)),"Other Income",
                TRUE,"COGS"
            ),
        TRUE,"-"
    ),
    "-"
)</f>
        <v>OPEX</v>
      </c>
      <c r="AG137" s="25" t="str" cm="1">
        <f t="array" ref="AG137">_xlfn.IFNA(
    _xlfn.IFS(
        ISNUMBER(SEARCH("Payroll",L137)),"Payroll",
        ISNUMBER(SEARCH("Expatriate",L137)),"Government Fees",
        ISNUMBER(SEARCH("Zakat",M137)),"Zakat",
        ISNUMBER(SEARCH("Social Insurance",M137)),"Social Insurance",
        ISNUMBER(SEARCH("Saudi Electric",M137)),"Electricity",
        ISNUMBER(SEARCH("STC",M137)),"Telecom",
        ISNUMBER(SEARCH("National Water",M137)),"Water",
        ISNUMBER(SEARCH("Bupa",M137)),"Insurance",
        ISNUMBER(SEARCH("Gulf Voyager",M137)),"Travel",
        ISNUMBER(SEARCH("Ministry",M137)),"Government Fees",
        ISNUMBER(SEARCH("Abdullah Abdulkarim",M137)),"Consulting",
        ISNUMBER(SEARCH("Abdullah Fahad",M137)),"Accounting",
        ISNUMBER(SEARCH("ISO Arabia",M137)),"Consulting",
        ISNUMBER(SEARCH("Rejected",L137)),"Refund",
        AF137="COGS","Inventory Purchase",
        AF137="Revenue","Revenue",
        AF137="OPEX","Other",
        AF137="ZATCA","Zakat",
        TRUE,"-"
    ),
    "-"
)</f>
        <v>Government Fees</v>
      </c>
      <c r="AH137" s="25" t="str" cm="1">
        <f t="array" ref="AH137">_xlfn.IFNA(
    _xlfn.IFS(
        AF137="-","Low",
        AF137="Other","Low",
        TRUE,"Medium"
    ),
    "-"
)</f>
        <v>Medium</v>
      </c>
      <c r="AI137" s="25" t="str">
        <f t="shared" si="11"/>
        <v>-</v>
      </c>
    </row>
    <row r="138" spans="1:35" x14ac:dyDescent="0.25">
      <c r="A138" s="10">
        <v>10</v>
      </c>
      <c r="B138" s="10" t="s">
        <v>35</v>
      </c>
      <c r="C138" s="10" t="s">
        <v>36</v>
      </c>
      <c r="D138" s="10" t="s">
        <v>37</v>
      </c>
      <c r="E138" s="10" t="s">
        <v>38</v>
      </c>
      <c r="F138" s="11" t="s">
        <v>39</v>
      </c>
      <c r="G138" s="11" t="s">
        <v>40</v>
      </c>
      <c r="H138" s="12">
        <v>44938</v>
      </c>
      <c r="I138" s="20">
        <v>17082.27</v>
      </c>
      <c r="J138" s="20">
        <v>163</v>
      </c>
      <c r="K138" s="10" t="s">
        <v>41</v>
      </c>
      <c r="L138" s="9" t="s">
        <v>338</v>
      </c>
      <c r="M138" s="9" t="s">
        <v>345</v>
      </c>
      <c r="O138" s="9" t="s">
        <v>340</v>
      </c>
      <c r="P138" s="15">
        <v>44938</v>
      </c>
      <c r="R138" s="16">
        <v>163</v>
      </c>
      <c r="U138" s="9" t="s">
        <v>55</v>
      </c>
      <c r="V138" s="24" t="str" cm="1">
        <f t="array" ref="V138">_xlfn.IFNA(
    _xlfn.IFS(
        ISNUMBER(SEARCH("Fast Outgoing Transfer",L138)),"Transfer",
        ISNUMBER(SEARCH("Incoming Fast Transfer",L138)),"Transfer",
        ISNUMBER(SEARCH("Outgoing International Transfer",L138)),"Transfer",
        ISNUMBER(SEARCH("Bill Payment",L138)),"SADAD",
        ISNUMBER(SEARCH("Payroll",L138)),"Payroll",
        ISNUMBER(SEARCH("Cash Deposit",L138)),"Cash",
        ISNUMBER(SEARCH("Internal Transfer",L138)),"Transfer",
        ISNUMBER(SEARCH("Expatriate Services Payment",L138)),"SADAD",
        ISNUMBER(SEARCH("Rejected",L138)),"Transfer"
    ),
    "-"
)</f>
        <v>SADAD</v>
      </c>
      <c r="W138" s="25" t="str" cm="1">
        <f t="array" ref="W138">_xlfn.IFNA(
    _xlfn.IFS(
        AND(V138="Transfer",ISNUMBER(SEARCH("RIYAD BANK",L138))),"External FI",
        AND(V138="Transfer",ISNUMBER(SEARCH("Al Ahli",L138))),"External FI",
        AND(V138="Transfer",ISNUMBER(SEARCH("CIB via",L138))),"Local Transfer",
        AND(V138="Transfer",ISNUMBER(SEARCH("CIB)",L138))),"Local Transfer",
        AND(V138="Transfer",ISNUMBER(SEARCH("SMRT",L138))),"Local Transfer",
        AND(V138="Transfer",ISNUMBER(SEARCH("Al Murabba",L138))),"Local Transfer",
        AND(V138="Transfer",ISNUMBER(SEARCH("Internal Transfer",L138))),"Same FI",
        AND(V138="Transfer",ISNUMBER(SEARCH("Rejected",L138))),"Failed",
        V138="SADAD",
            _xlfn.IFS(
                ISNUMBER(SEARCH("Expatriate",L138)),"Expat Fees",
                TRUE,"Online Payment"
            ),
        V138="Payroll","Payroll",
        V138="Cash","Deposit",
        TRUE,"-"
    ),
    "-"
)</f>
        <v>Expat Fees</v>
      </c>
      <c r="X138" s="25" t="str" cm="1">
        <f t="array" ref="X138">_xlfn.IFNA(
    _xlfn.IFS(
        V138="-","Low",
        W138="-","Low",
        TRUE,"High"
    ),
    "-"
)</f>
        <v>High</v>
      </c>
      <c r="Y138" s="25" t="str">
        <f t="shared" si="8"/>
        <v>-</v>
      </c>
      <c r="Z138" s="25" t="str" cm="1">
        <f t="array" ref="Z138">_xlfn.IFNA(
    _xlfn.IFS(
        ISNUMBER(SEARCH("Abdul Latif Jameel",M138)),"Lender",
        ISNUMBER(SEARCH("Abdullah Abdulkarim Al Sudais",M138)),"Accounting",
        ISNUMBER(SEARCH("Abdullah Fahad for Accounting",M138)),"Accounting",
        ISNUMBER(SEARCH("Abdullah Rashid Shaikh",M138)),"Shareholder",
        ISNUMBER(SEARCH("Advanced Equipments",M138)),"Equipment Rental",
        ISNUMBER(SEARCH("Al Banuk Sana",M138)),"Telecom Company",
        ISNUMBER(SEARCH("Al Khaleefa Factory",M138)),"Manufacturer",
        ISNUMBER(SEARCH("Al Saadeh Trading",M138)),"Trading Company",
        ISNUMBER(SEARCH("Al Zaehaan",M138)),"Trading Company",
        ISNUMBER(SEARCH("Ali Abdullah K Al Darwish",M138)),"Airlines",
        ISNUMBER(SEARCH("Bupa Arabia",M138)),"Health Insurance",
        ISNUMBER(SEARCH("Dar Fahoosaat",M138)),"Consultant",
        ISNUMBER(SEARCH("General Authority of Zakat",M138)),"Tax Collection",
        ISNUMBER(SEARCH("Gulf Voyager",M138)),"Travel Agency",
        ISNUMBER(SEARCH("Hopeway Trading",M138)),"Trading Company",
        ISNUMBER(SEARCH("Interhealth Medical",M138)),"Medical Services",
        ISNUMBER(SEARCH("Ishaar",M138)),"Online Payment Service",
        ISNUMBER(SEARCH("ISO Arabia",M138)),"Certification",
        ISNUMBER(SEARCH("Khalid Saad Al Otaibi",M138)),"Trading Company",
        ISNUMBER(SEARCH("MERAS for Decoration",M138)),"Decor Company",
        ISNUMBER(SEARCH("Middle East Customs Clearance",M138)),"Customs",
        ISNUMBER(SEARCH("Ministry of Human Resources",M138)),"Government",
        ISNUMBER(SEARCH("My Business Services",M138)),"Service Provider",
        ISNUMBER(SEARCH("National Water Company",M138)),"Water Company",
        ISNUMBER(SEARCH("Rania Contracting",M138)),"Contracting",
        ISNUMBER(SEARCH("Rashid Ali Sheikh",M138)),"Shareholder",
        ISNUMBER(SEARCH("Sahab United Motors",M138)),"Car Show Room",
        ISNUMBER(SEARCH("Saud Mohammed Al Tamimi",M138)),"Shareholder",
        ISNUMBER(SEARCH("Saud Mohammed Tamimi",M138)),"Shareholder",
        ISNUMBER(SEARCH("Saudi Electric Company",M138)),"Electricity Company",
        ISNUMBER(SEARCH("Saudi Vetonit",M138)),"Building Materials",
        ISNUMBER(SEARCH("Shomoul Eng",M138)),"Safety",
        ISNUMBER(SEARCH("STC",M138)),"Telecom Company",
        ISNUMBER(SEARCH("The General Organization for Social Insurance",M138)),"Social Insurance Agency",
        ISNUMBER(SEARCH("TUV Rheinland",M138)),"Certification",
        ISNUMBER(SEARCH("Al Arabia Ceramic",M138)),"Building Materials",
        ISNUMBER(SEARCH("National Company for Building and Marketing",M138)),"Parent Company",
        ISNUMBER(SEARCH("Athraa Holding",M138)),"Holding Company",
        ISNUMBER(SEARCH("Al Rasan",M138)),"Contracting",
        ISNUMBER(SEARCH("Raboua Al Haid",M138)),"Trading Company",
        ISNUMBER(SEARCH("Al Jazeera Paint",M138)),"Manufacturer",
        ISNUMBER(SEARCH("Rania Works Contracting",M138)),"Contracting",
        ISNUMBER(SEARCH("Bandar Jarallah",M138)),"Trading Establishment",
        ISNUMBER(SEARCH("RS Infratec Saudi",M138)),"Same Company",
        ISNUMBER(SEARCH("Payroll",M138)),"Bank",
        ISNUMBER(SEARCH("Expatriate",M138)),"Government",
        ISNUMBER(SEARCH("Unknown Sender",M138)),"Unknown",
        TRUE,"Unknown"
    ),
    "-"
)</f>
        <v>Government</v>
      </c>
      <c r="AA138" s="25" t="str" cm="1">
        <f t="array" ref="AA138">_xlfn.IFNA(
    _xlfn.IFS(
        Z138="Lender","Financing",
        Z138="Accounting","Accounting",
        Z138="Shareholder","Individual",
        Z138="Equipment Rental","Equipment Rental",
        Z138="Telecom Company","Telecom",
        Z138="Manufacturer","Manufacturer",
        Z138="Trading Company","Trading And Transport",
        Z138="Trading Establishment","Trading",
        Z138="Airlines","Airlines",
        Z138="Health Insurance","Insurance",
        Z138="Consultant","Consultant",
        Z138="Tax Collection","Government",
        Z138="Travel Agency","Travel Agency",
        Z138="Medical Services","Medical Center",
        Z138="Online Payment Service","Payment Facilitator",
        Z138="Certification","Safety",
        Z138="Decor Company","Design",
        Z138="Customs","Customs",
        Z138="Government","Government",
        Z138="Service Provider","Service Provider",
        Z138="Water Company","Water Company",
        Z138="Contracting","Contracting",
        Z138="Car Show Room","Car Trader",
        Z138="Electricity Company","Electricity Company",
        Z138="Building Materials","Building Materials",
        Z138="Safety","Safety",
        Z138="Social Insurance Agency","Government Fund",
        Z138="Parent Company","Holding Company",
        Z138="Holding Company","Holding Company",
        Z138="Same Company","Construction",
        Z138="Bank","Bank",
        Z138="Unknown","Unknown",
        TRUE,"-"
    ),
    "-"
)</f>
        <v>Government</v>
      </c>
      <c r="AB138" s="25" t="str">
        <f t="shared" si="9"/>
        <v>-</v>
      </c>
      <c r="AC138" s="25" t="str" cm="1">
        <f t="array" ref="AC138">_xlfn.IFNA(
    _xlfn.IFS(
        Z138="Shareholder","Shareholder",
        Z138="Same Company","Same Company",
        Z138="Bank","Bank",
        Z138="Government","Government",
        Z138="Social Insurance Agency","Government",
        Z138="Parent Company","Customer",
        Z138="Lender","Lender",
        Z138="Unknown","Unknown",
        ISNUMBER(SEARCH("Abdullah Abdulkarim",M138)),"Service Provider",
        ISNUMBER(SEARCH("Abdullah Fahad",M138)),"Service Provider",
        ISNUMBER(SEARCH("Advanced Equipments",M138)),"Supplier",
        ISNUMBER(SEARCH("Al Banuk Sana",M138)),"Supplier",
        ISNUMBER(SEARCH("Al Khaleefa Factory",M138)),"Supplier",
        ISNUMBER(SEARCH("Al Saadeh Trading",M138)),"Supplier",
        ISNUMBER(SEARCH("Al Zaehaan",M138)),"Supplier",
        ISNUMBER(SEARCH("Ali Abdullah K Al Darwish",M138)),"Service Provider",
        ISNUMBER(SEARCH("Bupa Arabia",M138)),"Insurance Company",
        ISNUMBER(SEARCH("Dar Fahoosaat",M138)),"Service Provider",
        ISNUMBER(SEARCH("General Authority of Zakat",M138)),"Tax Authority",
        ISNUMBER(SEARCH("Gulf Voyager",M138)),"Service Provider",
        ISNUMBER(SEARCH("Hopeway Trading",M138)),"Supplier",
        ISNUMBER(SEARCH("Interhealth Medical",M138)),"Customer",
        ISNUMBER(SEARCH("Ishaar",M138)),"Service Provider",
        ISNUMBER(SEARCH("ISO Arabia",M138)),"Service Provider",
        ISNUMBER(SEARCH("Khalid Saad Al Otaibi",M138)),"Supplier",
        ISNUMBER(SEARCH("MERAS for Decoration",M138)),"Supplier",
        ISNUMBER(SEARCH("Middle East Customs Clearance",M138)),"Service Provider",
        ISNUMBER(SEARCH("Ministry of Human Resources",M138)),"Regulatory Agency",
        ISNUMBER(SEARCH("My Business Services",M138)),"Service Provider",
        ISNUMBER(SEARCH("National Water Company",M138)),"Utility Provider",
        ISNUMBER(SEARCH("Rania Contracting",M138)),"Supplier",
        ISNUMBER(SEARCH("Sahab United Motors",M138)),"Supplier",
        ISNUMBER(SEARCH("Saudi Electric Company",M138)),"Utility Provider",
        ISNUMBER(SEARCH("Saudi Vetonit",M138)),"Supplier",
        ISNUMBER(SEARCH("Shomoul Eng",M138)),"Service Provider",
        ISNUMBER(SEARCH("STC",M138)),"Utility Provider",
        ISNUMBER(SEARCH("The General Organization for Social Insurance",M138)),"Social Insurance Agency",
        ISNUMBER(SEARCH("TUV Rheinland",M138)),"Service Provider",
        ISNUMBER(SEARCH("Al Arabia Ceramic",M138)),"Supplier",
        ISNUMBER(SEARCH("National Company for Building",M138)),"Customer",
        ISNUMBER(SEARCH("Athraa Holding",M138)),"Customer",
        ISNUMBER(SEARCH("Al Rasan",M138)),"Supplier",
        ISNUMBER(SEARCH("Raboua Al Haid",M138)),"Customer",
        ISNUMBER(SEARCH("Al Jazeera Paint",M138)),"Supplier",
        ISNUMBER(SEARCH("Rania Works Contracting",M138)),"Supplier",
        ISNUMBER(SEARCH("Bandar Jarallah",M138)),"Supplier",
        TRUE,"Supplier"
    ),
    "-"
)</f>
        <v>Government</v>
      </c>
      <c r="AD138" s="25" t="str" cm="1">
        <f t="array" ref="AD138">_xlfn.IFNA(
    _xlfn.IFS(
        AC138="Same Company","High",
        AC138="Shareholder","High",
        AC138="Government","High",
        AC138="Bank","High",
        AC138="Lender","High",
        AC138="Unknown","Low",
        AC138="-","Low",
        TRUE,"Medium"
    ),
    "-"
)</f>
        <v>High</v>
      </c>
      <c r="AE138" s="25" t="str">
        <f t="shared" si="10"/>
        <v>-</v>
      </c>
      <c r="AF138" s="25" t="str" cm="1">
        <f t="array" ref="AF138">_xlfn.IFNA(
    _xlfn.IFS(
        K138="Credit",
            _xlfn.IFS(
                OR(ISNUMBER(SEARCH("Rejected",L138)),ISNUMBER(SEARCH("Returned",L138))),"Other Income",
                TRUE,"Revenue"
            ),
        K138="Debit",
            _xlfn.IFS(
                ISNUMBER(SEARCH("Payroll",L138)),"OPEX",
                ISNUMBER(SEARCH("Expatriate",L138)),"OPEX",
                ISNUMBER(SEARCH("Zakat",M138)),"ZATCA",
                ISNUMBER(SEARCH("General Organization for Social Insurance",M138)),"OPEX",
                ISNUMBER(SEARCH("Saudi Electric",M138)),"OPEX",
                ISNUMBER(SEARCH("STC",M138)),"OPEX",
                ISNUMBER(SEARCH("National Water",M138)),"OPEX",
                ISNUMBER(SEARCH("Bupa",M138)),"OPEX",
                ISNUMBER(SEARCH("Abdullah Abdulkarim",M138)),"OPEX",
                ISNUMBER(SEARCH("Abdullah Fahad",M138)),"OPEX",
                ISNUMBER(SEARCH("ISO Arabia",M138)),"OPEX",
                ISNUMBER(SEARCH("Gulf Voyager",M138)),"OPEX",
                ISNUMBER(SEARCH("Ministry",M138)),"OPEX",
                ISNUMBER(SEARCH("General Authority of Zakat",M138)),"ZATCA",
                ISNUMBER(SEARCH("Rejected",L138)),"Other Income",
                TRUE,"COGS"
            ),
        TRUE,"-"
    ),
    "-"
)</f>
        <v>OPEX</v>
      </c>
      <c r="AG138" s="25" t="str" cm="1">
        <f t="array" ref="AG138">_xlfn.IFNA(
    _xlfn.IFS(
        ISNUMBER(SEARCH("Payroll",L138)),"Payroll",
        ISNUMBER(SEARCH("Expatriate",L138)),"Government Fees",
        ISNUMBER(SEARCH("Zakat",M138)),"Zakat",
        ISNUMBER(SEARCH("Social Insurance",M138)),"Social Insurance",
        ISNUMBER(SEARCH("Saudi Electric",M138)),"Electricity",
        ISNUMBER(SEARCH("STC",M138)),"Telecom",
        ISNUMBER(SEARCH("National Water",M138)),"Water",
        ISNUMBER(SEARCH("Bupa",M138)),"Insurance",
        ISNUMBER(SEARCH("Gulf Voyager",M138)),"Travel",
        ISNUMBER(SEARCH("Ministry",M138)),"Government Fees",
        ISNUMBER(SEARCH("Abdullah Abdulkarim",M138)),"Consulting",
        ISNUMBER(SEARCH("Abdullah Fahad",M138)),"Accounting",
        ISNUMBER(SEARCH("ISO Arabia",M138)),"Consulting",
        ISNUMBER(SEARCH("Rejected",L138)),"Refund",
        AF138="COGS","Inventory Purchase",
        AF138="Revenue","Revenue",
        AF138="OPEX","Other",
        AF138="ZATCA","Zakat",
        TRUE,"-"
    ),
    "-"
)</f>
        <v>Government Fees</v>
      </c>
      <c r="AH138" s="25" t="str" cm="1">
        <f t="array" ref="AH138">_xlfn.IFNA(
    _xlfn.IFS(
        AF138="-","Low",
        AF138="Other","Low",
        TRUE,"Medium"
    ),
    "-"
)</f>
        <v>Medium</v>
      </c>
      <c r="AI138" s="25" t="str">
        <f t="shared" si="11"/>
        <v>-</v>
      </c>
    </row>
    <row r="139" spans="1:35" x14ac:dyDescent="0.25">
      <c r="A139" s="10">
        <v>10</v>
      </c>
      <c r="B139" s="10" t="s">
        <v>35</v>
      </c>
      <c r="C139" s="10" t="s">
        <v>36</v>
      </c>
      <c r="D139" s="10" t="s">
        <v>37</v>
      </c>
      <c r="E139" s="10" t="s">
        <v>38</v>
      </c>
      <c r="F139" s="11" t="s">
        <v>39</v>
      </c>
      <c r="G139" s="11" t="s">
        <v>40</v>
      </c>
      <c r="H139" s="12">
        <v>44938</v>
      </c>
      <c r="I139" s="20">
        <v>16919.27</v>
      </c>
      <c r="J139" s="20">
        <v>163</v>
      </c>
      <c r="K139" s="10" t="s">
        <v>41</v>
      </c>
      <c r="L139" s="9" t="s">
        <v>338</v>
      </c>
      <c r="M139" s="9" t="s">
        <v>346</v>
      </c>
      <c r="O139" s="9" t="s">
        <v>340</v>
      </c>
      <c r="P139" s="15">
        <v>44938</v>
      </c>
      <c r="R139" s="16">
        <v>163</v>
      </c>
      <c r="U139" s="9" t="s">
        <v>55</v>
      </c>
      <c r="V139" s="24" t="str" cm="1">
        <f t="array" ref="V139">_xlfn.IFNA(
    _xlfn.IFS(
        ISNUMBER(SEARCH("Fast Outgoing Transfer",L139)),"Transfer",
        ISNUMBER(SEARCH("Incoming Fast Transfer",L139)),"Transfer",
        ISNUMBER(SEARCH("Outgoing International Transfer",L139)),"Transfer",
        ISNUMBER(SEARCH("Bill Payment",L139)),"SADAD",
        ISNUMBER(SEARCH("Payroll",L139)),"Payroll",
        ISNUMBER(SEARCH("Cash Deposit",L139)),"Cash",
        ISNUMBER(SEARCH("Internal Transfer",L139)),"Transfer",
        ISNUMBER(SEARCH("Expatriate Services Payment",L139)),"SADAD",
        ISNUMBER(SEARCH("Rejected",L139)),"Transfer"
    ),
    "-"
)</f>
        <v>SADAD</v>
      </c>
      <c r="W139" s="25" t="str" cm="1">
        <f t="array" ref="W139">_xlfn.IFNA(
    _xlfn.IFS(
        AND(V139="Transfer",ISNUMBER(SEARCH("RIYAD BANK",L139))),"External FI",
        AND(V139="Transfer",ISNUMBER(SEARCH("Al Ahli",L139))),"External FI",
        AND(V139="Transfer",ISNUMBER(SEARCH("CIB via",L139))),"Local Transfer",
        AND(V139="Transfer",ISNUMBER(SEARCH("CIB)",L139))),"Local Transfer",
        AND(V139="Transfer",ISNUMBER(SEARCH("SMRT",L139))),"Local Transfer",
        AND(V139="Transfer",ISNUMBER(SEARCH("Al Murabba",L139))),"Local Transfer",
        AND(V139="Transfer",ISNUMBER(SEARCH("Internal Transfer",L139))),"Same FI",
        AND(V139="Transfer",ISNUMBER(SEARCH("Rejected",L139))),"Failed",
        V139="SADAD",
            _xlfn.IFS(
                ISNUMBER(SEARCH("Expatriate",L139)),"Expat Fees",
                TRUE,"Online Payment"
            ),
        V139="Payroll","Payroll",
        V139="Cash","Deposit",
        TRUE,"-"
    ),
    "-"
)</f>
        <v>Expat Fees</v>
      </c>
      <c r="X139" s="25" t="str" cm="1">
        <f t="array" ref="X139">_xlfn.IFNA(
    _xlfn.IFS(
        V139="-","Low",
        W139="-","Low",
        TRUE,"High"
    ),
    "-"
)</f>
        <v>High</v>
      </c>
      <c r="Y139" s="25" t="str">
        <f t="shared" si="8"/>
        <v>-</v>
      </c>
      <c r="Z139" s="25" t="str" cm="1">
        <f t="array" ref="Z139">_xlfn.IFNA(
    _xlfn.IFS(
        ISNUMBER(SEARCH("Abdul Latif Jameel",M139)),"Lender",
        ISNUMBER(SEARCH("Abdullah Abdulkarim Al Sudais",M139)),"Accounting",
        ISNUMBER(SEARCH("Abdullah Fahad for Accounting",M139)),"Accounting",
        ISNUMBER(SEARCH("Abdullah Rashid Shaikh",M139)),"Shareholder",
        ISNUMBER(SEARCH("Advanced Equipments",M139)),"Equipment Rental",
        ISNUMBER(SEARCH("Al Banuk Sana",M139)),"Telecom Company",
        ISNUMBER(SEARCH("Al Khaleefa Factory",M139)),"Manufacturer",
        ISNUMBER(SEARCH("Al Saadeh Trading",M139)),"Trading Company",
        ISNUMBER(SEARCH("Al Zaehaan",M139)),"Trading Company",
        ISNUMBER(SEARCH("Ali Abdullah K Al Darwish",M139)),"Airlines",
        ISNUMBER(SEARCH("Bupa Arabia",M139)),"Health Insurance",
        ISNUMBER(SEARCH("Dar Fahoosaat",M139)),"Consultant",
        ISNUMBER(SEARCH("General Authority of Zakat",M139)),"Tax Collection",
        ISNUMBER(SEARCH("Gulf Voyager",M139)),"Travel Agency",
        ISNUMBER(SEARCH("Hopeway Trading",M139)),"Trading Company",
        ISNUMBER(SEARCH("Interhealth Medical",M139)),"Medical Services",
        ISNUMBER(SEARCH("Ishaar",M139)),"Online Payment Service",
        ISNUMBER(SEARCH("ISO Arabia",M139)),"Certification",
        ISNUMBER(SEARCH("Khalid Saad Al Otaibi",M139)),"Trading Company",
        ISNUMBER(SEARCH("MERAS for Decoration",M139)),"Decor Company",
        ISNUMBER(SEARCH("Middle East Customs Clearance",M139)),"Customs",
        ISNUMBER(SEARCH("Ministry of Human Resources",M139)),"Government",
        ISNUMBER(SEARCH("My Business Services",M139)),"Service Provider",
        ISNUMBER(SEARCH("National Water Company",M139)),"Water Company",
        ISNUMBER(SEARCH("Rania Contracting",M139)),"Contracting",
        ISNUMBER(SEARCH("Rashid Ali Sheikh",M139)),"Shareholder",
        ISNUMBER(SEARCH("Sahab United Motors",M139)),"Car Show Room",
        ISNUMBER(SEARCH("Saud Mohammed Al Tamimi",M139)),"Shareholder",
        ISNUMBER(SEARCH("Saud Mohammed Tamimi",M139)),"Shareholder",
        ISNUMBER(SEARCH("Saudi Electric Company",M139)),"Electricity Company",
        ISNUMBER(SEARCH("Saudi Vetonit",M139)),"Building Materials",
        ISNUMBER(SEARCH("Shomoul Eng",M139)),"Safety",
        ISNUMBER(SEARCH("STC",M139)),"Telecom Company",
        ISNUMBER(SEARCH("The General Organization for Social Insurance",M139)),"Social Insurance Agency",
        ISNUMBER(SEARCH("TUV Rheinland",M139)),"Certification",
        ISNUMBER(SEARCH("Al Arabia Ceramic",M139)),"Building Materials",
        ISNUMBER(SEARCH("National Company for Building and Marketing",M139)),"Parent Company",
        ISNUMBER(SEARCH("Athraa Holding",M139)),"Holding Company",
        ISNUMBER(SEARCH("Al Rasan",M139)),"Contracting",
        ISNUMBER(SEARCH("Raboua Al Haid",M139)),"Trading Company",
        ISNUMBER(SEARCH("Al Jazeera Paint",M139)),"Manufacturer",
        ISNUMBER(SEARCH("Rania Works Contracting",M139)),"Contracting",
        ISNUMBER(SEARCH("Bandar Jarallah",M139)),"Trading Establishment",
        ISNUMBER(SEARCH("RS Infratec Saudi",M139)),"Same Company",
        ISNUMBER(SEARCH("Payroll",M139)),"Bank",
        ISNUMBER(SEARCH("Expatriate",M139)),"Government",
        ISNUMBER(SEARCH("Unknown Sender",M139)),"Unknown",
        TRUE,"Unknown"
    ),
    "-"
)</f>
        <v>Government</v>
      </c>
      <c r="AA139" s="25" t="str" cm="1">
        <f t="array" ref="AA139">_xlfn.IFNA(
    _xlfn.IFS(
        Z139="Lender","Financing",
        Z139="Accounting","Accounting",
        Z139="Shareholder","Individual",
        Z139="Equipment Rental","Equipment Rental",
        Z139="Telecom Company","Telecom",
        Z139="Manufacturer","Manufacturer",
        Z139="Trading Company","Trading And Transport",
        Z139="Trading Establishment","Trading",
        Z139="Airlines","Airlines",
        Z139="Health Insurance","Insurance",
        Z139="Consultant","Consultant",
        Z139="Tax Collection","Government",
        Z139="Travel Agency","Travel Agency",
        Z139="Medical Services","Medical Center",
        Z139="Online Payment Service","Payment Facilitator",
        Z139="Certification","Safety",
        Z139="Decor Company","Design",
        Z139="Customs","Customs",
        Z139="Government","Government",
        Z139="Service Provider","Service Provider",
        Z139="Water Company","Water Company",
        Z139="Contracting","Contracting",
        Z139="Car Show Room","Car Trader",
        Z139="Electricity Company","Electricity Company",
        Z139="Building Materials","Building Materials",
        Z139="Safety","Safety",
        Z139="Social Insurance Agency","Government Fund",
        Z139="Parent Company","Holding Company",
        Z139="Holding Company","Holding Company",
        Z139="Same Company","Construction",
        Z139="Bank","Bank",
        Z139="Unknown","Unknown",
        TRUE,"-"
    ),
    "-"
)</f>
        <v>Government</v>
      </c>
      <c r="AB139" s="25" t="str">
        <f t="shared" si="9"/>
        <v>-</v>
      </c>
      <c r="AC139" s="25" t="str" cm="1">
        <f t="array" ref="AC139">_xlfn.IFNA(
    _xlfn.IFS(
        Z139="Shareholder","Shareholder",
        Z139="Same Company","Same Company",
        Z139="Bank","Bank",
        Z139="Government","Government",
        Z139="Social Insurance Agency","Government",
        Z139="Parent Company","Customer",
        Z139="Lender","Lender",
        Z139="Unknown","Unknown",
        ISNUMBER(SEARCH("Abdullah Abdulkarim",M139)),"Service Provider",
        ISNUMBER(SEARCH("Abdullah Fahad",M139)),"Service Provider",
        ISNUMBER(SEARCH("Advanced Equipments",M139)),"Supplier",
        ISNUMBER(SEARCH("Al Banuk Sana",M139)),"Supplier",
        ISNUMBER(SEARCH("Al Khaleefa Factory",M139)),"Supplier",
        ISNUMBER(SEARCH("Al Saadeh Trading",M139)),"Supplier",
        ISNUMBER(SEARCH("Al Zaehaan",M139)),"Supplier",
        ISNUMBER(SEARCH("Ali Abdullah K Al Darwish",M139)),"Service Provider",
        ISNUMBER(SEARCH("Bupa Arabia",M139)),"Insurance Company",
        ISNUMBER(SEARCH("Dar Fahoosaat",M139)),"Service Provider",
        ISNUMBER(SEARCH("General Authority of Zakat",M139)),"Tax Authority",
        ISNUMBER(SEARCH("Gulf Voyager",M139)),"Service Provider",
        ISNUMBER(SEARCH("Hopeway Trading",M139)),"Supplier",
        ISNUMBER(SEARCH("Interhealth Medical",M139)),"Customer",
        ISNUMBER(SEARCH("Ishaar",M139)),"Service Provider",
        ISNUMBER(SEARCH("ISO Arabia",M139)),"Service Provider",
        ISNUMBER(SEARCH("Khalid Saad Al Otaibi",M139)),"Supplier",
        ISNUMBER(SEARCH("MERAS for Decoration",M139)),"Supplier",
        ISNUMBER(SEARCH("Middle East Customs Clearance",M139)),"Service Provider",
        ISNUMBER(SEARCH("Ministry of Human Resources",M139)),"Regulatory Agency",
        ISNUMBER(SEARCH("My Business Services",M139)),"Service Provider",
        ISNUMBER(SEARCH("National Water Company",M139)),"Utility Provider",
        ISNUMBER(SEARCH("Rania Contracting",M139)),"Supplier",
        ISNUMBER(SEARCH("Sahab United Motors",M139)),"Supplier",
        ISNUMBER(SEARCH("Saudi Electric Company",M139)),"Utility Provider",
        ISNUMBER(SEARCH("Saudi Vetonit",M139)),"Supplier",
        ISNUMBER(SEARCH("Shomoul Eng",M139)),"Service Provider",
        ISNUMBER(SEARCH("STC",M139)),"Utility Provider",
        ISNUMBER(SEARCH("The General Organization for Social Insurance",M139)),"Social Insurance Agency",
        ISNUMBER(SEARCH("TUV Rheinland",M139)),"Service Provider",
        ISNUMBER(SEARCH("Al Arabia Ceramic",M139)),"Supplier",
        ISNUMBER(SEARCH("National Company for Building",M139)),"Customer",
        ISNUMBER(SEARCH("Athraa Holding",M139)),"Customer",
        ISNUMBER(SEARCH("Al Rasan",M139)),"Supplier",
        ISNUMBER(SEARCH("Raboua Al Haid",M139)),"Customer",
        ISNUMBER(SEARCH("Al Jazeera Paint",M139)),"Supplier",
        ISNUMBER(SEARCH("Rania Works Contracting",M139)),"Supplier",
        ISNUMBER(SEARCH("Bandar Jarallah",M139)),"Supplier",
        TRUE,"Supplier"
    ),
    "-"
)</f>
        <v>Government</v>
      </c>
      <c r="AD139" s="25" t="str" cm="1">
        <f t="array" ref="AD139">_xlfn.IFNA(
    _xlfn.IFS(
        AC139="Same Company","High",
        AC139="Shareholder","High",
        AC139="Government","High",
        AC139="Bank","High",
        AC139="Lender","High",
        AC139="Unknown","Low",
        AC139="-","Low",
        TRUE,"Medium"
    ),
    "-"
)</f>
        <v>High</v>
      </c>
      <c r="AE139" s="25" t="str">
        <f t="shared" si="10"/>
        <v>-</v>
      </c>
      <c r="AF139" s="25" t="str" cm="1">
        <f t="array" ref="AF139">_xlfn.IFNA(
    _xlfn.IFS(
        K139="Credit",
            _xlfn.IFS(
                OR(ISNUMBER(SEARCH("Rejected",L139)),ISNUMBER(SEARCH("Returned",L139))),"Other Income",
                TRUE,"Revenue"
            ),
        K139="Debit",
            _xlfn.IFS(
                ISNUMBER(SEARCH("Payroll",L139)),"OPEX",
                ISNUMBER(SEARCH("Expatriate",L139)),"OPEX",
                ISNUMBER(SEARCH("Zakat",M139)),"ZATCA",
                ISNUMBER(SEARCH("General Organization for Social Insurance",M139)),"OPEX",
                ISNUMBER(SEARCH("Saudi Electric",M139)),"OPEX",
                ISNUMBER(SEARCH("STC",M139)),"OPEX",
                ISNUMBER(SEARCH("National Water",M139)),"OPEX",
                ISNUMBER(SEARCH("Bupa",M139)),"OPEX",
                ISNUMBER(SEARCH("Abdullah Abdulkarim",M139)),"OPEX",
                ISNUMBER(SEARCH("Abdullah Fahad",M139)),"OPEX",
                ISNUMBER(SEARCH("ISO Arabia",M139)),"OPEX",
                ISNUMBER(SEARCH("Gulf Voyager",M139)),"OPEX",
                ISNUMBER(SEARCH("Ministry",M139)),"OPEX",
                ISNUMBER(SEARCH("General Authority of Zakat",M139)),"ZATCA",
                ISNUMBER(SEARCH("Rejected",L139)),"Other Income",
                TRUE,"COGS"
            ),
        TRUE,"-"
    ),
    "-"
)</f>
        <v>OPEX</v>
      </c>
      <c r="AG139" s="25" t="str" cm="1">
        <f t="array" ref="AG139">_xlfn.IFNA(
    _xlfn.IFS(
        ISNUMBER(SEARCH("Payroll",L139)),"Payroll",
        ISNUMBER(SEARCH("Expatriate",L139)),"Government Fees",
        ISNUMBER(SEARCH("Zakat",M139)),"Zakat",
        ISNUMBER(SEARCH("Social Insurance",M139)),"Social Insurance",
        ISNUMBER(SEARCH("Saudi Electric",M139)),"Electricity",
        ISNUMBER(SEARCH("STC",M139)),"Telecom",
        ISNUMBER(SEARCH("National Water",M139)),"Water",
        ISNUMBER(SEARCH("Bupa",M139)),"Insurance",
        ISNUMBER(SEARCH("Gulf Voyager",M139)),"Travel",
        ISNUMBER(SEARCH("Ministry",M139)),"Government Fees",
        ISNUMBER(SEARCH("Abdullah Abdulkarim",M139)),"Consulting",
        ISNUMBER(SEARCH("Abdullah Fahad",M139)),"Accounting",
        ISNUMBER(SEARCH("ISO Arabia",M139)),"Consulting",
        ISNUMBER(SEARCH("Rejected",L139)),"Refund",
        AF139="COGS","Inventory Purchase",
        AF139="Revenue","Revenue",
        AF139="OPEX","Other",
        AF139="ZATCA","Zakat",
        TRUE,"-"
    ),
    "-"
)</f>
        <v>Government Fees</v>
      </c>
      <c r="AH139" s="25" t="str" cm="1">
        <f t="array" ref="AH139">_xlfn.IFNA(
    _xlfn.IFS(
        AF139="-","Low",
        AF139="Other","Low",
        TRUE,"Medium"
    ),
    "-"
)</f>
        <v>Medium</v>
      </c>
      <c r="AI139" s="25" t="str">
        <f t="shared" si="11"/>
        <v>-</v>
      </c>
    </row>
    <row r="140" spans="1:35" x14ac:dyDescent="0.25">
      <c r="A140" s="10">
        <v>10</v>
      </c>
      <c r="B140" s="10" t="s">
        <v>35</v>
      </c>
      <c r="C140" s="10" t="s">
        <v>36</v>
      </c>
      <c r="D140" s="10" t="s">
        <v>37</v>
      </c>
      <c r="E140" s="10" t="s">
        <v>38</v>
      </c>
      <c r="F140" s="11" t="s">
        <v>39</v>
      </c>
      <c r="G140" s="11" t="s">
        <v>40</v>
      </c>
      <c r="H140" s="12">
        <v>44938</v>
      </c>
      <c r="I140" s="20">
        <v>16756.27</v>
      </c>
      <c r="J140" s="20">
        <v>163</v>
      </c>
      <c r="K140" s="10" t="s">
        <v>41</v>
      </c>
      <c r="L140" s="9" t="s">
        <v>338</v>
      </c>
      <c r="M140" s="9" t="s">
        <v>347</v>
      </c>
      <c r="O140" s="9" t="s">
        <v>340</v>
      </c>
      <c r="P140" s="15">
        <v>44938</v>
      </c>
      <c r="R140" s="16">
        <v>163</v>
      </c>
      <c r="U140" s="9" t="s">
        <v>55</v>
      </c>
      <c r="V140" s="24" t="str" cm="1">
        <f t="array" ref="V140">_xlfn.IFNA(
    _xlfn.IFS(
        ISNUMBER(SEARCH("Fast Outgoing Transfer",L140)),"Transfer",
        ISNUMBER(SEARCH("Incoming Fast Transfer",L140)),"Transfer",
        ISNUMBER(SEARCH("Outgoing International Transfer",L140)),"Transfer",
        ISNUMBER(SEARCH("Bill Payment",L140)),"SADAD",
        ISNUMBER(SEARCH("Payroll",L140)),"Payroll",
        ISNUMBER(SEARCH("Cash Deposit",L140)),"Cash",
        ISNUMBER(SEARCH("Internal Transfer",L140)),"Transfer",
        ISNUMBER(SEARCH("Expatriate Services Payment",L140)),"SADAD",
        ISNUMBER(SEARCH("Rejected",L140)),"Transfer"
    ),
    "-"
)</f>
        <v>SADAD</v>
      </c>
      <c r="W140" s="25" t="str" cm="1">
        <f t="array" ref="W140">_xlfn.IFNA(
    _xlfn.IFS(
        AND(V140="Transfer",ISNUMBER(SEARCH("RIYAD BANK",L140))),"External FI",
        AND(V140="Transfer",ISNUMBER(SEARCH("Al Ahli",L140))),"External FI",
        AND(V140="Transfer",ISNUMBER(SEARCH("CIB via",L140))),"Local Transfer",
        AND(V140="Transfer",ISNUMBER(SEARCH("CIB)",L140))),"Local Transfer",
        AND(V140="Transfer",ISNUMBER(SEARCH("SMRT",L140))),"Local Transfer",
        AND(V140="Transfer",ISNUMBER(SEARCH("Al Murabba",L140))),"Local Transfer",
        AND(V140="Transfer",ISNUMBER(SEARCH("Internal Transfer",L140))),"Same FI",
        AND(V140="Transfer",ISNUMBER(SEARCH("Rejected",L140))),"Failed",
        V140="SADAD",
            _xlfn.IFS(
                ISNUMBER(SEARCH("Expatriate",L140)),"Expat Fees",
                TRUE,"Online Payment"
            ),
        V140="Payroll","Payroll",
        V140="Cash","Deposit",
        TRUE,"-"
    ),
    "-"
)</f>
        <v>Expat Fees</v>
      </c>
      <c r="X140" s="25" t="str" cm="1">
        <f t="array" ref="X140">_xlfn.IFNA(
    _xlfn.IFS(
        V140="-","Low",
        W140="-","Low",
        TRUE,"High"
    ),
    "-"
)</f>
        <v>High</v>
      </c>
      <c r="Y140" s="25" t="str">
        <f t="shared" si="8"/>
        <v>-</v>
      </c>
      <c r="Z140" s="25" t="str" cm="1">
        <f t="array" ref="Z140">_xlfn.IFNA(
    _xlfn.IFS(
        ISNUMBER(SEARCH("Abdul Latif Jameel",M140)),"Lender",
        ISNUMBER(SEARCH("Abdullah Abdulkarim Al Sudais",M140)),"Accounting",
        ISNUMBER(SEARCH("Abdullah Fahad for Accounting",M140)),"Accounting",
        ISNUMBER(SEARCH("Abdullah Rashid Shaikh",M140)),"Shareholder",
        ISNUMBER(SEARCH("Advanced Equipments",M140)),"Equipment Rental",
        ISNUMBER(SEARCH("Al Banuk Sana",M140)),"Telecom Company",
        ISNUMBER(SEARCH("Al Khaleefa Factory",M140)),"Manufacturer",
        ISNUMBER(SEARCH("Al Saadeh Trading",M140)),"Trading Company",
        ISNUMBER(SEARCH("Al Zaehaan",M140)),"Trading Company",
        ISNUMBER(SEARCH("Ali Abdullah K Al Darwish",M140)),"Airlines",
        ISNUMBER(SEARCH("Bupa Arabia",M140)),"Health Insurance",
        ISNUMBER(SEARCH("Dar Fahoosaat",M140)),"Consultant",
        ISNUMBER(SEARCH("General Authority of Zakat",M140)),"Tax Collection",
        ISNUMBER(SEARCH("Gulf Voyager",M140)),"Travel Agency",
        ISNUMBER(SEARCH("Hopeway Trading",M140)),"Trading Company",
        ISNUMBER(SEARCH("Interhealth Medical",M140)),"Medical Services",
        ISNUMBER(SEARCH("Ishaar",M140)),"Online Payment Service",
        ISNUMBER(SEARCH("ISO Arabia",M140)),"Certification",
        ISNUMBER(SEARCH("Khalid Saad Al Otaibi",M140)),"Trading Company",
        ISNUMBER(SEARCH("MERAS for Decoration",M140)),"Decor Company",
        ISNUMBER(SEARCH("Middle East Customs Clearance",M140)),"Customs",
        ISNUMBER(SEARCH("Ministry of Human Resources",M140)),"Government",
        ISNUMBER(SEARCH("My Business Services",M140)),"Service Provider",
        ISNUMBER(SEARCH("National Water Company",M140)),"Water Company",
        ISNUMBER(SEARCH("Rania Contracting",M140)),"Contracting",
        ISNUMBER(SEARCH("Rashid Ali Sheikh",M140)),"Shareholder",
        ISNUMBER(SEARCH("Sahab United Motors",M140)),"Car Show Room",
        ISNUMBER(SEARCH("Saud Mohammed Al Tamimi",M140)),"Shareholder",
        ISNUMBER(SEARCH("Saud Mohammed Tamimi",M140)),"Shareholder",
        ISNUMBER(SEARCH("Saudi Electric Company",M140)),"Electricity Company",
        ISNUMBER(SEARCH("Saudi Vetonit",M140)),"Building Materials",
        ISNUMBER(SEARCH("Shomoul Eng",M140)),"Safety",
        ISNUMBER(SEARCH("STC",M140)),"Telecom Company",
        ISNUMBER(SEARCH("The General Organization for Social Insurance",M140)),"Social Insurance Agency",
        ISNUMBER(SEARCH("TUV Rheinland",M140)),"Certification",
        ISNUMBER(SEARCH("Al Arabia Ceramic",M140)),"Building Materials",
        ISNUMBER(SEARCH("National Company for Building and Marketing",M140)),"Parent Company",
        ISNUMBER(SEARCH("Athraa Holding",M140)),"Holding Company",
        ISNUMBER(SEARCH("Al Rasan",M140)),"Contracting",
        ISNUMBER(SEARCH("Raboua Al Haid",M140)),"Trading Company",
        ISNUMBER(SEARCH("Al Jazeera Paint",M140)),"Manufacturer",
        ISNUMBER(SEARCH("Rania Works Contracting",M140)),"Contracting",
        ISNUMBER(SEARCH("Bandar Jarallah",M140)),"Trading Establishment",
        ISNUMBER(SEARCH("RS Infratec Saudi",M140)),"Same Company",
        ISNUMBER(SEARCH("Payroll",M140)),"Bank",
        ISNUMBER(SEARCH("Expatriate",M140)),"Government",
        ISNUMBER(SEARCH("Unknown Sender",M140)),"Unknown",
        TRUE,"Unknown"
    ),
    "-"
)</f>
        <v>Government</v>
      </c>
      <c r="AA140" s="25" t="str" cm="1">
        <f t="array" ref="AA140">_xlfn.IFNA(
    _xlfn.IFS(
        Z140="Lender","Financing",
        Z140="Accounting","Accounting",
        Z140="Shareholder","Individual",
        Z140="Equipment Rental","Equipment Rental",
        Z140="Telecom Company","Telecom",
        Z140="Manufacturer","Manufacturer",
        Z140="Trading Company","Trading And Transport",
        Z140="Trading Establishment","Trading",
        Z140="Airlines","Airlines",
        Z140="Health Insurance","Insurance",
        Z140="Consultant","Consultant",
        Z140="Tax Collection","Government",
        Z140="Travel Agency","Travel Agency",
        Z140="Medical Services","Medical Center",
        Z140="Online Payment Service","Payment Facilitator",
        Z140="Certification","Safety",
        Z140="Decor Company","Design",
        Z140="Customs","Customs",
        Z140="Government","Government",
        Z140="Service Provider","Service Provider",
        Z140="Water Company","Water Company",
        Z140="Contracting","Contracting",
        Z140="Car Show Room","Car Trader",
        Z140="Electricity Company","Electricity Company",
        Z140="Building Materials","Building Materials",
        Z140="Safety","Safety",
        Z140="Social Insurance Agency","Government Fund",
        Z140="Parent Company","Holding Company",
        Z140="Holding Company","Holding Company",
        Z140="Same Company","Construction",
        Z140="Bank","Bank",
        Z140="Unknown","Unknown",
        TRUE,"-"
    ),
    "-"
)</f>
        <v>Government</v>
      </c>
      <c r="AB140" s="25" t="str">
        <f t="shared" si="9"/>
        <v>-</v>
      </c>
      <c r="AC140" s="25" t="str" cm="1">
        <f t="array" ref="AC140">_xlfn.IFNA(
    _xlfn.IFS(
        Z140="Shareholder","Shareholder",
        Z140="Same Company","Same Company",
        Z140="Bank","Bank",
        Z140="Government","Government",
        Z140="Social Insurance Agency","Government",
        Z140="Parent Company","Customer",
        Z140="Lender","Lender",
        Z140="Unknown","Unknown",
        ISNUMBER(SEARCH("Abdullah Abdulkarim",M140)),"Service Provider",
        ISNUMBER(SEARCH("Abdullah Fahad",M140)),"Service Provider",
        ISNUMBER(SEARCH("Advanced Equipments",M140)),"Supplier",
        ISNUMBER(SEARCH("Al Banuk Sana",M140)),"Supplier",
        ISNUMBER(SEARCH("Al Khaleefa Factory",M140)),"Supplier",
        ISNUMBER(SEARCH("Al Saadeh Trading",M140)),"Supplier",
        ISNUMBER(SEARCH("Al Zaehaan",M140)),"Supplier",
        ISNUMBER(SEARCH("Ali Abdullah K Al Darwish",M140)),"Service Provider",
        ISNUMBER(SEARCH("Bupa Arabia",M140)),"Insurance Company",
        ISNUMBER(SEARCH("Dar Fahoosaat",M140)),"Service Provider",
        ISNUMBER(SEARCH("General Authority of Zakat",M140)),"Tax Authority",
        ISNUMBER(SEARCH("Gulf Voyager",M140)),"Service Provider",
        ISNUMBER(SEARCH("Hopeway Trading",M140)),"Supplier",
        ISNUMBER(SEARCH("Interhealth Medical",M140)),"Customer",
        ISNUMBER(SEARCH("Ishaar",M140)),"Service Provider",
        ISNUMBER(SEARCH("ISO Arabia",M140)),"Service Provider",
        ISNUMBER(SEARCH("Khalid Saad Al Otaibi",M140)),"Supplier",
        ISNUMBER(SEARCH("MERAS for Decoration",M140)),"Supplier",
        ISNUMBER(SEARCH("Middle East Customs Clearance",M140)),"Service Provider",
        ISNUMBER(SEARCH("Ministry of Human Resources",M140)),"Regulatory Agency",
        ISNUMBER(SEARCH("My Business Services",M140)),"Service Provider",
        ISNUMBER(SEARCH("National Water Company",M140)),"Utility Provider",
        ISNUMBER(SEARCH("Rania Contracting",M140)),"Supplier",
        ISNUMBER(SEARCH("Sahab United Motors",M140)),"Supplier",
        ISNUMBER(SEARCH("Saudi Electric Company",M140)),"Utility Provider",
        ISNUMBER(SEARCH("Saudi Vetonit",M140)),"Supplier",
        ISNUMBER(SEARCH("Shomoul Eng",M140)),"Service Provider",
        ISNUMBER(SEARCH("STC",M140)),"Utility Provider",
        ISNUMBER(SEARCH("The General Organization for Social Insurance",M140)),"Social Insurance Agency",
        ISNUMBER(SEARCH("TUV Rheinland",M140)),"Service Provider",
        ISNUMBER(SEARCH("Al Arabia Ceramic",M140)),"Supplier",
        ISNUMBER(SEARCH("National Company for Building",M140)),"Customer",
        ISNUMBER(SEARCH("Athraa Holding",M140)),"Customer",
        ISNUMBER(SEARCH("Al Rasan",M140)),"Supplier",
        ISNUMBER(SEARCH("Raboua Al Haid",M140)),"Customer",
        ISNUMBER(SEARCH("Al Jazeera Paint",M140)),"Supplier",
        ISNUMBER(SEARCH("Rania Works Contracting",M140)),"Supplier",
        ISNUMBER(SEARCH("Bandar Jarallah",M140)),"Supplier",
        TRUE,"Supplier"
    ),
    "-"
)</f>
        <v>Government</v>
      </c>
      <c r="AD140" s="25" t="str" cm="1">
        <f t="array" ref="AD140">_xlfn.IFNA(
    _xlfn.IFS(
        AC140="Same Company","High",
        AC140="Shareholder","High",
        AC140="Government","High",
        AC140="Bank","High",
        AC140="Lender","High",
        AC140="Unknown","Low",
        AC140="-","Low",
        TRUE,"Medium"
    ),
    "-"
)</f>
        <v>High</v>
      </c>
      <c r="AE140" s="25" t="str">
        <f t="shared" si="10"/>
        <v>-</v>
      </c>
      <c r="AF140" s="25" t="str" cm="1">
        <f t="array" ref="AF140">_xlfn.IFNA(
    _xlfn.IFS(
        K140="Credit",
            _xlfn.IFS(
                OR(ISNUMBER(SEARCH("Rejected",L140)),ISNUMBER(SEARCH("Returned",L140))),"Other Income",
                TRUE,"Revenue"
            ),
        K140="Debit",
            _xlfn.IFS(
                ISNUMBER(SEARCH("Payroll",L140)),"OPEX",
                ISNUMBER(SEARCH("Expatriate",L140)),"OPEX",
                ISNUMBER(SEARCH("Zakat",M140)),"ZATCA",
                ISNUMBER(SEARCH("General Organization for Social Insurance",M140)),"OPEX",
                ISNUMBER(SEARCH("Saudi Electric",M140)),"OPEX",
                ISNUMBER(SEARCH("STC",M140)),"OPEX",
                ISNUMBER(SEARCH("National Water",M140)),"OPEX",
                ISNUMBER(SEARCH("Bupa",M140)),"OPEX",
                ISNUMBER(SEARCH("Abdullah Abdulkarim",M140)),"OPEX",
                ISNUMBER(SEARCH("Abdullah Fahad",M140)),"OPEX",
                ISNUMBER(SEARCH("ISO Arabia",M140)),"OPEX",
                ISNUMBER(SEARCH("Gulf Voyager",M140)),"OPEX",
                ISNUMBER(SEARCH("Ministry",M140)),"OPEX",
                ISNUMBER(SEARCH("General Authority of Zakat",M140)),"ZATCA",
                ISNUMBER(SEARCH("Rejected",L140)),"Other Income",
                TRUE,"COGS"
            ),
        TRUE,"-"
    ),
    "-"
)</f>
        <v>OPEX</v>
      </c>
      <c r="AG140" s="25" t="str" cm="1">
        <f t="array" ref="AG140">_xlfn.IFNA(
    _xlfn.IFS(
        ISNUMBER(SEARCH("Payroll",L140)),"Payroll",
        ISNUMBER(SEARCH("Expatriate",L140)),"Government Fees",
        ISNUMBER(SEARCH("Zakat",M140)),"Zakat",
        ISNUMBER(SEARCH("Social Insurance",M140)),"Social Insurance",
        ISNUMBER(SEARCH("Saudi Electric",M140)),"Electricity",
        ISNUMBER(SEARCH("STC",M140)),"Telecom",
        ISNUMBER(SEARCH("National Water",M140)),"Water",
        ISNUMBER(SEARCH("Bupa",M140)),"Insurance",
        ISNUMBER(SEARCH("Gulf Voyager",M140)),"Travel",
        ISNUMBER(SEARCH("Ministry",M140)),"Government Fees",
        ISNUMBER(SEARCH("Abdullah Abdulkarim",M140)),"Consulting",
        ISNUMBER(SEARCH("Abdullah Fahad",M140)),"Accounting",
        ISNUMBER(SEARCH("ISO Arabia",M140)),"Consulting",
        ISNUMBER(SEARCH("Rejected",L140)),"Refund",
        AF140="COGS","Inventory Purchase",
        AF140="Revenue","Revenue",
        AF140="OPEX","Other",
        AF140="ZATCA","Zakat",
        TRUE,"-"
    ),
    "-"
)</f>
        <v>Government Fees</v>
      </c>
      <c r="AH140" s="25" t="str" cm="1">
        <f t="array" ref="AH140">_xlfn.IFNA(
    _xlfn.IFS(
        AF140="-","Low",
        AF140="Other","Low",
        TRUE,"Medium"
    ),
    "-"
)</f>
        <v>Medium</v>
      </c>
      <c r="AI140" s="25" t="str">
        <f t="shared" si="11"/>
        <v>-</v>
      </c>
    </row>
    <row r="141" spans="1:35" x14ac:dyDescent="0.25">
      <c r="A141" s="10">
        <v>10</v>
      </c>
      <c r="B141" s="10" t="s">
        <v>35</v>
      </c>
      <c r="C141" s="10" t="s">
        <v>36</v>
      </c>
      <c r="D141" s="10" t="s">
        <v>37</v>
      </c>
      <c r="E141" s="10" t="s">
        <v>38</v>
      </c>
      <c r="F141" s="11" t="s">
        <v>39</v>
      </c>
      <c r="G141" s="10" t="s">
        <v>40</v>
      </c>
      <c r="H141" s="12">
        <v>44955</v>
      </c>
      <c r="I141" s="20">
        <v>38098.74</v>
      </c>
      <c r="J141" s="20">
        <v>412</v>
      </c>
      <c r="K141" s="10" t="s">
        <v>41</v>
      </c>
      <c r="L141" s="9" t="s">
        <v>338</v>
      </c>
      <c r="M141" s="9" t="s">
        <v>348</v>
      </c>
      <c r="O141" s="9" t="s">
        <v>340</v>
      </c>
      <c r="P141" s="15">
        <v>44955</v>
      </c>
      <c r="R141" s="16">
        <v>412</v>
      </c>
      <c r="U141" s="9" t="s">
        <v>55</v>
      </c>
      <c r="V141" s="24" t="str" cm="1">
        <f t="array" ref="V141">_xlfn.IFNA(
    _xlfn.IFS(
        ISNUMBER(SEARCH("Fast Outgoing Transfer",L141)),"Transfer",
        ISNUMBER(SEARCH("Incoming Fast Transfer",L141)),"Transfer",
        ISNUMBER(SEARCH("Outgoing International Transfer",L141)),"Transfer",
        ISNUMBER(SEARCH("Bill Payment",L141)),"SADAD",
        ISNUMBER(SEARCH("Payroll",L141)),"Payroll",
        ISNUMBER(SEARCH("Cash Deposit",L141)),"Cash",
        ISNUMBER(SEARCH("Internal Transfer",L141)),"Transfer",
        ISNUMBER(SEARCH("Expatriate Services Payment",L141)),"SADAD",
        ISNUMBER(SEARCH("Rejected",L141)),"Transfer"
    ),
    "-"
)</f>
        <v>SADAD</v>
      </c>
      <c r="W141" s="25" t="str" cm="1">
        <f t="array" ref="W141">_xlfn.IFNA(
    _xlfn.IFS(
        AND(V141="Transfer",ISNUMBER(SEARCH("RIYAD BANK",L141))),"External FI",
        AND(V141="Transfer",ISNUMBER(SEARCH("Al Ahli",L141))),"External FI",
        AND(V141="Transfer",ISNUMBER(SEARCH("CIB via",L141))),"Local Transfer",
        AND(V141="Transfer",ISNUMBER(SEARCH("CIB)",L141))),"Local Transfer",
        AND(V141="Transfer",ISNUMBER(SEARCH("SMRT",L141))),"Local Transfer",
        AND(V141="Transfer",ISNUMBER(SEARCH("Al Murabba",L141))),"Local Transfer",
        AND(V141="Transfer",ISNUMBER(SEARCH("Internal Transfer",L141))),"Same FI",
        AND(V141="Transfer",ISNUMBER(SEARCH("Rejected",L141))),"Failed",
        V141="SADAD",
            _xlfn.IFS(
                ISNUMBER(SEARCH("Expatriate",L141)),"Expat Fees",
                TRUE,"Online Payment"
            ),
        V141="Payroll","Payroll",
        V141="Cash","Deposit",
        TRUE,"-"
    ),
    "-"
)</f>
        <v>Expat Fees</v>
      </c>
      <c r="X141" s="25" t="str" cm="1">
        <f t="array" ref="X141">_xlfn.IFNA(
    _xlfn.IFS(
        V141="-","Low",
        W141="-","Low",
        TRUE,"High"
    ),
    "-"
)</f>
        <v>High</v>
      </c>
      <c r="Y141" s="25" t="str">
        <f t="shared" si="8"/>
        <v>-</v>
      </c>
      <c r="Z141" s="25" t="str" cm="1">
        <f t="array" ref="Z141">_xlfn.IFNA(
    _xlfn.IFS(
        ISNUMBER(SEARCH("Abdul Latif Jameel",M141)),"Lender",
        ISNUMBER(SEARCH("Abdullah Abdulkarim Al Sudais",M141)),"Accounting",
        ISNUMBER(SEARCH("Abdullah Fahad for Accounting",M141)),"Accounting",
        ISNUMBER(SEARCH("Abdullah Rashid Shaikh",M141)),"Shareholder",
        ISNUMBER(SEARCH("Advanced Equipments",M141)),"Equipment Rental",
        ISNUMBER(SEARCH("Al Banuk Sana",M141)),"Telecom Company",
        ISNUMBER(SEARCH("Al Khaleefa Factory",M141)),"Manufacturer",
        ISNUMBER(SEARCH("Al Saadeh Trading",M141)),"Trading Company",
        ISNUMBER(SEARCH("Al Zaehaan",M141)),"Trading Company",
        ISNUMBER(SEARCH("Ali Abdullah K Al Darwish",M141)),"Airlines",
        ISNUMBER(SEARCH("Bupa Arabia",M141)),"Health Insurance",
        ISNUMBER(SEARCH("Dar Fahoosaat",M141)),"Consultant",
        ISNUMBER(SEARCH("General Authority of Zakat",M141)),"Tax Collection",
        ISNUMBER(SEARCH("Gulf Voyager",M141)),"Travel Agency",
        ISNUMBER(SEARCH("Hopeway Trading",M141)),"Trading Company",
        ISNUMBER(SEARCH("Interhealth Medical",M141)),"Medical Services",
        ISNUMBER(SEARCH("Ishaar",M141)),"Online Payment Service",
        ISNUMBER(SEARCH("ISO Arabia",M141)),"Certification",
        ISNUMBER(SEARCH("Khalid Saad Al Otaibi",M141)),"Trading Company",
        ISNUMBER(SEARCH("MERAS for Decoration",M141)),"Decor Company",
        ISNUMBER(SEARCH("Middle East Customs Clearance",M141)),"Customs",
        ISNUMBER(SEARCH("Ministry of Human Resources",M141)),"Government",
        ISNUMBER(SEARCH("My Business Services",M141)),"Service Provider",
        ISNUMBER(SEARCH("National Water Company",M141)),"Water Company",
        ISNUMBER(SEARCH("Rania Contracting",M141)),"Contracting",
        ISNUMBER(SEARCH("Rashid Ali Sheikh",M141)),"Shareholder",
        ISNUMBER(SEARCH("Sahab United Motors",M141)),"Car Show Room",
        ISNUMBER(SEARCH("Saud Mohammed Al Tamimi",M141)),"Shareholder",
        ISNUMBER(SEARCH("Saud Mohammed Tamimi",M141)),"Shareholder",
        ISNUMBER(SEARCH("Saudi Electric Company",M141)),"Electricity Company",
        ISNUMBER(SEARCH("Saudi Vetonit",M141)),"Building Materials",
        ISNUMBER(SEARCH("Shomoul Eng",M141)),"Safety",
        ISNUMBER(SEARCH("STC",M141)),"Telecom Company",
        ISNUMBER(SEARCH("The General Organization for Social Insurance",M141)),"Social Insurance Agency",
        ISNUMBER(SEARCH("TUV Rheinland",M141)),"Certification",
        ISNUMBER(SEARCH("Al Arabia Ceramic",M141)),"Building Materials",
        ISNUMBER(SEARCH("National Company for Building and Marketing",M141)),"Parent Company",
        ISNUMBER(SEARCH("Athraa Holding",M141)),"Holding Company",
        ISNUMBER(SEARCH("Al Rasan",M141)),"Contracting",
        ISNUMBER(SEARCH("Raboua Al Haid",M141)),"Trading Company",
        ISNUMBER(SEARCH("Al Jazeera Paint",M141)),"Manufacturer",
        ISNUMBER(SEARCH("Rania Works Contracting",M141)),"Contracting",
        ISNUMBER(SEARCH("Bandar Jarallah",M141)),"Trading Establishment",
        ISNUMBER(SEARCH("RS Infratec Saudi",M141)),"Same Company",
        ISNUMBER(SEARCH("Payroll",M141)),"Bank",
        ISNUMBER(SEARCH("Expatriate",M141)),"Government",
        ISNUMBER(SEARCH("Unknown Sender",M141)),"Unknown",
        TRUE,"Unknown"
    ),
    "-"
)</f>
        <v>Government</v>
      </c>
      <c r="AA141" s="25" t="str" cm="1">
        <f t="array" ref="AA141">_xlfn.IFNA(
    _xlfn.IFS(
        Z141="Lender","Financing",
        Z141="Accounting","Accounting",
        Z141="Shareholder","Individual",
        Z141="Equipment Rental","Equipment Rental",
        Z141="Telecom Company","Telecom",
        Z141="Manufacturer","Manufacturer",
        Z141="Trading Company","Trading And Transport",
        Z141="Trading Establishment","Trading",
        Z141="Airlines","Airlines",
        Z141="Health Insurance","Insurance",
        Z141="Consultant","Consultant",
        Z141="Tax Collection","Government",
        Z141="Travel Agency","Travel Agency",
        Z141="Medical Services","Medical Center",
        Z141="Online Payment Service","Payment Facilitator",
        Z141="Certification","Safety",
        Z141="Decor Company","Design",
        Z141="Customs","Customs",
        Z141="Government","Government",
        Z141="Service Provider","Service Provider",
        Z141="Water Company","Water Company",
        Z141="Contracting","Contracting",
        Z141="Car Show Room","Car Trader",
        Z141="Electricity Company","Electricity Company",
        Z141="Building Materials","Building Materials",
        Z141="Safety","Safety",
        Z141="Social Insurance Agency","Government Fund",
        Z141="Parent Company","Holding Company",
        Z141="Holding Company","Holding Company",
        Z141="Same Company","Construction",
        Z141="Bank","Bank",
        Z141="Unknown","Unknown",
        TRUE,"-"
    ),
    "-"
)</f>
        <v>Government</v>
      </c>
      <c r="AB141" s="25" t="str">
        <f t="shared" si="9"/>
        <v>-</v>
      </c>
      <c r="AC141" s="25" t="str" cm="1">
        <f t="array" ref="AC141">_xlfn.IFNA(
    _xlfn.IFS(
        Z141="Shareholder","Shareholder",
        Z141="Same Company","Same Company",
        Z141="Bank","Bank",
        Z141="Government","Government",
        Z141="Social Insurance Agency","Government",
        Z141="Parent Company","Customer",
        Z141="Lender","Lender",
        Z141="Unknown","Unknown",
        ISNUMBER(SEARCH("Abdullah Abdulkarim",M141)),"Service Provider",
        ISNUMBER(SEARCH("Abdullah Fahad",M141)),"Service Provider",
        ISNUMBER(SEARCH("Advanced Equipments",M141)),"Supplier",
        ISNUMBER(SEARCH("Al Banuk Sana",M141)),"Supplier",
        ISNUMBER(SEARCH("Al Khaleefa Factory",M141)),"Supplier",
        ISNUMBER(SEARCH("Al Saadeh Trading",M141)),"Supplier",
        ISNUMBER(SEARCH("Al Zaehaan",M141)),"Supplier",
        ISNUMBER(SEARCH("Ali Abdullah K Al Darwish",M141)),"Service Provider",
        ISNUMBER(SEARCH("Bupa Arabia",M141)),"Insurance Company",
        ISNUMBER(SEARCH("Dar Fahoosaat",M141)),"Service Provider",
        ISNUMBER(SEARCH("General Authority of Zakat",M141)),"Tax Authority",
        ISNUMBER(SEARCH("Gulf Voyager",M141)),"Service Provider",
        ISNUMBER(SEARCH("Hopeway Trading",M141)),"Supplier",
        ISNUMBER(SEARCH("Interhealth Medical",M141)),"Customer",
        ISNUMBER(SEARCH("Ishaar",M141)),"Service Provider",
        ISNUMBER(SEARCH("ISO Arabia",M141)),"Service Provider",
        ISNUMBER(SEARCH("Khalid Saad Al Otaibi",M141)),"Supplier",
        ISNUMBER(SEARCH("MERAS for Decoration",M141)),"Supplier",
        ISNUMBER(SEARCH("Middle East Customs Clearance",M141)),"Service Provider",
        ISNUMBER(SEARCH("Ministry of Human Resources",M141)),"Regulatory Agency",
        ISNUMBER(SEARCH("My Business Services",M141)),"Service Provider",
        ISNUMBER(SEARCH("National Water Company",M141)),"Utility Provider",
        ISNUMBER(SEARCH("Rania Contracting",M141)),"Supplier",
        ISNUMBER(SEARCH("Sahab United Motors",M141)),"Supplier",
        ISNUMBER(SEARCH("Saudi Electric Company",M141)),"Utility Provider",
        ISNUMBER(SEARCH("Saudi Vetonit",M141)),"Supplier",
        ISNUMBER(SEARCH("Shomoul Eng",M141)),"Service Provider",
        ISNUMBER(SEARCH("STC",M141)),"Utility Provider",
        ISNUMBER(SEARCH("The General Organization for Social Insurance",M141)),"Social Insurance Agency",
        ISNUMBER(SEARCH("TUV Rheinland",M141)),"Service Provider",
        ISNUMBER(SEARCH("Al Arabia Ceramic",M141)),"Supplier",
        ISNUMBER(SEARCH("National Company for Building",M141)),"Customer",
        ISNUMBER(SEARCH("Athraa Holding",M141)),"Customer",
        ISNUMBER(SEARCH("Al Rasan",M141)),"Supplier",
        ISNUMBER(SEARCH("Raboua Al Haid",M141)),"Customer",
        ISNUMBER(SEARCH("Al Jazeera Paint",M141)),"Supplier",
        ISNUMBER(SEARCH("Rania Works Contracting",M141)),"Supplier",
        ISNUMBER(SEARCH("Bandar Jarallah",M141)),"Supplier",
        TRUE,"Supplier"
    ),
    "-"
)</f>
        <v>Government</v>
      </c>
      <c r="AD141" s="25" t="str" cm="1">
        <f t="array" ref="AD141">_xlfn.IFNA(
    _xlfn.IFS(
        AC141="Same Company","High",
        AC141="Shareholder","High",
        AC141="Government","High",
        AC141="Bank","High",
        AC141="Lender","High",
        AC141="Unknown","Low",
        AC141="-","Low",
        TRUE,"Medium"
    ),
    "-"
)</f>
        <v>High</v>
      </c>
      <c r="AE141" s="25" t="str">
        <f t="shared" si="10"/>
        <v>-</v>
      </c>
      <c r="AF141" s="25" t="str" cm="1">
        <f t="array" ref="AF141">_xlfn.IFNA(
    _xlfn.IFS(
        K141="Credit",
            _xlfn.IFS(
                OR(ISNUMBER(SEARCH("Rejected",L141)),ISNUMBER(SEARCH("Returned",L141))),"Other Income",
                TRUE,"Revenue"
            ),
        K141="Debit",
            _xlfn.IFS(
                ISNUMBER(SEARCH("Payroll",L141)),"OPEX",
                ISNUMBER(SEARCH("Expatriate",L141)),"OPEX",
                ISNUMBER(SEARCH("Zakat",M141)),"ZATCA",
                ISNUMBER(SEARCH("General Organization for Social Insurance",M141)),"OPEX",
                ISNUMBER(SEARCH("Saudi Electric",M141)),"OPEX",
                ISNUMBER(SEARCH("STC",M141)),"OPEX",
                ISNUMBER(SEARCH("National Water",M141)),"OPEX",
                ISNUMBER(SEARCH("Bupa",M141)),"OPEX",
                ISNUMBER(SEARCH("Abdullah Abdulkarim",M141)),"OPEX",
                ISNUMBER(SEARCH("Abdullah Fahad",M141)),"OPEX",
                ISNUMBER(SEARCH("ISO Arabia",M141)),"OPEX",
                ISNUMBER(SEARCH("Gulf Voyager",M141)),"OPEX",
                ISNUMBER(SEARCH("Ministry",M141)),"OPEX",
                ISNUMBER(SEARCH("General Authority of Zakat",M141)),"ZATCA",
                ISNUMBER(SEARCH("Rejected",L141)),"Other Income",
                TRUE,"COGS"
            ),
        TRUE,"-"
    ),
    "-"
)</f>
        <v>OPEX</v>
      </c>
      <c r="AG141" s="25" t="str" cm="1">
        <f t="array" ref="AG141">_xlfn.IFNA(
    _xlfn.IFS(
        ISNUMBER(SEARCH("Payroll",L141)),"Payroll",
        ISNUMBER(SEARCH("Expatriate",L141)),"Government Fees",
        ISNUMBER(SEARCH("Zakat",M141)),"Zakat",
        ISNUMBER(SEARCH("Social Insurance",M141)),"Social Insurance",
        ISNUMBER(SEARCH("Saudi Electric",M141)),"Electricity",
        ISNUMBER(SEARCH("STC",M141)),"Telecom",
        ISNUMBER(SEARCH("National Water",M141)),"Water",
        ISNUMBER(SEARCH("Bupa",M141)),"Insurance",
        ISNUMBER(SEARCH("Gulf Voyager",M141)),"Travel",
        ISNUMBER(SEARCH("Ministry",M141)),"Government Fees",
        ISNUMBER(SEARCH("Abdullah Abdulkarim",M141)),"Consulting",
        ISNUMBER(SEARCH("Abdullah Fahad",M141)),"Accounting",
        ISNUMBER(SEARCH("ISO Arabia",M141)),"Consulting",
        ISNUMBER(SEARCH("Rejected",L141)),"Refund",
        AF141="COGS","Inventory Purchase",
        AF141="Revenue","Revenue",
        AF141="OPEX","Other",
        AF141="ZATCA","Zakat",
        TRUE,"-"
    ),
    "-"
)</f>
        <v>Government Fees</v>
      </c>
      <c r="AH141" s="25" t="str" cm="1">
        <f t="array" ref="AH141">_xlfn.IFNA(
    _xlfn.IFS(
        AF141="-","Low",
        AF141="Other","Low",
        TRUE,"Medium"
    ),
    "-"
)</f>
        <v>Medium</v>
      </c>
      <c r="AI141" s="25" t="str">
        <f t="shared" si="11"/>
        <v>-</v>
      </c>
    </row>
    <row r="142" spans="1:35" x14ac:dyDescent="0.25">
      <c r="A142" s="10">
        <v>10</v>
      </c>
      <c r="B142" s="10" t="s">
        <v>35</v>
      </c>
      <c r="C142" s="10" t="s">
        <v>36</v>
      </c>
      <c r="D142" s="10" t="s">
        <v>37</v>
      </c>
      <c r="E142" s="10" t="s">
        <v>38</v>
      </c>
      <c r="F142" s="11" t="s">
        <v>39</v>
      </c>
      <c r="G142" s="10" t="s">
        <v>40</v>
      </c>
      <c r="H142" s="12">
        <v>44955</v>
      </c>
      <c r="I142" s="20">
        <v>37810.74</v>
      </c>
      <c r="J142" s="20">
        <v>288</v>
      </c>
      <c r="K142" s="10" t="s">
        <v>41</v>
      </c>
      <c r="L142" s="9" t="s">
        <v>338</v>
      </c>
      <c r="M142" s="9" t="s">
        <v>349</v>
      </c>
      <c r="O142" s="9" t="s">
        <v>340</v>
      </c>
      <c r="P142" s="15">
        <v>44955</v>
      </c>
      <c r="R142" s="16">
        <v>288</v>
      </c>
      <c r="U142" s="9" t="s">
        <v>55</v>
      </c>
      <c r="V142" s="24" t="str" cm="1">
        <f t="array" ref="V142">_xlfn.IFNA(
    _xlfn.IFS(
        ISNUMBER(SEARCH("Fast Outgoing Transfer",L142)),"Transfer",
        ISNUMBER(SEARCH("Incoming Fast Transfer",L142)),"Transfer",
        ISNUMBER(SEARCH("Outgoing International Transfer",L142)),"Transfer",
        ISNUMBER(SEARCH("Bill Payment",L142)),"SADAD",
        ISNUMBER(SEARCH("Payroll",L142)),"Payroll",
        ISNUMBER(SEARCH("Cash Deposit",L142)),"Cash",
        ISNUMBER(SEARCH("Internal Transfer",L142)),"Transfer",
        ISNUMBER(SEARCH("Expatriate Services Payment",L142)),"SADAD",
        ISNUMBER(SEARCH("Rejected",L142)),"Transfer"
    ),
    "-"
)</f>
        <v>SADAD</v>
      </c>
      <c r="W142" s="25" t="str" cm="1">
        <f t="array" ref="W142">_xlfn.IFNA(
    _xlfn.IFS(
        AND(V142="Transfer",ISNUMBER(SEARCH("RIYAD BANK",L142))),"External FI",
        AND(V142="Transfer",ISNUMBER(SEARCH("Al Ahli",L142))),"External FI",
        AND(V142="Transfer",ISNUMBER(SEARCH("CIB via",L142))),"Local Transfer",
        AND(V142="Transfer",ISNUMBER(SEARCH("CIB)",L142))),"Local Transfer",
        AND(V142="Transfer",ISNUMBER(SEARCH("SMRT",L142))),"Local Transfer",
        AND(V142="Transfer",ISNUMBER(SEARCH("Al Murabba",L142))),"Local Transfer",
        AND(V142="Transfer",ISNUMBER(SEARCH("Internal Transfer",L142))),"Same FI",
        AND(V142="Transfer",ISNUMBER(SEARCH("Rejected",L142))),"Failed",
        V142="SADAD",
            _xlfn.IFS(
                ISNUMBER(SEARCH("Expatriate",L142)),"Expat Fees",
                TRUE,"Online Payment"
            ),
        V142="Payroll","Payroll",
        V142="Cash","Deposit",
        TRUE,"-"
    ),
    "-"
)</f>
        <v>Expat Fees</v>
      </c>
      <c r="X142" s="25" t="str" cm="1">
        <f t="array" ref="X142">_xlfn.IFNA(
    _xlfn.IFS(
        V142="-","Low",
        W142="-","Low",
        TRUE,"High"
    ),
    "-"
)</f>
        <v>High</v>
      </c>
      <c r="Y142" s="25" t="str">
        <f t="shared" si="8"/>
        <v>-</v>
      </c>
      <c r="Z142" s="25" t="str" cm="1">
        <f t="array" ref="Z142">_xlfn.IFNA(
    _xlfn.IFS(
        ISNUMBER(SEARCH("Abdul Latif Jameel",M142)),"Lender",
        ISNUMBER(SEARCH("Abdullah Abdulkarim Al Sudais",M142)),"Accounting",
        ISNUMBER(SEARCH("Abdullah Fahad for Accounting",M142)),"Accounting",
        ISNUMBER(SEARCH("Abdullah Rashid Shaikh",M142)),"Shareholder",
        ISNUMBER(SEARCH("Advanced Equipments",M142)),"Equipment Rental",
        ISNUMBER(SEARCH("Al Banuk Sana",M142)),"Telecom Company",
        ISNUMBER(SEARCH("Al Khaleefa Factory",M142)),"Manufacturer",
        ISNUMBER(SEARCH("Al Saadeh Trading",M142)),"Trading Company",
        ISNUMBER(SEARCH("Al Zaehaan",M142)),"Trading Company",
        ISNUMBER(SEARCH("Ali Abdullah K Al Darwish",M142)),"Airlines",
        ISNUMBER(SEARCH("Bupa Arabia",M142)),"Health Insurance",
        ISNUMBER(SEARCH("Dar Fahoosaat",M142)),"Consultant",
        ISNUMBER(SEARCH("General Authority of Zakat",M142)),"Tax Collection",
        ISNUMBER(SEARCH("Gulf Voyager",M142)),"Travel Agency",
        ISNUMBER(SEARCH("Hopeway Trading",M142)),"Trading Company",
        ISNUMBER(SEARCH("Interhealth Medical",M142)),"Medical Services",
        ISNUMBER(SEARCH("Ishaar",M142)),"Online Payment Service",
        ISNUMBER(SEARCH("ISO Arabia",M142)),"Certification",
        ISNUMBER(SEARCH("Khalid Saad Al Otaibi",M142)),"Trading Company",
        ISNUMBER(SEARCH("MERAS for Decoration",M142)),"Decor Company",
        ISNUMBER(SEARCH("Middle East Customs Clearance",M142)),"Customs",
        ISNUMBER(SEARCH("Ministry of Human Resources",M142)),"Government",
        ISNUMBER(SEARCH("My Business Services",M142)),"Service Provider",
        ISNUMBER(SEARCH("National Water Company",M142)),"Water Company",
        ISNUMBER(SEARCH("Rania Contracting",M142)),"Contracting",
        ISNUMBER(SEARCH("Rashid Ali Sheikh",M142)),"Shareholder",
        ISNUMBER(SEARCH("Sahab United Motors",M142)),"Car Show Room",
        ISNUMBER(SEARCH("Saud Mohammed Al Tamimi",M142)),"Shareholder",
        ISNUMBER(SEARCH("Saud Mohammed Tamimi",M142)),"Shareholder",
        ISNUMBER(SEARCH("Saudi Electric Company",M142)),"Electricity Company",
        ISNUMBER(SEARCH("Saudi Vetonit",M142)),"Building Materials",
        ISNUMBER(SEARCH("Shomoul Eng",M142)),"Safety",
        ISNUMBER(SEARCH("STC",M142)),"Telecom Company",
        ISNUMBER(SEARCH("The General Organization for Social Insurance",M142)),"Social Insurance Agency",
        ISNUMBER(SEARCH("TUV Rheinland",M142)),"Certification",
        ISNUMBER(SEARCH("Al Arabia Ceramic",M142)),"Building Materials",
        ISNUMBER(SEARCH("National Company for Building and Marketing",M142)),"Parent Company",
        ISNUMBER(SEARCH("Athraa Holding",M142)),"Holding Company",
        ISNUMBER(SEARCH("Al Rasan",M142)),"Contracting",
        ISNUMBER(SEARCH("Raboua Al Haid",M142)),"Trading Company",
        ISNUMBER(SEARCH("Al Jazeera Paint",M142)),"Manufacturer",
        ISNUMBER(SEARCH("Rania Works Contracting",M142)),"Contracting",
        ISNUMBER(SEARCH("Bandar Jarallah",M142)),"Trading Establishment",
        ISNUMBER(SEARCH("RS Infratec Saudi",M142)),"Same Company",
        ISNUMBER(SEARCH("Payroll",M142)),"Bank",
        ISNUMBER(SEARCH("Expatriate",M142)),"Government",
        ISNUMBER(SEARCH("Unknown Sender",M142)),"Unknown",
        TRUE,"Unknown"
    ),
    "-"
)</f>
        <v>Government</v>
      </c>
      <c r="AA142" s="25" t="str" cm="1">
        <f t="array" ref="AA142">_xlfn.IFNA(
    _xlfn.IFS(
        Z142="Lender","Financing",
        Z142="Accounting","Accounting",
        Z142="Shareholder","Individual",
        Z142="Equipment Rental","Equipment Rental",
        Z142="Telecom Company","Telecom",
        Z142="Manufacturer","Manufacturer",
        Z142="Trading Company","Trading And Transport",
        Z142="Trading Establishment","Trading",
        Z142="Airlines","Airlines",
        Z142="Health Insurance","Insurance",
        Z142="Consultant","Consultant",
        Z142="Tax Collection","Government",
        Z142="Travel Agency","Travel Agency",
        Z142="Medical Services","Medical Center",
        Z142="Online Payment Service","Payment Facilitator",
        Z142="Certification","Safety",
        Z142="Decor Company","Design",
        Z142="Customs","Customs",
        Z142="Government","Government",
        Z142="Service Provider","Service Provider",
        Z142="Water Company","Water Company",
        Z142="Contracting","Contracting",
        Z142="Car Show Room","Car Trader",
        Z142="Electricity Company","Electricity Company",
        Z142="Building Materials","Building Materials",
        Z142="Safety","Safety",
        Z142="Social Insurance Agency","Government Fund",
        Z142="Parent Company","Holding Company",
        Z142="Holding Company","Holding Company",
        Z142="Same Company","Construction",
        Z142="Bank","Bank",
        Z142="Unknown","Unknown",
        TRUE,"-"
    ),
    "-"
)</f>
        <v>Government</v>
      </c>
      <c r="AB142" s="25" t="str">
        <f t="shared" si="9"/>
        <v>-</v>
      </c>
      <c r="AC142" s="25" t="str" cm="1">
        <f t="array" ref="AC142">_xlfn.IFNA(
    _xlfn.IFS(
        Z142="Shareholder","Shareholder",
        Z142="Same Company","Same Company",
        Z142="Bank","Bank",
        Z142="Government","Government",
        Z142="Social Insurance Agency","Government",
        Z142="Parent Company","Customer",
        Z142="Lender","Lender",
        Z142="Unknown","Unknown",
        ISNUMBER(SEARCH("Abdullah Abdulkarim",M142)),"Service Provider",
        ISNUMBER(SEARCH("Abdullah Fahad",M142)),"Service Provider",
        ISNUMBER(SEARCH("Advanced Equipments",M142)),"Supplier",
        ISNUMBER(SEARCH("Al Banuk Sana",M142)),"Supplier",
        ISNUMBER(SEARCH("Al Khaleefa Factory",M142)),"Supplier",
        ISNUMBER(SEARCH("Al Saadeh Trading",M142)),"Supplier",
        ISNUMBER(SEARCH("Al Zaehaan",M142)),"Supplier",
        ISNUMBER(SEARCH("Ali Abdullah K Al Darwish",M142)),"Service Provider",
        ISNUMBER(SEARCH("Bupa Arabia",M142)),"Insurance Company",
        ISNUMBER(SEARCH("Dar Fahoosaat",M142)),"Service Provider",
        ISNUMBER(SEARCH("General Authority of Zakat",M142)),"Tax Authority",
        ISNUMBER(SEARCH("Gulf Voyager",M142)),"Service Provider",
        ISNUMBER(SEARCH("Hopeway Trading",M142)),"Supplier",
        ISNUMBER(SEARCH("Interhealth Medical",M142)),"Customer",
        ISNUMBER(SEARCH("Ishaar",M142)),"Service Provider",
        ISNUMBER(SEARCH("ISO Arabia",M142)),"Service Provider",
        ISNUMBER(SEARCH("Khalid Saad Al Otaibi",M142)),"Supplier",
        ISNUMBER(SEARCH("MERAS for Decoration",M142)),"Supplier",
        ISNUMBER(SEARCH("Middle East Customs Clearance",M142)),"Service Provider",
        ISNUMBER(SEARCH("Ministry of Human Resources",M142)),"Regulatory Agency",
        ISNUMBER(SEARCH("My Business Services",M142)),"Service Provider",
        ISNUMBER(SEARCH("National Water Company",M142)),"Utility Provider",
        ISNUMBER(SEARCH("Rania Contracting",M142)),"Supplier",
        ISNUMBER(SEARCH("Sahab United Motors",M142)),"Supplier",
        ISNUMBER(SEARCH("Saudi Electric Company",M142)),"Utility Provider",
        ISNUMBER(SEARCH("Saudi Vetonit",M142)),"Supplier",
        ISNUMBER(SEARCH("Shomoul Eng",M142)),"Service Provider",
        ISNUMBER(SEARCH("STC",M142)),"Utility Provider",
        ISNUMBER(SEARCH("The General Organization for Social Insurance",M142)),"Social Insurance Agency",
        ISNUMBER(SEARCH("TUV Rheinland",M142)),"Service Provider",
        ISNUMBER(SEARCH("Al Arabia Ceramic",M142)),"Supplier",
        ISNUMBER(SEARCH("National Company for Building",M142)),"Customer",
        ISNUMBER(SEARCH("Athraa Holding",M142)),"Customer",
        ISNUMBER(SEARCH("Al Rasan",M142)),"Supplier",
        ISNUMBER(SEARCH("Raboua Al Haid",M142)),"Customer",
        ISNUMBER(SEARCH("Al Jazeera Paint",M142)),"Supplier",
        ISNUMBER(SEARCH("Rania Works Contracting",M142)),"Supplier",
        ISNUMBER(SEARCH("Bandar Jarallah",M142)),"Supplier",
        TRUE,"Supplier"
    ),
    "-"
)</f>
        <v>Government</v>
      </c>
      <c r="AD142" s="25" t="str" cm="1">
        <f t="array" ref="AD142">_xlfn.IFNA(
    _xlfn.IFS(
        AC142="Same Company","High",
        AC142="Shareholder","High",
        AC142="Government","High",
        AC142="Bank","High",
        AC142="Lender","High",
        AC142="Unknown","Low",
        AC142="-","Low",
        TRUE,"Medium"
    ),
    "-"
)</f>
        <v>High</v>
      </c>
      <c r="AE142" s="25" t="str">
        <f t="shared" si="10"/>
        <v>-</v>
      </c>
      <c r="AF142" s="25" t="str" cm="1">
        <f t="array" ref="AF142">_xlfn.IFNA(
    _xlfn.IFS(
        K142="Credit",
            _xlfn.IFS(
                OR(ISNUMBER(SEARCH("Rejected",L142)),ISNUMBER(SEARCH("Returned",L142))),"Other Income",
                TRUE,"Revenue"
            ),
        K142="Debit",
            _xlfn.IFS(
                ISNUMBER(SEARCH("Payroll",L142)),"OPEX",
                ISNUMBER(SEARCH("Expatriate",L142)),"OPEX",
                ISNUMBER(SEARCH("Zakat",M142)),"ZATCA",
                ISNUMBER(SEARCH("General Organization for Social Insurance",M142)),"OPEX",
                ISNUMBER(SEARCH("Saudi Electric",M142)),"OPEX",
                ISNUMBER(SEARCH("STC",M142)),"OPEX",
                ISNUMBER(SEARCH("National Water",M142)),"OPEX",
                ISNUMBER(SEARCH("Bupa",M142)),"OPEX",
                ISNUMBER(SEARCH("Abdullah Abdulkarim",M142)),"OPEX",
                ISNUMBER(SEARCH("Abdullah Fahad",M142)),"OPEX",
                ISNUMBER(SEARCH("ISO Arabia",M142)),"OPEX",
                ISNUMBER(SEARCH("Gulf Voyager",M142)),"OPEX",
                ISNUMBER(SEARCH("Ministry",M142)),"OPEX",
                ISNUMBER(SEARCH("General Authority of Zakat",M142)),"ZATCA",
                ISNUMBER(SEARCH("Rejected",L142)),"Other Income",
                TRUE,"COGS"
            ),
        TRUE,"-"
    ),
    "-"
)</f>
        <v>OPEX</v>
      </c>
      <c r="AG142" s="25" t="str" cm="1">
        <f t="array" ref="AG142">_xlfn.IFNA(
    _xlfn.IFS(
        ISNUMBER(SEARCH("Payroll",L142)),"Payroll",
        ISNUMBER(SEARCH("Expatriate",L142)),"Government Fees",
        ISNUMBER(SEARCH("Zakat",M142)),"Zakat",
        ISNUMBER(SEARCH("Social Insurance",M142)),"Social Insurance",
        ISNUMBER(SEARCH("Saudi Electric",M142)),"Electricity",
        ISNUMBER(SEARCH("STC",M142)),"Telecom",
        ISNUMBER(SEARCH("National Water",M142)),"Water",
        ISNUMBER(SEARCH("Bupa",M142)),"Insurance",
        ISNUMBER(SEARCH("Gulf Voyager",M142)),"Travel",
        ISNUMBER(SEARCH("Ministry",M142)),"Government Fees",
        ISNUMBER(SEARCH("Abdullah Abdulkarim",M142)),"Consulting",
        ISNUMBER(SEARCH("Abdullah Fahad",M142)),"Accounting",
        ISNUMBER(SEARCH("ISO Arabia",M142)),"Consulting",
        ISNUMBER(SEARCH("Rejected",L142)),"Refund",
        AF142="COGS","Inventory Purchase",
        AF142="Revenue","Revenue",
        AF142="OPEX","Other",
        AF142="ZATCA","Zakat",
        TRUE,"-"
    ),
    "-"
)</f>
        <v>Government Fees</v>
      </c>
      <c r="AH142" s="25" t="str" cm="1">
        <f t="array" ref="AH142">_xlfn.IFNA(
    _xlfn.IFS(
        AF142="-","Low",
        AF142="Other","Low",
        TRUE,"Medium"
    ),
    "-"
)</f>
        <v>Medium</v>
      </c>
      <c r="AI142" s="25" t="str">
        <f t="shared" si="11"/>
        <v>-</v>
      </c>
    </row>
    <row r="143" spans="1:35" x14ac:dyDescent="0.25">
      <c r="A143" s="10">
        <v>59</v>
      </c>
      <c r="B143" s="10" t="s">
        <v>35</v>
      </c>
      <c r="C143" s="10" t="s">
        <v>36</v>
      </c>
      <c r="D143" s="10" t="s">
        <v>37</v>
      </c>
      <c r="E143" s="10" t="s">
        <v>38</v>
      </c>
      <c r="F143" s="11" t="s">
        <v>39</v>
      </c>
      <c r="G143" s="11" t="s">
        <v>40</v>
      </c>
      <c r="H143" s="12">
        <v>44928</v>
      </c>
      <c r="I143" s="20">
        <v>284802.96999999997</v>
      </c>
      <c r="J143" s="20">
        <v>200000</v>
      </c>
      <c r="K143" s="10" t="s">
        <v>116</v>
      </c>
      <c r="L143" s="9" t="s">
        <v>230</v>
      </c>
      <c r="M143" s="9" t="s">
        <v>231</v>
      </c>
      <c r="N143" s="9" t="s">
        <v>232</v>
      </c>
      <c r="O143" s="9" t="s">
        <v>233</v>
      </c>
      <c r="P143" s="15">
        <v>44928</v>
      </c>
      <c r="Q143" s="9" t="s">
        <v>234</v>
      </c>
      <c r="R143" s="16">
        <v>200000</v>
      </c>
      <c r="U143" s="9" t="s">
        <v>55</v>
      </c>
      <c r="V143" s="24" t="str" cm="1">
        <f t="array" ref="V143">_xlfn.IFNA(
    _xlfn.IFS(
        ISNUMBER(SEARCH("Fast Outgoing Transfer",L143)),"Transfer",
        ISNUMBER(SEARCH("Incoming Fast Transfer",L143)),"Transfer",
        ISNUMBER(SEARCH("Outgoing International Transfer",L143)),"Transfer",
        ISNUMBER(SEARCH("Bill Payment",L143)),"SADAD",
        ISNUMBER(SEARCH("Payroll",L143)),"Payroll",
        ISNUMBER(SEARCH("Cash Deposit",L143)),"Cash",
        ISNUMBER(SEARCH("Internal Transfer",L143)),"Transfer",
        ISNUMBER(SEARCH("Expatriate Services Payment",L143)),"SADAD",
        ISNUMBER(SEARCH("Rejected",L143)),"Transfer"
    ),
    "-"
)</f>
        <v>Transfer</v>
      </c>
      <c r="W143" s="25" t="str" cm="1">
        <f t="array" ref="W143">_xlfn.IFNA(
    _xlfn.IFS(
        AND(V143="Transfer",ISNUMBER(SEARCH("RIYAD BANK",L143))),"External FI",
        AND(V143="Transfer",ISNUMBER(SEARCH("Al Ahli",L143))),"External FI",
        AND(V143="Transfer",ISNUMBER(SEARCH("CIB via",L143))),"Local Transfer",
        AND(V143="Transfer",ISNUMBER(SEARCH("CIB)",L143))),"Local Transfer",
        AND(V143="Transfer",ISNUMBER(SEARCH("SMRT",L143))),"Local Transfer",
        AND(V143="Transfer",ISNUMBER(SEARCH("Al Murabba",L143))),"Local Transfer",
        AND(V143="Transfer",ISNUMBER(SEARCH("Internal Transfer",L143))),"Same FI",
        AND(V143="Transfer",ISNUMBER(SEARCH("Rejected",L143))),"Failed",
        V143="SADAD",
            _xlfn.IFS(
                ISNUMBER(SEARCH("Expatriate",L143)),"Expat Fees",
                TRUE,"Online Payment"
            ),
        V143="Payroll","Payroll",
        V143="Cash","Deposit",
        TRUE,"-"
    ),
    "-"
)</f>
        <v>External FI</v>
      </c>
      <c r="X143" s="25" t="str" cm="1">
        <f t="array" ref="X143">_xlfn.IFNA(
    _xlfn.IFS(
        V143="-","Low",
        W143="-","Low",
        TRUE,"High"
    ),
    "-"
)</f>
        <v>High</v>
      </c>
      <c r="Y143" s="25" t="str">
        <f t="shared" si="8"/>
        <v>-</v>
      </c>
      <c r="Z143" s="25" t="str" cm="1">
        <f t="array" ref="Z143">_xlfn.IFNA(
    _xlfn.IFS(
        ISNUMBER(SEARCH("Abdul Latif Jameel",M143)),"Lender",
        ISNUMBER(SEARCH("Abdullah Abdulkarim Al Sudais",M143)),"Accounting",
        ISNUMBER(SEARCH("Abdullah Fahad for Accounting",M143)),"Accounting",
        ISNUMBER(SEARCH("Abdullah Rashid Shaikh",M143)),"Shareholder",
        ISNUMBER(SEARCH("Advanced Equipments",M143)),"Equipment Rental",
        ISNUMBER(SEARCH("Al Banuk Sana",M143)),"Telecom Company",
        ISNUMBER(SEARCH("Al Khaleefa Factory",M143)),"Manufacturer",
        ISNUMBER(SEARCH("Al Saadeh Trading",M143)),"Trading Company",
        ISNUMBER(SEARCH("Al Zaehaan",M143)),"Trading Company",
        ISNUMBER(SEARCH("Ali Abdullah K Al Darwish",M143)),"Airlines",
        ISNUMBER(SEARCH("Bupa Arabia",M143)),"Health Insurance",
        ISNUMBER(SEARCH("Dar Fahoosaat",M143)),"Consultant",
        ISNUMBER(SEARCH("General Authority of Zakat",M143)),"Tax Collection",
        ISNUMBER(SEARCH("Gulf Voyager",M143)),"Travel Agency",
        ISNUMBER(SEARCH("Hopeway Trading",M143)),"Trading Company",
        ISNUMBER(SEARCH("Interhealth Medical",M143)),"Medical Services",
        ISNUMBER(SEARCH("Ishaar",M143)),"Online Payment Service",
        ISNUMBER(SEARCH("ISO Arabia",M143)),"Certification",
        ISNUMBER(SEARCH("Khalid Saad Al Otaibi",M143)),"Trading Company",
        ISNUMBER(SEARCH("MERAS for Decoration",M143)),"Decor Company",
        ISNUMBER(SEARCH("Middle East Customs Clearance",M143)),"Customs",
        ISNUMBER(SEARCH("Ministry of Human Resources",M143)),"Government",
        ISNUMBER(SEARCH("My Business Services",M143)),"Service Provider",
        ISNUMBER(SEARCH("National Water Company",M143)),"Water Company",
        ISNUMBER(SEARCH("Rania Contracting",M143)),"Contracting",
        ISNUMBER(SEARCH("Rashid Ali Sheikh",M143)),"Shareholder",
        ISNUMBER(SEARCH("Sahab United Motors",M143)),"Car Show Room",
        ISNUMBER(SEARCH("Saud Mohammed Al Tamimi",M143)),"Shareholder",
        ISNUMBER(SEARCH("Saud Mohammed Tamimi",M143)),"Shareholder",
        ISNUMBER(SEARCH("Saudi Electric Company",M143)),"Electricity Company",
        ISNUMBER(SEARCH("Saudi Vetonit",M143)),"Building Materials",
        ISNUMBER(SEARCH("Shomoul Eng",M143)),"Safety",
        ISNUMBER(SEARCH("STC",M143)),"Telecom Company",
        ISNUMBER(SEARCH("The General Organization for Social Insurance",M143)),"Social Insurance Agency",
        ISNUMBER(SEARCH("TUV Rheinland",M143)),"Certification",
        ISNUMBER(SEARCH("Al Arabia Ceramic",M143)),"Building Materials",
        ISNUMBER(SEARCH("National Company for Building and Marketing",M143)),"Parent Company",
        ISNUMBER(SEARCH("Athraa Holding",M143)),"Holding Company",
        ISNUMBER(SEARCH("Al Rasan",M143)),"Contracting",
        ISNUMBER(SEARCH("Raboua Al Haid",M143)),"Trading Company",
        ISNUMBER(SEARCH("Al Jazeera Paint",M143)),"Manufacturer",
        ISNUMBER(SEARCH("Rania Works Contracting",M143)),"Contracting",
        ISNUMBER(SEARCH("Bandar Jarallah",M143)),"Trading Establishment",
        ISNUMBER(SEARCH("RS Infratec Saudi",M143)),"Same Company",
        ISNUMBER(SEARCH("Payroll",M143)),"Bank",
        ISNUMBER(SEARCH("Expatriate",M143)),"Government",
        ISNUMBER(SEARCH("Unknown Sender",M143)),"Unknown",
        TRUE,"Unknown"
    ),
    "-"
)</f>
        <v>Parent Company</v>
      </c>
      <c r="AA143" s="25" t="str" cm="1">
        <f t="array" ref="AA143">_xlfn.IFNA(
    _xlfn.IFS(
        Z143="Lender","Financing",
        Z143="Accounting","Accounting",
        Z143="Shareholder","Individual",
        Z143="Equipment Rental","Equipment Rental",
        Z143="Telecom Company","Telecom",
        Z143="Manufacturer","Manufacturer",
        Z143="Trading Company","Trading And Transport",
        Z143="Trading Establishment","Trading",
        Z143="Airlines","Airlines",
        Z143="Health Insurance","Insurance",
        Z143="Consultant","Consultant",
        Z143="Tax Collection","Government",
        Z143="Travel Agency","Travel Agency",
        Z143="Medical Services","Medical Center",
        Z143="Online Payment Service","Payment Facilitator",
        Z143="Certification","Safety",
        Z143="Decor Company","Design",
        Z143="Customs","Customs",
        Z143="Government","Government",
        Z143="Service Provider","Service Provider",
        Z143="Water Company","Water Company",
        Z143="Contracting","Contracting",
        Z143="Car Show Room","Car Trader",
        Z143="Electricity Company","Electricity Company",
        Z143="Building Materials","Building Materials",
        Z143="Safety","Safety",
        Z143="Social Insurance Agency","Government Fund",
        Z143="Parent Company","Holding Company",
        Z143="Holding Company","Holding Company",
        Z143="Same Company","Construction",
        Z143="Bank","Bank",
        Z143="Unknown","Unknown",
        TRUE,"-"
    ),
    "-"
)</f>
        <v>Holding Company</v>
      </c>
      <c r="AB143" s="25" t="str">
        <f t="shared" si="9"/>
        <v>-</v>
      </c>
      <c r="AC143" s="25" t="str" cm="1">
        <f t="array" ref="AC143">_xlfn.IFNA(
    _xlfn.IFS(
        Z143="Shareholder","Shareholder",
        Z143="Same Company","Same Company",
        Z143="Bank","Bank",
        Z143="Government","Government",
        Z143="Social Insurance Agency","Government",
        Z143="Parent Company","Customer",
        Z143="Lender","Lender",
        Z143="Unknown","Unknown",
        ISNUMBER(SEARCH("Abdullah Abdulkarim",M143)),"Service Provider",
        ISNUMBER(SEARCH("Abdullah Fahad",M143)),"Service Provider",
        ISNUMBER(SEARCH("Advanced Equipments",M143)),"Supplier",
        ISNUMBER(SEARCH("Al Banuk Sana",M143)),"Supplier",
        ISNUMBER(SEARCH("Al Khaleefa Factory",M143)),"Supplier",
        ISNUMBER(SEARCH("Al Saadeh Trading",M143)),"Supplier",
        ISNUMBER(SEARCH("Al Zaehaan",M143)),"Supplier",
        ISNUMBER(SEARCH("Ali Abdullah K Al Darwish",M143)),"Service Provider",
        ISNUMBER(SEARCH("Bupa Arabia",M143)),"Insurance Company",
        ISNUMBER(SEARCH("Dar Fahoosaat",M143)),"Service Provider",
        ISNUMBER(SEARCH("General Authority of Zakat",M143)),"Tax Authority",
        ISNUMBER(SEARCH("Gulf Voyager",M143)),"Service Provider",
        ISNUMBER(SEARCH("Hopeway Trading",M143)),"Supplier",
        ISNUMBER(SEARCH("Interhealth Medical",M143)),"Customer",
        ISNUMBER(SEARCH("Ishaar",M143)),"Service Provider",
        ISNUMBER(SEARCH("ISO Arabia",M143)),"Service Provider",
        ISNUMBER(SEARCH("Khalid Saad Al Otaibi",M143)),"Supplier",
        ISNUMBER(SEARCH("MERAS for Decoration",M143)),"Supplier",
        ISNUMBER(SEARCH("Middle East Customs Clearance",M143)),"Service Provider",
        ISNUMBER(SEARCH("Ministry of Human Resources",M143)),"Regulatory Agency",
        ISNUMBER(SEARCH("My Business Services",M143)),"Service Provider",
        ISNUMBER(SEARCH("National Water Company",M143)),"Utility Provider",
        ISNUMBER(SEARCH("Rania Contracting",M143)),"Supplier",
        ISNUMBER(SEARCH("Sahab United Motors",M143)),"Supplier",
        ISNUMBER(SEARCH("Saudi Electric Company",M143)),"Utility Provider",
        ISNUMBER(SEARCH("Saudi Vetonit",M143)),"Supplier",
        ISNUMBER(SEARCH("Shomoul Eng",M143)),"Service Provider",
        ISNUMBER(SEARCH("STC",M143)),"Utility Provider",
        ISNUMBER(SEARCH("The General Organization for Social Insurance",M143)),"Social Insurance Agency",
        ISNUMBER(SEARCH("TUV Rheinland",M143)),"Service Provider",
        ISNUMBER(SEARCH("Al Arabia Ceramic",M143)),"Supplier",
        ISNUMBER(SEARCH("National Company for Building",M143)),"Customer",
        ISNUMBER(SEARCH("Athraa Holding",M143)),"Customer",
        ISNUMBER(SEARCH("Al Rasan",M143)),"Supplier",
        ISNUMBER(SEARCH("Raboua Al Haid",M143)),"Customer",
        ISNUMBER(SEARCH("Al Jazeera Paint",M143)),"Supplier",
        ISNUMBER(SEARCH("Rania Works Contracting",M143)),"Supplier",
        ISNUMBER(SEARCH("Bandar Jarallah",M143)),"Supplier",
        TRUE,"Supplier"
    ),
    "-"
)</f>
        <v>Customer</v>
      </c>
      <c r="AD143" s="25" t="str" cm="1">
        <f t="array" ref="AD143">_xlfn.IFNA(
    _xlfn.IFS(
        AC143="Same Company","High",
        AC143="Shareholder","High",
        AC143="Government","High",
        AC143="Bank","High",
        AC143="Lender","High",
        AC143="Unknown","Low",
        AC143="-","Low",
        TRUE,"Medium"
    ),
    "-"
)</f>
        <v>Medium</v>
      </c>
      <c r="AE143" s="25" t="str">
        <f t="shared" si="10"/>
        <v>-</v>
      </c>
      <c r="AF143" s="25" t="str" cm="1">
        <f t="array" ref="AF143">_xlfn.IFNA(
    _xlfn.IFS(
        K143="Credit",
            _xlfn.IFS(
                OR(ISNUMBER(SEARCH("Rejected",L143)),ISNUMBER(SEARCH("Returned",L143))),"Other Income",
                TRUE,"Revenue"
            ),
        K143="Debit",
            _xlfn.IFS(
                ISNUMBER(SEARCH("Payroll",L143)),"OPEX",
                ISNUMBER(SEARCH("Expatriate",L143)),"OPEX",
                ISNUMBER(SEARCH("Zakat",M143)),"ZATCA",
                ISNUMBER(SEARCH("General Organization for Social Insurance",M143)),"OPEX",
                ISNUMBER(SEARCH("Saudi Electric",M143)),"OPEX",
                ISNUMBER(SEARCH("STC",M143)),"OPEX",
                ISNUMBER(SEARCH("National Water",M143)),"OPEX",
                ISNUMBER(SEARCH("Bupa",M143)),"OPEX",
                ISNUMBER(SEARCH("Abdullah Abdulkarim",M143)),"OPEX",
                ISNUMBER(SEARCH("Abdullah Fahad",M143)),"OPEX",
                ISNUMBER(SEARCH("ISO Arabia",M143)),"OPEX",
                ISNUMBER(SEARCH("Gulf Voyager",M143)),"OPEX",
                ISNUMBER(SEARCH("Ministry",M143)),"OPEX",
                ISNUMBER(SEARCH("General Authority of Zakat",M143)),"ZATCA",
                ISNUMBER(SEARCH("Rejected",L143)),"Other Income",
                TRUE,"COGS"
            ),
        TRUE,"-"
    ),
    "-"
)</f>
        <v>Revenue</v>
      </c>
      <c r="AG143" s="25" t="str" cm="1">
        <f t="array" ref="AG143">_xlfn.IFNA(
    _xlfn.IFS(
        ISNUMBER(SEARCH("Payroll",L143)),"Payroll",
        ISNUMBER(SEARCH("Expatriate",L143)),"Government Fees",
        ISNUMBER(SEARCH("Zakat",M143)),"Zakat",
        ISNUMBER(SEARCH("Social Insurance",M143)),"Social Insurance",
        ISNUMBER(SEARCH("Saudi Electric",M143)),"Electricity",
        ISNUMBER(SEARCH("STC",M143)),"Telecom",
        ISNUMBER(SEARCH("National Water",M143)),"Water",
        ISNUMBER(SEARCH("Bupa",M143)),"Insurance",
        ISNUMBER(SEARCH("Gulf Voyager",M143)),"Travel",
        ISNUMBER(SEARCH("Ministry",M143)),"Government Fees",
        ISNUMBER(SEARCH("Abdullah Abdulkarim",M143)),"Consulting",
        ISNUMBER(SEARCH("Abdullah Fahad",M143)),"Accounting",
        ISNUMBER(SEARCH("ISO Arabia",M143)),"Consulting",
        ISNUMBER(SEARCH("Rejected",L143)),"Refund",
        AF143="COGS","Inventory Purchase",
        AF143="Revenue","Revenue",
        AF143="OPEX","Other",
        AF143="ZATCA","Zakat",
        TRUE,"-"
    ),
    "-"
)</f>
        <v>Revenue</v>
      </c>
      <c r="AH143" s="25" t="str" cm="1">
        <f t="array" ref="AH143">_xlfn.IFNA(
    _xlfn.IFS(
        AF143="-","Low",
        AF143="Other","Low",
        TRUE,"Medium"
    ),
    "-"
)</f>
        <v>Medium</v>
      </c>
      <c r="AI143" s="25" t="str">
        <f t="shared" si="11"/>
        <v>-</v>
      </c>
    </row>
    <row r="144" spans="1:35" x14ac:dyDescent="0.25">
      <c r="A144" s="10">
        <v>59</v>
      </c>
      <c r="B144" s="10" t="s">
        <v>35</v>
      </c>
      <c r="C144" s="10" t="s">
        <v>36</v>
      </c>
      <c r="D144" s="10" t="s">
        <v>37</v>
      </c>
      <c r="E144" s="10" t="s">
        <v>38</v>
      </c>
      <c r="F144" s="11" t="s">
        <v>39</v>
      </c>
      <c r="G144" s="11" t="s">
        <v>40</v>
      </c>
      <c r="H144" s="12">
        <v>44930</v>
      </c>
      <c r="I144" s="20">
        <v>267656.09999999998</v>
      </c>
      <c r="J144" s="20">
        <v>100000</v>
      </c>
      <c r="K144" s="10" t="s">
        <v>116</v>
      </c>
      <c r="L144" s="9" t="s">
        <v>230</v>
      </c>
      <c r="M144" s="9" t="s">
        <v>231</v>
      </c>
      <c r="N144" s="9" t="s">
        <v>232</v>
      </c>
      <c r="O144" s="9" t="s">
        <v>233</v>
      </c>
      <c r="P144" s="15">
        <v>44930</v>
      </c>
      <c r="Q144" s="9" t="s">
        <v>235</v>
      </c>
      <c r="R144" s="16">
        <v>100000</v>
      </c>
      <c r="U144" s="9" t="s">
        <v>55</v>
      </c>
      <c r="V144" s="24" t="str" cm="1">
        <f t="array" ref="V144">_xlfn.IFNA(
    _xlfn.IFS(
        ISNUMBER(SEARCH("Fast Outgoing Transfer",L144)),"Transfer",
        ISNUMBER(SEARCH("Incoming Fast Transfer",L144)),"Transfer",
        ISNUMBER(SEARCH("Outgoing International Transfer",L144)),"Transfer",
        ISNUMBER(SEARCH("Bill Payment",L144)),"SADAD",
        ISNUMBER(SEARCH("Payroll",L144)),"Payroll",
        ISNUMBER(SEARCH("Cash Deposit",L144)),"Cash",
        ISNUMBER(SEARCH("Internal Transfer",L144)),"Transfer",
        ISNUMBER(SEARCH("Expatriate Services Payment",L144)),"SADAD",
        ISNUMBER(SEARCH("Rejected",L144)),"Transfer"
    ),
    "-"
)</f>
        <v>Transfer</v>
      </c>
      <c r="W144" s="25" t="str" cm="1">
        <f t="array" ref="W144">_xlfn.IFNA(
    _xlfn.IFS(
        AND(V144="Transfer",ISNUMBER(SEARCH("RIYAD BANK",L144))),"External FI",
        AND(V144="Transfer",ISNUMBER(SEARCH("Al Ahli",L144))),"External FI",
        AND(V144="Transfer",ISNUMBER(SEARCH("CIB via",L144))),"Local Transfer",
        AND(V144="Transfer",ISNUMBER(SEARCH("CIB)",L144))),"Local Transfer",
        AND(V144="Transfer",ISNUMBER(SEARCH("SMRT",L144))),"Local Transfer",
        AND(V144="Transfer",ISNUMBER(SEARCH("Al Murabba",L144))),"Local Transfer",
        AND(V144="Transfer",ISNUMBER(SEARCH("Internal Transfer",L144))),"Same FI",
        AND(V144="Transfer",ISNUMBER(SEARCH("Rejected",L144))),"Failed",
        V144="SADAD",
            _xlfn.IFS(
                ISNUMBER(SEARCH("Expatriate",L144)),"Expat Fees",
                TRUE,"Online Payment"
            ),
        V144="Payroll","Payroll",
        V144="Cash","Deposit",
        TRUE,"-"
    ),
    "-"
)</f>
        <v>External FI</v>
      </c>
      <c r="X144" s="25" t="str" cm="1">
        <f t="array" ref="X144">_xlfn.IFNA(
    _xlfn.IFS(
        V144="-","Low",
        W144="-","Low",
        TRUE,"High"
    ),
    "-"
)</f>
        <v>High</v>
      </c>
      <c r="Y144" s="25" t="str">
        <f t="shared" si="8"/>
        <v>-</v>
      </c>
      <c r="Z144" s="25" t="str" cm="1">
        <f t="array" ref="Z144">_xlfn.IFNA(
    _xlfn.IFS(
        ISNUMBER(SEARCH("Abdul Latif Jameel",M144)),"Lender",
        ISNUMBER(SEARCH("Abdullah Abdulkarim Al Sudais",M144)),"Accounting",
        ISNUMBER(SEARCH("Abdullah Fahad for Accounting",M144)),"Accounting",
        ISNUMBER(SEARCH("Abdullah Rashid Shaikh",M144)),"Shareholder",
        ISNUMBER(SEARCH("Advanced Equipments",M144)),"Equipment Rental",
        ISNUMBER(SEARCH("Al Banuk Sana",M144)),"Telecom Company",
        ISNUMBER(SEARCH("Al Khaleefa Factory",M144)),"Manufacturer",
        ISNUMBER(SEARCH("Al Saadeh Trading",M144)),"Trading Company",
        ISNUMBER(SEARCH("Al Zaehaan",M144)),"Trading Company",
        ISNUMBER(SEARCH("Ali Abdullah K Al Darwish",M144)),"Airlines",
        ISNUMBER(SEARCH("Bupa Arabia",M144)),"Health Insurance",
        ISNUMBER(SEARCH("Dar Fahoosaat",M144)),"Consultant",
        ISNUMBER(SEARCH("General Authority of Zakat",M144)),"Tax Collection",
        ISNUMBER(SEARCH("Gulf Voyager",M144)),"Travel Agency",
        ISNUMBER(SEARCH("Hopeway Trading",M144)),"Trading Company",
        ISNUMBER(SEARCH("Interhealth Medical",M144)),"Medical Services",
        ISNUMBER(SEARCH("Ishaar",M144)),"Online Payment Service",
        ISNUMBER(SEARCH("ISO Arabia",M144)),"Certification",
        ISNUMBER(SEARCH("Khalid Saad Al Otaibi",M144)),"Trading Company",
        ISNUMBER(SEARCH("MERAS for Decoration",M144)),"Decor Company",
        ISNUMBER(SEARCH("Middle East Customs Clearance",M144)),"Customs",
        ISNUMBER(SEARCH("Ministry of Human Resources",M144)),"Government",
        ISNUMBER(SEARCH("My Business Services",M144)),"Service Provider",
        ISNUMBER(SEARCH("National Water Company",M144)),"Water Company",
        ISNUMBER(SEARCH("Rania Contracting",M144)),"Contracting",
        ISNUMBER(SEARCH("Rashid Ali Sheikh",M144)),"Shareholder",
        ISNUMBER(SEARCH("Sahab United Motors",M144)),"Car Show Room",
        ISNUMBER(SEARCH("Saud Mohammed Al Tamimi",M144)),"Shareholder",
        ISNUMBER(SEARCH("Saud Mohammed Tamimi",M144)),"Shareholder",
        ISNUMBER(SEARCH("Saudi Electric Company",M144)),"Electricity Company",
        ISNUMBER(SEARCH("Saudi Vetonit",M144)),"Building Materials",
        ISNUMBER(SEARCH("Shomoul Eng",M144)),"Safety",
        ISNUMBER(SEARCH("STC",M144)),"Telecom Company",
        ISNUMBER(SEARCH("The General Organization for Social Insurance",M144)),"Social Insurance Agency",
        ISNUMBER(SEARCH("TUV Rheinland",M144)),"Certification",
        ISNUMBER(SEARCH("Al Arabia Ceramic",M144)),"Building Materials",
        ISNUMBER(SEARCH("National Company for Building and Marketing",M144)),"Parent Company",
        ISNUMBER(SEARCH("Athraa Holding",M144)),"Holding Company",
        ISNUMBER(SEARCH("Al Rasan",M144)),"Contracting",
        ISNUMBER(SEARCH("Raboua Al Haid",M144)),"Trading Company",
        ISNUMBER(SEARCH("Al Jazeera Paint",M144)),"Manufacturer",
        ISNUMBER(SEARCH("Rania Works Contracting",M144)),"Contracting",
        ISNUMBER(SEARCH("Bandar Jarallah",M144)),"Trading Establishment",
        ISNUMBER(SEARCH("RS Infratec Saudi",M144)),"Same Company",
        ISNUMBER(SEARCH("Payroll",M144)),"Bank",
        ISNUMBER(SEARCH("Expatriate",M144)),"Government",
        ISNUMBER(SEARCH("Unknown Sender",M144)),"Unknown",
        TRUE,"Unknown"
    ),
    "-"
)</f>
        <v>Parent Company</v>
      </c>
      <c r="AA144" s="25" t="str" cm="1">
        <f t="array" ref="AA144">_xlfn.IFNA(
    _xlfn.IFS(
        Z144="Lender","Financing",
        Z144="Accounting","Accounting",
        Z144="Shareholder","Individual",
        Z144="Equipment Rental","Equipment Rental",
        Z144="Telecom Company","Telecom",
        Z144="Manufacturer","Manufacturer",
        Z144="Trading Company","Trading And Transport",
        Z144="Trading Establishment","Trading",
        Z144="Airlines","Airlines",
        Z144="Health Insurance","Insurance",
        Z144="Consultant","Consultant",
        Z144="Tax Collection","Government",
        Z144="Travel Agency","Travel Agency",
        Z144="Medical Services","Medical Center",
        Z144="Online Payment Service","Payment Facilitator",
        Z144="Certification","Safety",
        Z144="Decor Company","Design",
        Z144="Customs","Customs",
        Z144="Government","Government",
        Z144="Service Provider","Service Provider",
        Z144="Water Company","Water Company",
        Z144="Contracting","Contracting",
        Z144="Car Show Room","Car Trader",
        Z144="Electricity Company","Electricity Company",
        Z144="Building Materials","Building Materials",
        Z144="Safety","Safety",
        Z144="Social Insurance Agency","Government Fund",
        Z144="Parent Company","Holding Company",
        Z144="Holding Company","Holding Company",
        Z144="Same Company","Construction",
        Z144="Bank","Bank",
        Z144="Unknown","Unknown",
        TRUE,"-"
    ),
    "-"
)</f>
        <v>Holding Company</v>
      </c>
      <c r="AB144" s="25" t="str">
        <f t="shared" si="9"/>
        <v>-</v>
      </c>
      <c r="AC144" s="25" t="str" cm="1">
        <f t="array" ref="AC144">_xlfn.IFNA(
    _xlfn.IFS(
        Z144="Shareholder","Shareholder",
        Z144="Same Company","Same Company",
        Z144="Bank","Bank",
        Z144="Government","Government",
        Z144="Social Insurance Agency","Government",
        Z144="Parent Company","Customer",
        Z144="Lender","Lender",
        Z144="Unknown","Unknown",
        ISNUMBER(SEARCH("Abdullah Abdulkarim",M144)),"Service Provider",
        ISNUMBER(SEARCH("Abdullah Fahad",M144)),"Service Provider",
        ISNUMBER(SEARCH("Advanced Equipments",M144)),"Supplier",
        ISNUMBER(SEARCH("Al Banuk Sana",M144)),"Supplier",
        ISNUMBER(SEARCH("Al Khaleefa Factory",M144)),"Supplier",
        ISNUMBER(SEARCH("Al Saadeh Trading",M144)),"Supplier",
        ISNUMBER(SEARCH("Al Zaehaan",M144)),"Supplier",
        ISNUMBER(SEARCH("Ali Abdullah K Al Darwish",M144)),"Service Provider",
        ISNUMBER(SEARCH("Bupa Arabia",M144)),"Insurance Company",
        ISNUMBER(SEARCH("Dar Fahoosaat",M144)),"Service Provider",
        ISNUMBER(SEARCH("General Authority of Zakat",M144)),"Tax Authority",
        ISNUMBER(SEARCH("Gulf Voyager",M144)),"Service Provider",
        ISNUMBER(SEARCH("Hopeway Trading",M144)),"Supplier",
        ISNUMBER(SEARCH("Interhealth Medical",M144)),"Customer",
        ISNUMBER(SEARCH("Ishaar",M144)),"Service Provider",
        ISNUMBER(SEARCH("ISO Arabia",M144)),"Service Provider",
        ISNUMBER(SEARCH("Khalid Saad Al Otaibi",M144)),"Supplier",
        ISNUMBER(SEARCH("MERAS for Decoration",M144)),"Supplier",
        ISNUMBER(SEARCH("Middle East Customs Clearance",M144)),"Service Provider",
        ISNUMBER(SEARCH("Ministry of Human Resources",M144)),"Regulatory Agency",
        ISNUMBER(SEARCH("My Business Services",M144)),"Service Provider",
        ISNUMBER(SEARCH("National Water Company",M144)),"Utility Provider",
        ISNUMBER(SEARCH("Rania Contracting",M144)),"Supplier",
        ISNUMBER(SEARCH("Sahab United Motors",M144)),"Supplier",
        ISNUMBER(SEARCH("Saudi Electric Company",M144)),"Utility Provider",
        ISNUMBER(SEARCH("Saudi Vetonit",M144)),"Supplier",
        ISNUMBER(SEARCH("Shomoul Eng",M144)),"Service Provider",
        ISNUMBER(SEARCH("STC",M144)),"Utility Provider",
        ISNUMBER(SEARCH("The General Organization for Social Insurance",M144)),"Social Insurance Agency",
        ISNUMBER(SEARCH("TUV Rheinland",M144)),"Service Provider",
        ISNUMBER(SEARCH("Al Arabia Ceramic",M144)),"Supplier",
        ISNUMBER(SEARCH("National Company for Building",M144)),"Customer",
        ISNUMBER(SEARCH("Athraa Holding",M144)),"Customer",
        ISNUMBER(SEARCH("Al Rasan",M144)),"Supplier",
        ISNUMBER(SEARCH("Raboua Al Haid",M144)),"Customer",
        ISNUMBER(SEARCH("Al Jazeera Paint",M144)),"Supplier",
        ISNUMBER(SEARCH("Rania Works Contracting",M144)),"Supplier",
        ISNUMBER(SEARCH("Bandar Jarallah",M144)),"Supplier",
        TRUE,"Supplier"
    ),
    "-"
)</f>
        <v>Customer</v>
      </c>
      <c r="AD144" s="25" t="str" cm="1">
        <f t="array" ref="AD144">_xlfn.IFNA(
    _xlfn.IFS(
        AC144="Same Company","High",
        AC144="Shareholder","High",
        AC144="Government","High",
        AC144="Bank","High",
        AC144="Lender","High",
        AC144="Unknown","Low",
        AC144="-","Low",
        TRUE,"Medium"
    ),
    "-"
)</f>
        <v>Medium</v>
      </c>
      <c r="AE144" s="25" t="str">
        <f t="shared" si="10"/>
        <v>-</v>
      </c>
      <c r="AF144" s="25" t="str" cm="1">
        <f t="array" ref="AF144">_xlfn.IFNA(
    _xlfn.IFS(
        K144="Credit",
            _xlfn.IFS(
                OR(ISNUMBER(SEARCH("Rejected",L144)),ISNUMBER(SEARCH("Returned",L144))),"Other Income",
                TRUE,"Revenue"
            ),
        K144="Debit",
            _xlfn.IFS(
                ISNUMBER(SEARCH("Payroll",L144)),"OPEX",
                ISNUMBER(SEARCH("Expatriate",L144)),"OPEX",
                ISNUMBER(SEARCH("Zakat",M144)),"ZATCA",
                ISNUMBER(SEARCH("General Organization for Social Insurance",M144)),"OPEX",
                ISNUMBER(SEARCH("Saudi Electric",M144)),"OPEX",
                ISNUMBER(SEARCH("STC",M144)),"OPEX",
                ISNUMBER(SEARCH("National Water",M144)),"OPEX",
                ISNUMBER(SEARCH("Bupa",M144)),"OPEX",
                ISNUMBER(SEARCH("Abdullah Abdulkarim",M144)),"OPEX",
                ISNUMBER(SEARCH("Abdullah Fahad",M144)),"OPEX",
                ISNUMBER(SEARCH("ISO Arabia",M144)),"OPEX",
                ISNUMBER(SEARCH("Gulf Voyager",M144)),"OPEX",
                ISNUMBER(SEARCH("Ministry",M144)),"OPEX",
                ISNUMBER(SEARCH("General Authority of Zakat",M144)),"ZATCA",
                ISNUMBER(SEARCH("Rejected",L144)),"Other Income",
                TRUE,"COGS"
            ),
        TRUE,"-"
    ),
    "-"
)</f>
        <v>Revenue</v>
      </c>
      <c r="AG144" s="25" t="str" cm="1">
        <f t="array" ref="AG144">_xlfn.IFNA(
    _xlfn.IFS(
        ISNUMBER(SEARCH("Payroll",L144)),"Payroll",
        ISNUMBER(SEARCH("Expatriate",L144)),"Government Fees",
        ISNUMBER(SEARCH("Zakat",M144)),"Zakat",
        ISNUMBER(SEARCH("Social Insurance",M144)),"Social Insurance",
        ISNUMBER(SEARCH("Saudi Electric",M144)),"Electricity",
        ISNUMBER(SEARCH("STC",M144)),"Telecom",
        ISNUMBER(SEARCH("National Water",M144)),"Water",
        ISNUMBER(SEARCH("Bupa",M144)),"Insurance",
        ISNUMBER(SEARCH("Gulf Voyager",M144)),"Travel",
        ISNUMBER(SEARCH("Ministry",M144)),"Government Fees",
        ISNUMBER(SEARCH("Abdullah Abdulkarim",M144)),"Consulting",
        ISNUMBER(SEARCH("Abdullah Fahad",M144)),"Accounting",
        ISNUMBER(SEARCH("ISO Arabia",M144)),"Consulting",
        ISNUMBER(SEARCH("Rejected",L144)),"Refund",
        AF144="COGS","Inventory Purchase",
        AF144="Revenue","Revenue",
        AF144="OPEX","Other",
        AF144="ZATCA","Zakat",
        TRUE,"-"
    ),
    "-"
)</f>
        <v>Revenue</v>
      </c>
      <c r="AH144" s="25" t="str" cm="1">
        <f t="array" ref="AH144">_xlfn.IFNA(
    _xlfn.IFS(
        AF144="-","Low",
        AF144="Other","Low",
        TRUE,"Medium"
    ),
    "-"
)</f>
        <v>Medium</v>
      </c>
      <c r="AI144" s="25" t="str">
        <f t="shared" si="11"/>
        <v>-</v>
      </c>
    </row>
    <row r="145" spans="1:35" x14ac:dyDescent="0.25">
      <c r="A145" s="10">
        <v>59</v>
      </c>
      <c r="B145" s="10" t="s">
        <v>35</v>
      </c>
      <c r="C145" s="10" t="s">
        <v>36</v>
      </c>
      <c r="D145" s="10" t="s">
        <v>37</v>
      </c>
      <c r="E145" s="10" t="s">
        <v>38</v>
      </c>
      <c r="F145" s="11" t="s">
        <v>39</v>
      </c>
      <c r="G145" s="11" t="s">
        <v>40</v>
      </c>
      <c r="H145" s="12">
        <v>44930</v>
      </c>
      <c r="I145" s="20">
        <v>201226.42</v>
      </c>
      <c r="J145" s="20">
        <v>100000</v>
      </c>
      <c r="K145" s="10" t="s">
        <v>116</v>
      </c>
      <c r="L145" s="9" t="s">
        <v>230</v>
      </c>
      <c r="M145" s="9" t="s">
        <v>231</v>
      </c>
      <c r="N145" s="9" t="s">
        <v>232</v>
      </c>
      <c r="O145" s="9" t="s">
        <v>233</v>
      </c>
      <c r="P145" s="15">
        <v>44930</v>
      </c>
      <c r="Q145" s="9" t="s">
        <v>236</v>
      </c>
      <c r="R145" s="16">
        <v>100000</v>
      </c>
      <c r="U145" s="9" t="s">
        <v>55</v>
      </c>
      <c r="V145" s="24" t="str" cm="1">
        <f t="array" ref="V145">_xlfn.IFNA(
    _xlfn.IFS(
        ISNUMBER(SEARCH("Fast Outgoing Transfer",L145)),"Transfer",
        ISNUMBER(SEARCH("Incoming Fast Transfer",L145)),"Transfer",
        ISNUMBER(SEARCH("Outgoing International Transfer",L145)),"Transfer",
        ISNUMBER(SEARCH("Bill Payment",L145)),"SADAD",
        ISNUMBER(SEARCH("Payroll",L145)),"Payroll",
        ISNUMBER(SEARCH("Cash Deposit",L145)),"Cash",
        ISNUMBER(SEARCH("Internal Transfer",L145)),"Transfer",
        ISNUMBER(SEARCH("Expatriate Services Payment",L145)),"SADAD",
        ISNUMBER(SEARCH("Rejected",L145)),"Transfer"
    ),
    "-"
)</f>
        <v>Transfer</v>
      </c>
      <c r="W145" s="25" t="str" cm="1">
        <f t="array" ref="W145">_xlfn.IFNA(
    _xlfn.IFS(
        AND(V145="Transfer",ISNUMBER(SEARCH("RIYAD BANK",L145))),"External FI",
        AND(V145="Transfer",ISNUMBER(SEARCH("Al Ahli",L145))),"External FI",
        AND(V145="Transfer",ISNUMBER(SEARCH("CIB via",L145))),"Local Transfer",
        AND(V145="Transfer",ISNUMBER(SEARCH("CIB)",L145))),"Local Transfer",
        AND(V145="Transfer",ISNUMBER(SEARCH("SMRT",L145))),"Local Transfer",
        AND(V145="Transfer",ISNUMBER(SEARCH("Al Murabba",L145))),"Local Transfer",
        AND(V145="Transfer",ISNUMBER(SEARCH("Internal Transfer",L145))),"Same FI",
        AND(V145="Transfer",ISNUMBER(SEARCH("Rejected",L145))),"Failed",
        V145="SADAD",
            _xlfn.IFS(
                ISNUMBER(SEARCH("Expatriate",L145)),"Expat Fees",
                TRUE,"Online Payment"
            ),
        V145="Payroll","Payroll",
        V145="Cash","Deposit",
        TRUE,"-"
    ),
    "-"
)</f>
        <v>External FI</v>
      </c>
      <c r="X145" s="25" t="str" cm="1">
        <f t="array" ref="X145">_xlfn.IFNA(
    _xlfn.IFS(
        V145="-","Low",
        W145="-","Low",
        TRUE,"High"
    ),
    "-"
)</f>
        <v>High</v>
      </c>
      <c r="Y145" s="25" t="str">
        <f t="shared" si="8"/>
        <v>-</v>
      </c>
      <c r="Z145" s="25" t="str" cm="1">
        <f t="array" ref="Z145">_xlfn.IFNA(
    _xlfn.IFS(
        ISNUMBER(SEARCH("Abdul Latif Jameel",M145)),"Lender",
        ISNUMBER(SEARCH("Abdullah Abdulkarim Al Sudais",M145)),"Accounting",
        ISNUMBER(SEARCH("Abdullah Fahad for Accounting",M145)),"Accounting",
        ISNUMBER(SEARCH("Abdullah Rashid Shaikh",M145)),"Shareholder",
        ISNUMBER(SEARCH("Advanced Equipments",M145)),"Equipment Rental",
        ISNUMBER(SEARCH("Al Banuk Sana",M145)),"Telecom Company",
        ISNUMBER(SEARCH("Al Khaleefa Factory",M145)),"Manufacturer",
        ISNUMBER(SEARCH("Al Saadeh Trading",M145)),"Trading Company",
        ISNUMBER(SEARCH("Al Zaehaan",M145)),"Trading Company",
        ISNUMBER(SEARCH("Ali Abdullah K Al Darwish",M145)),"Airlines",
        ISNUMBER(SEARCH("Bupa Arabia",M145)),"Health Insurance",
        ISNUMBER(SEARCH("Dar Fahoosaat",M145)),"Consultant",
        ISNUMBER(SEARCH("General Authority of Zakat",M145)),"Tax Collection",
        ISNUMBER(SEARCH("Gulf Voyager",M145)),"Travel Agency",
        ISNUMBER(SEARCH("Hopeway Trading",M145)),"Trading Company",
        ISNUMBER(SEARCH("Interhealth Medical",M145)),"Medical Services",
        ISNUMBER(SEARCH("Ishaar",M145)),"Online Payment Service",
        ISNUMBER(SEARCH("ISO Arabia",M145)),"Certification",
        ISNUMBER(SEARCH("Khalid Saad Al Otaibi",M145)),"Trading Company",
        ISNUMBER(SEARCH("MERAS for Decoration",M145)),"Decor Company",
        ISNUMBER(SEARCH("Middle East Customs Clearance",M145)),"Customs",
        ISNUMBER(SEARCH("Ministry of Human Resources",M145)),"Government",
        ISNUMBER(SEARCH("My Business Services",M145)),"Service Provider",
        ISNUMBER(SEARCH("National Water Company",M145)),"Water Company",
        ISNUMBER(SEARCH("Rania Contracting",M145)),"Contracting",
        ISNUMBER(SEARCH("Rashid Ali Sheikh",M145)),"Shareholder",
        ISNUMBER(SEARCH("Sahab United Motors",M145)),"Car Show Room",
        ISNUMBER(SEARCH("Saud Mohammed Al Tamimi",M145)),"Shareholder",
        ISNUMBER(SEARCH("Saud Mohammed Tamimi",M145)),"Shareholder",
        ISNUMBER(SEARCH("Saudi Electric Company",M145)),"Electricity Company",
        ISNUMBER(SEARCH("Saudi Vetonit",M145)),"Building Materials",
        ISNUMBER(SEARCH("Shomoul Eng",M145)),"Safety",
        ISNUMBER(SEARCH("STC",M145)),"Telecom Company",
        ISNUMBER(SEARCH("The General Organization for Social Insurance",M145)),"Social Insurance Agency",
        ISNUMBER(SEARCH("TUV Rheinland",M145)),"Certification",
        ISNUMBER(SEARCH("Al Arabia Ceramic",M145)),"Building Materials",
        ISNUMBER(SEARCH("National Company for Building and Marketing",M145)),"Parent Company",
        ISNUMBER(SEARCH("Athraa Holding",M145)),"Holding Company",
        ISNUMBER(SEARCH("Al Rasan",M145)),"Contracting",
        ISNUMBER(SEARCH("Raboua Al Haid",M145)),"Trading Company",
        ISNUMBER(SEARCH("Al Jazeera Paint",M145)),"Manufacturer",
        ISNUMBER(SEARCH("Rania Works Contracting",M145)),"Contracting",
        ISNUMBER(SEARCH("Bandar Jarallah",M145)),"Trading Establishment",
        ISNUMBER(SEARCH("RS Infratec Saudi",M145)),"Same Company",
        ISNUMBER(SEARCH("Payroll",M145)),"Bank",
        ISNUMBER(SEARCH("Expatriate",M145)),"Government",
        ISNUMBER(SEARCH("Unknown Sender",M145)),"Unknown",
        TRUE,"Unknown"
    ),
    "-"
)</f>
        <v>Parent Company</v>
      </c>
      <c r="AA145" s="25" t="str" cm="1">
        <f t="array" ref="AA145">_xlfn.IFNA(
    _xlfn.IFS(
        Z145="Lender","Financing",
        Z145="Accounting","Accounting",
        Z145="Shareholder","Individual",
        Z145="Equipment Rental","Equipment Rental",
        Z145="Telecom Company","Telecom",
        Z145="Manufacturer","Manufacturer",
        Z145="Trading Company","Trading And Transport",
        Z145="Trading Establishment","Trading",
        Z145="Airlines","Airlines",
        Z145="Health Insurance","Insurance",
        Z145="Consultant","Consultant",
        Z145="Tax Collection","Government",
        Z145="Travel Agency","Travel Agency",
        Z145="Medical Services","Medical Center",
        Z145="Online Payment Service","Payment Facilitator",
        Z145="Certification","Safety",
        Z145="Decor Company","Design",
        Z145="Customs","Customs",
        Z145="Government","Government",
        Z145="Service Provider","Service Provider",
        Z145="Water Company","Water Company",
        Z145="Contracting","Contracting",
        Z145="Car Show Room","Car Trader",
        Z145="Electricity Company","Electricity Company",
        Z145="Building Materials","Building Materials",
        Z145="Safety","Safety",
        Z145="Social Insurance Agency","Government Fund",
        Z145="Parent Company","Holding Company",
        Z145="Holding Company","Holding Company",
        Z145="Same Company","Construction",
        Z145="Bank","Bank",
        Z145="Unknown","Unknown",
        TRUE,"-"
    ),
    "-"
)</f>
        <v>Holding Company</v>
      </c>
      <c r="AB145" s="25" t="str">
        <f t="shared" si="9"/>
        <v>-</v>
      </c>
      <c r="AC145" s="25" t="str" cm="1">
        <f t="array" ref="AC145">_xlfn.IFNA(
    _xlfn.IFS(
        Z145="Shareholder","Shareholder",
        Z145="Same Company","Same Company",
        Z145="Bank","Bank",
        Z145="Government","Government",
        Z145="Social Insurance Agency","Government",
        Z145="Parent Company","Customer",
        Z145="Lender","Lender",
        Z145="Unknown","Unknown",
        ISNUMBER(SEARCH("Abdullah Abdulkarim",M145)),"Service Provider",
        ISNUMBER(SEARCH("Abdullah Fahad",M145)),"Service Provider",
        ISNUMBER(SEARCH("Advanced Equipments",M145)),"Supplier",
        ISNUMBER(SEARCH("Al Banuk Sana",M145)),"Supplier",
        ISNUMBER(SEARCH("Al Khaleefa Factory",M145)),"Supplier",
        ISNUMBER(SEARCH("Al Saadeh Trading",M145)),"Supplier",
        ISNUMBER(SEARCH("Al Zaehaan",M145)),"Supplier",
        ISNUMBER(SEARCH("Ali Abdullah K Al Darwish",M145)),"Service Provider",
        ISNUMBER(SEARCH("Bupa Arabia",M145)),"Insurance Company",
        ISNUMBER(SEARCH("Dar Fahoosaat",M145)),"Service Provider",
        ISNUMBER(SEARCH("General Authority of Zakat",M145)),"Tax Authority",
        ISNUMBER(SEARCH("Gulf Voyager",M145)),"Service Provider",
        ISNUMBER(SEARCH("Hopeway Trading",M145)),"Supplier",
        ISNUMBER(SEARCH("Interhealth Medical",M145)),"Customer",
        ISNUMBER(SEARCH("Ishaar",M145)),"Service Provider",
        ISNUMBER(SEARCH("ISO Arabia",M145)),"Service Provider",
        ISNUMBER(SEARCH("Khalid Saad Al Otaibi",M145)),"Supplier",
        ISNUMBER(SEARCH("MERAS for Decoration",M145)),"Supplier",
        ISNUMBER(SEARCH("Middle East Customs Clearance",M145)),"Service Provider",
        ISNUMBER(SEARCH("Ministry of Human Resources",M145)),"Regulatory Agency",
        ISNUMBER(SEARCH("My Business Services",M145)),"Service Provider",
        ISNUMBER(SEARCH("National Water Company",M145)),"Utility Provider",
        ISNUMBER(SEARCH("Rania Contracting",M145)),"Supplier",
        ISNUMBER(SEARCH("Sahab United Motors",M145)),"Supplier",
        ISNUMBER(SEARCH("Saudi Electric Company",M145)),"Utility Provider",
        ISNUMBER(SEARCH("Saudi Vetonit",M145)),"Supplier",
        ISNUMBER(SEARCH("Shomoul Eng",M145)),"Service Provider",
        ISNUMBER(SEARCH("STC",M145)),"Utility Provider",
        ISNUMBER(SEARCH("The General Organization for Social Insurance",M145)),"Social Insurance Agency",
        ISNUMBER(SEARCH("TUV Rheinland",M145)),"Service Provider",
        ISNUMBER(SEARCH("Al Arabia Ceramic",M145)),"Supplier",
        ISNUMBER(SEARCH("National Company for Building",M145)),"Customer",
        ISNUMBER(SEARCH("Athraa Holding",M145)),"Customer",
        ISNUMBER(SEARCH("Al Rasan",M145)),"Supplier",
        ISNUMBER(SEARCH("Raboua Al Haid",M145)),"Customer",
        ISNUMBER(SEARCH("Al Jazeera Paint",M145)),"Supplier",
        ISNUMBER(SEARCH("Rania Works Contracting",M145)),"Supplier",
        ISNUMBER(SEARCH("Bandar Jarallah",M145)),"Supplier",
        TRUE,"Supplier"
    ),
    "-"
)</f>
        <v>Customer</v>
      </c>
      <c r="AD145" s="25" t="str" cm="1">
        <f t="array" ref="AD145">_xlfn.IFNA(
    _xlfn.IFS(
        AC145="Same Company","High",
        AC145="Shareholder","High",
        AC145="Government","High",
        AC145="Bank","High",
        AC145="Lender","High",
        AC145="Unknown","Low",
        AC145="-","Low",
        TRUE,"Medium"
    ),
    "-"
)</f>
        <v>Medium</v>
      </c>
      <c r="AE145" s="25" t="str">
        <f t="shared" si="10"/>
        <v>-</v>
      </c>
      <c r="AF145" s="25" t="str" cm="1">
        <f t="array" ref="AF145">_xlfn.IFNA(
    _xlfn.IFS(
        K145="Credit",
            _xlfn.IFS(
                OR(ISNUMBER(SEARCH("Rejected",L145)),ISNUMBER(SEARCH("Returned",L145))),"Other Income",
                TRUE,"Revenue"
            ),
        K145="Debit",
            _xlfn.IFS(
                ISNUMBER(SEARCH("Payroll",L145)),"OPEX",
                ISNUMBER(SEARCH("Expatriate",L145)),"OPEX",
                ISNUMBER(SEARCH("Zakat",M145)),"ZATCA",
                ISNUMBER(SEARCH("General Organization for Social Insurance",M145)),"OPEX",
                ISNUMBER(SEARCH("Saudi Electric",M145)),"OPEX",
                ISNUMBER(SEARCH("STC",M145)),"OPEX",
                ISNUMBER(SEARCH("National Water",M145)),"OPEX",
                ISNUMBER(SEARCH("Bupa",M145)),"OPEX",
                ISNUMBER(SEARCH("Abdullah Abdulkarim",M145)),"OPEX",
                ISNUMBER(SEARCH("Abdullah Fahad",M145)),"OPEX",
                ISNUMBER(SEARCH("ISO Arabia",M145)),"OPEX",
                ISNUMBER(SEARCH("Gulf Voyager",M145)),"OPEX",
                ISNUMBER(SEARCH("Ministry",M145)),"OPEX",
                ISNUMBER(SEARCH("General Authority of Zakat",M145)),"ZATCA",
                ISNUMBER(SEARCH("Rejected",L145)),"Other Income",
                TRUE,"COGS"
            ),
        TRUE,"-"
    ),
    "-"
)</f>
        <v>Revenue</v>
      </c>
      <c r="AG145" s="25" t="str" cm="1">
        <f t="array" ref="AG145">_xlfn.IFNA(
    _xlfn.IFS(
        ISNUMBER(SEARCH("Payroll",L145)),"Payroll",
        ISNUMBER(SEARCH("Expatriate",L145)),"Government Fees",
        ISNUMBER(SEARCH("Zakat",M145)),"Zakat",
        ISNUMBER(SEARCH("Social Insurance",M145)),"Social Insurance",
        ISNUMBER(SEARCH("Saudi Electric",M145)),"Electricity",
        ISNUMBER(SEARCH("STC",M145)),"Telecom",
        ISNUMBER(SEARCH("National Water",M145)),"Water",
        ISNUMBER(SEARCH("Bupa",M145)),"Insurance",
        ISNUMBER(SEARCH("Gulf Voyager",M145)),"Travel",
        ISNUMBER(SEARCH("Ministry",M145)),"Government Fees",
        ISNUMBER(SEARCH("Abdullah Abdulkarim",M145)),"Consulting",
        ISNUMBER(SEARCH("Abdullah Fahad",M145)),"Accounting",
        ISNUMBER(SEARCH("ISO Arabia",M145)),"Consulting",
        ISNUMBER(SEARCH("Rejected",L145)),"Refund",
        AF145="COGS","Inventory Purchase",
        AF145="Revenue","Revenue",
        AF145="OPEX","Other",
        AF145="ZATCA","Zakat",
        TRUE,"-"
    ),
    "-"
)</f>
        <v>Revenue</v>
      </c>
      <c r="AH145" s="25" t="str" cm="1">
        <f t="array" ref="AH145">_xlfn.IFNA(
    _xlfn.IFS(
        AF145="-","Low",
        AF145="Other","Low",
        TRUE,"Medium"
    ),
    "-"
)</f>
        <v>Medium</v>
      </c>
      <c r="AI145" s="25" t="str">
        <f t="shared" si="11"/>
        <v>-</v>
      </c>
    </row>
    <row r="146" spans="1:35" x14ac:dyDescent="0.25">
      <c r="A146" s="10">
        <v>59</v>
      </c>
      <c r="B146" s="10" t="s">
        <v>35</v>
      </c>
      <c r="C146" s="10" t="s">
        <v>36</v>
      </c>
      <c r="D146" s="10" t="s">
        <v>37</v>
      </c>
      <c r="E146" s="10" t="s">
        <v>38</v>
      </c>
      <c r="F146" s="11" t="s">
        <v>39</v>
      </c>
      <c r="G146" s="11" t="s">
        <v>40</v>
      </c>
      <c r="H146" s="12">
        <v>44931</v>
      </c>
      <c r="I146" s="20">
        <v>263341.65999999997</v>
      </c>
      <c r="J146" s="20">
        <v>100000</v>
      </c>
      <c r="K146" s="10" t="s">
        <v>116</v>
      </c>
      <c r="L146" s="9" t="s">
        <v>230</v>
      </c>
      <c r="M146" s="9" t="s">
        <v>231</v>
      </c>
      <c r="N146" s="9" t="s">
        <v>232</v>
      </c>
      <c r="O146" s="9" t="s">
        <v>233</v>
      </c>
      <c r="P146" s="15">
        <v>44931</v>
      </c>
      <c r="Q146" s="9" t="s">
        <v>237</v>
      </c>
      <c r="R146" s="16">
        <v>100000</v>
      </c>
      <c r="U146" s="9" t="s">
        <v>55</v>
      </c>
      <c r="V146" s="24" t="str" cm="1">
        <f t="array" ref="V146">_xlfn.IFNA(
    _xlfn.IFS(
        ISNUMBER(SEARCH("Fast Outgoing Transfer",L146)),"Transfer",
        ISNUMBER(SEARCH("Incoming Fast Transfer",L146)),"Transfer",
        ISNUMBER(SEARCH("Outgoing International Transfer",L146)),"Transfer",
        ISNUMBER(SEARCH("Bill Payment",L146)),"SADAD",
        ISNUMBER(SEARCH("Payroll",L146)),"Payroll",
        ISNUMBER(SEARCH("Cash Deposit",L146)),"Cash",
        ISNUMBER(SEARCH("Internal Transfer",L146)),"Transfer",
        ISNUMBER(SEARCH("Expatriate Services Payment",L146)),"SADAD",
        ISNUMBER(SEARCH("Rejected",L146)),"Transfer"
    ),
    "-"
)</f>
        <v>Transfer</v>
      </c>
      <c r="W146" s="25" t="str" cm="1">
        <f t="array" ref="W146">_xlfn.IFNA(
    _xlfn.IFS(
        AND(V146="Transfer",ISNUMBER(SEARCH("RIYAD BANK",L146))),"External FI",
        AND(V146="Transfer",ISNUMBER(SEARCH("Al Ahli",L146))),"External FI",
        AND(V146="Transfer",ISNUMBER(SEARCH("CIB via",L146))),"Local Transfer",
        AND(V146="Transfer",ISNUMBER(SEARCH("CIB)",L146))),"Local Transfer",
        AND(V146="Transfer",ISNUMBER(SEARCH("SMRT",L146))),"Local Transfer",
        AND(V146="Transfer",ISNUMBER(SEARCH("Al Murabba",L146))),"Local Transfer",
        AND(V146="Transfer",ISNUMBER(SEARCH("Internal Transfer",L146))),"Same FI",
        AND(V146="Transfer",ISNUMBER(SEARCH("Rejected",L146))),"Failed",
        V146="SADAD",
            _xlfn.IFS(
                ISNUMBER(SEARCH("Expatriate",L146)),"Expat Fees",
                TRUE,"Online Payment"
            ),
        V146="Payroll","Payroll",
        V146="Cash","Deposit",
        TRUE,"-"
    ),
    "-"
)</f>
        <v>External FI</v>
      </c>
      <c r="X146" s="25" t="str" cm="1">
        <f t="array" ref="X146">_xlfn.IFNA(
    _xlfn.IFS(
        V146="-","Low",
        W146="-","Low",
        TRUE,"High"
    ),
    "-"
)</f>
        <v>High</v>
      </c>
      <c r="Y146" s="25" t="str">
        <f t="shared" si="8"/>
        <v>-</v>
      </c>
      <c r="Z146" s="25" t="str" cm="1">
        <f t="array" ref="Z146">_xlfn.IFNA(
    _xlfn.IFS(
        ISNUMBER(SEARCH("Abdul Latif Jameel",M146)),"Lender",
        ISNUMBER(SEARCH("Abdullah Abdulkarim Al Sudais",M146)),"Accounting",
        ISNUMBER(SEARCH("Abdullah Fahad for Accounting",M146)),"Accounting",
        ISNUMBER(SEARCH("Abdullah Rashid Shaikh",M146)),"Shareholder",
        ISNUMBER(SEARCH("Advanced Equipments",M146)),"Equipment Rental",
        ISNUMBER(SEARCH("Al Banuk Sana",M146)),"Telecom Company",
        ISNUMBER(SEARCH("Al Khaleefa Factory",M146)),"Manufacturer",
        ISNUMBER(SEARCH("Al Saadeh Trading",M146)),"Trading Company",
        ISNUMBER(SEARCH("Al Zaehaan",M146)),"Trading Company",
        ISNUMBER(SEARCH("Ali Abdullah K Al Darwish",M146)),"Airlines",
        ISNUMBER(SEARCH("Bupa Arabia",M146)),"Health Insurance",
        ISNUMBER(SEARCH("Dar Fahoosaat",M146)),"Consultant",
        ISNUMBER(SEARCH("General Authority of Zakat",M146)),"Tax Collection",
        ISNUMBER(SEARCH("Gulf Voyager",M146)),"Travel Agency",
        ISNUMBER(SEARCH("Hopeway Trading",M146)),"Trading Company",
        ISNUMBER(SEARCH("Interhealth Medical",M146)),"Medical Services",
        ISNUMBER(SEARCH("Ishaar",M146)),"Online Payment Service",
        ISNUMBER(SEARCH("ISO Arabia",M146)),"Certification",
        ISNUMBER(SEARCH("Khalid Saad Al Otaibi",M146)),"Trading Company",
        ISNUMBER(SEARCH("MERAS for Decoration",M146)),"Decor Company",
        ISNUMBER(SEARCH("Middle East Customs Clearance",M146)),"Customs",
        ISNUMBER(SEARCH("Ministry of Human Resources",M146)),"Government",
        ISNUMBER(SEARCH("My Business Services",M146)),"Service Provider",
        ISNUMBER(SEARCH("National Water Company",M146)),"Water Company",
        ISNUMBER(SEARCH("Rania Contracting",M146)),"Contracting",
        ISNUMBER(SEARCH("Rashid Ali Sheikh",M146)),"Shareholder",
        ISNUMBER(SEARCH("Sahab United Motors",M146)),"Car Show Room",
        ISNUMBER(SEARCH("Saud Mohammed Al Tamimi",M146)),"Shareholder",
        ISNUMBER(SEARCH("Saud Mohammed Tamimi",M146)),"Shareholder",
        ISNUMBER(SEARCH("Saudi Electric Company",M146)),"Electricity Company",
        ISNUMBER(SEARCH("Saudi Vetonit",M146)),"Building Materials",
        ISNUMBER(SEARCH("Shomoul Eng",M146)),"Safety",
        ISNUMBER(SEARCH("STC",M146)),"Telecom Company",
        ISNUMBER(SEARCH("The General Organization for Social Insurance",M146)),"Social Insurance Agency",
        ISNUMBER(SEARCH("TUV Rheinland",M146)),"Certification",
        ISNUMBER(SEARCH("Al Arabia Ceramic",M146)),"Building Materials",
        ISNUMBER(SEARCH("National Company for Building and Marketing",M146)),"Parent Company",
        ISNUMBER(SEARCH("Athraa Holding",M146)),"Holding Company",
        ISNUMBER(SEARCH("Al Rasan",M146)),"Contracting",
        ISNUMBER(SEARCH("Raboua Al Haid",M146)),"Trading Company",
        ISNUMBER(SEARCH("Al Jazeera Paint",M146)),"Manufacturer",
        ISNUMBER(SEARCH("Rania Works Contracting",M146)),"Contracting",
        ISNUMBER(SEARCH("Bandar Jarallah",M146)),"Trading Establishment",
        ISNUMBER(SEARCH("RS Infratec Saudi",M146)),"Same Company",
        ISNUMBER(SEARCH("Payroll",M146)),"Bank",
        ISNUMBER(SEARCH("Expatriate",M146)),"Government",
        ISNUMBER(SEARCH("Unknown Sender",M146)),"Unknown",
        TRUE,"Unknown"
    ),
    "-"
)</f>
        <v>Parent Company</v>
      </c>
      <c r="AA146" s="25" t="str" cm="1">
        <f t="array" ref="AA146">_xlfn.IFNA(
    _xlfn.IFS(
        Z146="Lender","Financing",
        Z146="Accounting","Accounting",
        Z146="Shareholder","Individual",
        Z146="Equipment Rental","Equipment Rental",
        Z146="Telecom Company","Telecom",
        Z146="Manufacturer","Manufacturer",
        Z146="Trading Company","Trading And Transport",
        Z146="Trading Establishment","Trading",
        Z146="Airlines","Airlines",
        Z146="Health Insurance","Insurance",
        Z146="Consultant","Consultant",
        Z146="Tax Collection","Government",
        Z146="Travel Agency","Travel Agency",
        Z146="Medical Services","Medical Center",
        Z146="Online Payment Service","Payment Facilitator",
        Z146="Certification","Safety",
        Z146="Decor Company","Design",
        Z146="Customs","Customs",
        Z146="Government","Government",
        Z146="Service Provider","Service Provider",
        Z146="Water Company","Water Company",
        Z146="Contracting","Contracting",
        Z146="Car Show Room","Car Trader",
        Z146="Electricity Company","Electricity Company",
        Z146="Building Materials","Building Materials",
        Z146="Safety","Safety",
        Z146="Social Insurance Agency","Government Fund",
        Z146="Parent Company","Holding Company",
        Z146="Holding Company","Holding Company",
        Z146="Same Company","Construction",
        Z146="Bank","Bank",
        Z146="Unknown","Unknown",
        TRUE,"-"
    ),
    "-"
)</f>
        <v>Holding Company</v>
      </c>
      <c r="AB146" s="25" t="str">
        <f t="shared" si="9"/>
        <v>-</v>
      </c>
      <c r="AC146" s="25" t="str" cm="1">
        <f t="array" ref="AC146">_xlfn.IFNA(
    _xlfn.IFS(
        Z146="Shareholder","Shareholder",
        Z146="Same Company","Same Company",
        Z146="Bank","Bank",
        Z146="Government","Government",
        Z146="Social Insurance Agency","Government",
        Z146="Parent Company","Customer",
        Z146="Lender","Lender",
        Z146="Unknown","Unknown",
        ISNUMBER(SEARCH("Abdullah Abdulkarim",M146)),"Service Provider",
        ISNUMBER(SEARCH("Abdullah Fahad",M146)),"Service Provider",
        ISNUMBER(SEARCH("Advanced Equipments",M146)),"Supplier",
        ISNUMBER(SEARCH("Al Banuk Sana",M146)),"Supplier",
        ISNUMBER(SEARCH("Al Khaleefa Factory",M146)),"Supplier",
        ISNUMBER(SEARCH("Al Saadeh Trading",M146)),"Supplier",
        ISNUMBER(SEARCH("Al Zaehaan",M146)),"Supplier",
        ISNUMBER(SEARCH("Ali Abdullah K Al Darwish",M146)),"Service Provider",
        ISNUMBER(SEARCH("Bupa Arabia",M146)),"Insurance Company",
        ISNUMBER(SEARCH("Dar Fahoosaat",M146)),"Service Provider",
        ISNUMBER(SEARCH("General Authority of Zakat",M146)),"Tax Authority",
        ISNUMBER(SEARCH("Gulf Voyager",M146)),"Service Provider",
        ISNUMBER(SEARCH("Hopeway Trading",M146)),"Supplier",
        ISNUMBER(SEARCH("Interhealth Medical",M146)),"Customer",
        ISNUMBER(SEARCH("Ishaar",M146)),"Service Provider",
        ISNUMBER(SEARCH("ISO Arabia",M146)),"Service Provider",
        ISNUMBER(SEARCH("Khalid Saad Al Otaibi",M146)),"Supplier",
        ISNUMBER(SEARCH("MERAS for Decoration",M146)),"Supplier",
        ISNUMBER(SEARCH("Middle East Customs Clearance",M146)),"Service Provider",
        ISNUMBER(SEARCH("Ministry of Human Resources",M146)),"Regulatory Agency",
        ISNUMBER(SEARCH("My Business Services",M146)),"Service Provider",
        ISNUMBER(SEARCH("National Water Company",M146)),"Utility Provider",
        ISNUMBER(SEARCH("Rania Contracting",M146)),"Supplier",
        ISNUMBER(SEARCH("Sahab United Motors",M146)),"Supplier",
        ISNUMBER(SEARCH("Saudi Electric Company",M146)),"Utility Provider",
        ISNUMBER(SEARCH("Saudi Vetonit",M146)),"Supplier",
        ISNUMBER(SEARCH("Shomoul Eng",M146)),"Service Provider",
        ISNUMBER(SEARCH("STC",M146)),"Utility Provider",
        ISNUMBER(SEARCH("The General Organization for Social Insurance",M146)),"Social Insurance Agency",
        ISNUMBER(SEARCH("TUV Rheinland",M146)),"Service Provider",
        ISNUMBER(SEARCH("Al Arabia Ceramic",M146)),"Supplier",
        ISNUMBER(SEARCH("National Company for Building",M146)),"Customer",
        ISNUMBER(SEARCH("Athraa Holding",M146)),"Customer",
        ISNUMBER(SEARCH("Al Rasan",M146)),"Supplier",
        ISNUMBER(SEARCH("Raboua Al Haid",M146)),"Customer",
        ISNUMBER(SEARCH("Al Jazeera Paint",M146)),"Supplier",
        ISNUMBER(SEARCH("Rania Works Contracting",M146)),"Supplier",
        ISNUMBER(SEARCH("Bandar Jarallah",M146)),"Supplier",
        TRUE,"Supplier"
    ),
    "-"
)</f>
        <v>Customer</v>
      </c>
      <c r="AD146" s="25" t="str" cm="1">
        <f t="array" ref="AD146">_xlfn.IFNA(
    _xlfn.IFS(
        AC146="Same Company","High",
        AC146="Shareholder","High",
        AC146="Government","High",
        AC146="Bank","High",
        AC146="Lender","High",
        AC146="Unknown","Low",
        AC146="-","Low",
        TRUE,"Medium"
    ),
    "-"
)</f>
        <v>Medium</v>
      </c>
      <c r="AE146" s="25" t="str">
        <f t="shared" si="10"/>
        <v>-</v>
      </c>
      <c r="AF146" s="25" t="str" cm="1">
        <f t="array" ref="AF146">_xlfn.IFNA(
    _xlfn.IFS(
        K146="Credit",
            _xlfn.IFS(
                OR(ISNUMBER(SEARCH("Rejected",L146)),ISNUMBER(SEARCH("Returned",L146))),"Other Income",
                TRUE,"Revenue"
            ),
        K146="Debit",
            _xlfn.IFS(
                ISNUMBER(SEARCH("Payroll",L146)),"OPEX",
                ISNUMBER(SEARCH("Expatriate",L146)),"OPEX",
                ISNUMBER(SEARCH("Zakat",M146)),"ZATCA",
                ISNUMBER(SEARCH("General Organization for Social Insurance",M146)),"OPEX",
                ISNUMBER(SEARCH("Saudi Electric",M146)),"OPEX",
                ISNUMBER(SEARCH("STC",M146)),"OPEX",
                ISNUMBER(SEARCH("National Water",M146)),"OPEX",
                ISNUMBER(SEARCH("Bupa",M146)),"OPEX",
                ISNUMBER(SEARCH("Abdullah Abdulkarim",M146)),"OPEX",
                ISNUMBER(SEARCH("Abdullah Fahad",M146)),"OPEX",
                ISNUMBER(SEARCH("ISO Arabia",M146)),"OPEX",
                ISNUMBER(SEARCH("Gulf Voyager",M146)),"OPEX",
                ISNUMBER(SEARCH("Ministry",M146)),"OPEX",
                ISNUMBER(SEARCH("General Authority of Zakat",M146)),"ZATCA",
                ISNUMBER(SEARCH("Rejected",L146)),"Other Income",
                TRUE,"COGS"
            ),
        TRUE,"-"
    ),
    "-"
)</f>
        <v>Revenue</v>
      </c>
      <c r="AG146" s="25" t="str" cm="1">
        <f t="array" ref="AG146">_xlfn.IFNA(
    _xlfn.IFS(
        ISNUMBER(SEARCH("Payroll",L146)),"Payroll",
        ISNUMBER(SEARCH("Expatriate",L146)),"Government Fees",
        ISNUMBER(SEARCH("Zakat",M146)),"Zakat",
        ISNUMBER(SEARCH("Social Insurance",M146)),"Social Insurance",
        ISNUMBER(SEARCH("Saudi Electric",M146)),"Electricity",
        ISNUMBER(SEARCH("STC",M146)),"Telecom",
        ISNUMBER(SEARCH("National Water",M146)),"Water",
        ISNUMBER(SEARCH("Bupa",M146)),"Insurance",
        ISNUMBER(SEARCH("Gulf Voyager",M146)),"Travel",
        ISNUMBER(SEARCH("Ministry",M146)),"Government Fees",
        ISNUMBER(SEARCH("Abdullah Abdulkarim",M146)),"Consulting",
        ISNUMBER(SEARCH("Abdullah Fahad",M146)),"Accounting",
        ISNUMBER(SEARCH("ISO Arabia",M146)),"Consulting",
        ISNUMBER(SEARCH("Rejected",L146)),"Refund",
        AF146="COGS","Inventory Purchase",
        AF146="Revenue","Revenue",
        AF146="OPEX","Other",
        AF146="ZATCA","Zakat",
        TRUE,"-"
    ),
    "-"
)</f>
        <v>Revenue</v>
      </c>
      <c r="AH146" s="25" t="str" cm="1">
        <f t="array" ref="AH146">_xlfn.IFNA(
    _xlfn.IFS(
        AF146="-","Low",
        AF146="Other","Low",
        TRUE,"Medium"
    ),
    "-"
)</f>
        <v>Medium</v>
      </c>
      <c r="AI146" s="25" t="str">
        <f t="shared" si="11"/>
        <v>-</v>
      </c>
    </row>
    <row r="147" spans="1:35" x14ac:dyDescent="0.25">
      <c r="A147" s="10">
        <v>59</v>
      </c>
      <c r="B147" s="10" t="s">
        <v>35</v>
      </c>
      <c r="C147" s="10" t="s">
        <v>36</v>
      </c>
      <c r="D147" s="10" t="s">
        <v>37</v>
      </c>
      <c r="E147" s="10" t="s">
        <v>38</v>
      </c>
      <c r="F147" s="11" t="s">
        <v>39</v>
      </c>
      <c r="G147" s="11" t="s">
        <v>40</v>
      </c>
      <c r="H147" s="12">
        <v>44931</v>
      </c>
      <c r="I147" s="20">
        <v>163341.66</v>
      </c>
      <c r="J147" s="20">
        <v>31653.7</v>
      </c>
      <c r="K147" s="10" t="s">
        <v>116</v>
      </c>
      <c r="L147" s="9" t="s">
        <v>230</v>
      </c>
      <c r="M147" s="9" t="s">
        <v>238</v>
      </c>
      <c r="O147" s="9" t="s">
        <v>233</v>
      </c>
      <c r="P147" s="15">
        <v>44931</v>
      </c>
      <c r="Q147" s="9" t="s">
        <v>239</v>
      </c>
      <c r="R147" s="16">
        <v>31653.7</v>
      </c>
      <c r="U147" s="9" t="s">
        <v>55</v>
      </c>
      <c r="V147" s="24" t="str" cm="1">
        <f t="array" ref="V147">_xlfn.IFNA(
    _xlfn.IFS(
        ISNUMBER(SEARCH("Fast Outgoing Transfer",L147)),"Transfer",
        ISNUMBER(SEARCH("Incoming Fast Transfer",L147)),"Transfer",
        ISNUMBER(SEARCH("Outgoing International Transfer",L147)),"Transfer",
        ISNUMBER(SEARCH("Bill Payment",L147)),"SADAD",
        ISNUMBER(SEARCH("Payroll",L147)),"Payroll",
        ISNUMBER(SEARCH("Cash Deposit",L147)),"Cash",
        ISNUMBER(SEARCH("Internal Transfer",L147)),"Transfer",
        ISNUMBER(SEARCH("Expatriate Services Payment",L147)),"SADAD",
        ISNUMBER(SEARCH("Rejected",L147)),"Transfer"
    ),
    "-"
)</f>
        <v>Transfer</v>
      </c>
      <c r="W147" s="25" t="str" cm="1">
        <f t="array" ref="W147">_xlfn.IFNA(
    _xlfn.IFS(
        AND(V147="Transfer",ISNUMBER(SEARCH("RIYAD BANK",L147))),"External FI",
        AND(V147="Transfer",ISNUMBER(SEARCH("Al Ahli",L147))),"External FI",
        AND(V147="Transfer",ISNUMBER(SEARCH("CIB via",L147))),"Local Transfer",
        AND(V147="Transfer",ISNUMBER(SEARCH("CIB)",L147))),"Local Transfer",
        AND(V147="Transfer",ISNUMBER(SEARCH("SMRT",L147))),"Local Transfer",
        AND(V147="Transfer",ISNUMBER(SEARCH("Al Murabba",L147))),"Local Transfer",
        AND(V147="Transfer",ISNUMBER(SEARCH("Internal Transfer",L147))),"Same FI",
        AND(V147="Transfer",ISNUMBER(SEARCH("Rejected",L147))),"Failed",
        V147="SADAD",
            _xlfn.IFS(
                ISNUMBER(SEARCH("Expatriate",L147)),"Expat Fees",
                TRUE,"Online Payment"
            ),
        V147="Payroll","Payroll",
        V147="Cash","Deposit",
        TRUE,"-"
    ),
    "-"
)</f>
        <v>External FI</v>
      </c>
      <c r="X147" s="25" t="str" cm="1">
        <f t="array" ref="X147">_xlfn.IFNA(
    _xlfn.IFS(
        V147="-","Low",
        W147="-","Low",
        TRUE,"High"
    ),
    "-"
)</f>
        <v>High</v>
      </c>
      <c r="Y147" s="25" t="str">
        <f t="shared" si="8"/>
        <v>-</v>
      </c>
      <c r="Z147" s="25" t="str" cm="1">
        <f t="array" ref="Z147">_xlfn.IFNA(
    _xlfn.IFS(
        ISNUMBER(SEARCH("Abdul Latif Jameel",M147)),"Lender",
        ISNUMBER(SEARCH("Abdullah Abdulkarim Al Sudais",M147)),"Accounting",
        ISNUMBER(SEARCH("Abdullah Fahad for Accounting",M147)),"Accounting",
        ISNUMBER(SEARCH("Abdullah Rashid Shaikh",M147)),"Shareholder",
        ISNUMBER(SEARCH("Advanced Equipments",M147)),"Equipment Rental",
        ISNUMBER(SEARCH("Al Banuk Sana",M147)),"Telecom Company",
        ISNUMBER(SEARCH("Al Khaleefa Factory",M147)),"Manufacturer",
        ISNUMBER(SEARCH("Al Saadeh Trading",M147)),"Trading Company",
        ISNUMBER(SEARCH("Al Zaehaan",M147)),"Trading Company",
        ISNUMBER(SEARCH("Ali Abdullah K Al Darwish",M147)),"Airlines",
        ISNUMBER(SEARCH("Bupa Arabia",M147)),"Health Insurance",
        ISNUMBER(SEARCH("Dar Fahoosaat",M147)),"Consultant",
        ISNUMBER(SEARCH("General Authority of Zakat",M147)),"Tax Collection",
        ISNUMBER(SEARCH("Gulf Voyager",M147)),"Travel Agency",
        ISNUMBER(SEARCH("Hopeway Trading",M147)),"Trading Company",
        ISNUMBER(SEARCH("Interhealth Medical",M147)),"Medical Services",
        ISNUMBER(SEARCH("Ishaar",M147)),"Online Payment Service",
        ISNUMBER(SEARCH("ISO Arabia",M147)),"Certification",
        ISNUMBER(SEARCH("Khalid Saad Al Otaibi",M147)),"Trading Company",
        ISNUMBER(SEARCH("MERAS for Decoration",M147)),"Decor Company",
        ISNUMBER(SEARCH("Middle East Customs Clearance",M147)),"Customs",
        ISNUMBER(SEARCH("Ministry of Human Resources",M147)),"Government",
        ISNUMBER(SEARCH("My Business Services",M147)),"Service Provider",
        ISNUMBER(SEARCH("National Water Company",M147)),"Water Company",
        ISNUMBER(SEARCH("Rania Contracting",M147)),"Contracting",
        ISNUMBER(SEARCH("Rashid Ali Sheikh",M147)),"Shareholder",
        ISNUMBER(SEARCH("Sahab United Motors",M147)),"Car Show Room",
        ISNUMBER(SEARCH("Saud Mohammed Al Tamimi",M147)),"Shareholder",
        ISNUMBER(SEARCH("Saud Mohammed Tamimi",M147)),"Shareholder",
        ISNUMBER(SEARCH("Saudi Electric Company",M147)),"Electricity Company",
        ISNUMBER(SEARCH("Saudi Vetonit",M147)),"Building Materials",
        ISNUMBER(SEARCH("Shomoul Eng",M147)),"Safety",
        ISNUMBER(SEARCH("STC",M147)),"Telecom Company",
        ISNUMBER(SEARCH("The General Organization for Social Insurance",M147)),"Social Insurance Agency",
        ISNUMBER(SEARCH("TUV Rheinland",M147)),"Certification",
        ISNUMBER(SEARCH("Al Arabia Ceramic",M147)),"Building Materials",
        ISNUMBER(SEARCH("National Company for Building and Marketing",M147)),"Parent Company",
        ISNUMBER(SEARCH("Athraa Holding",M147)),"Holding Company",
        ISNUMBER(SEARCH("Al Rasan",M147)),"Contracting",
        ISNUMBER(SEARCH("Raboua Al Haid",M147)),"Trading Company",
        ISNUMBER(SEARCH("Al Jazeera Paint",M147)),"Manufacturer",
        ISNUMBER(SEARCH("Rania Works Contracting",M147)),"Contracting",
        ISNUMBER(SEARCH("Bandar Jarallah",M147)),"Trading Establishment",
        ISNUMBER(SEARCH("RS Infratec Saudi",M147)),"Same Company",
        ISNUMBER(SEARCH("Payroll",M147)),"Bank",
        ISNUMBER(SEARCH("Expatriate",M147)),"Government",
        ISNUMBER(SEARCH("Unknown Sender",M147)),"Unknown",
        TRUE,"Unknown"
    ),
    "-"
)</f>
        <v>Unknown</v>
      </c>
      <c r="AA147" s="25" t="str" cm="1">
        <f t="array" ref="AA147">_xlfn.IFNA(
    _xlfn.IFS(
        Z147="Lender","Financing",
        Z147="Accounting","Accounting",
        Z147="Shareholder","Individual",
        Z147="Equipment Rental","Equipment Rental",
        Z147="Telecom Company","Telecom",
        Z147="Manufacturer","Manufacturer",
        Z147="Trading Company","Trading And Transport",
        Z147="Trading Establishment","Trading",
        Z147="Airlines","Airlines",
        Z147="Health Insurance","Insurance",
        Z147="Consultant","Consultant",
        Z147="Tax Collection","Government",
        Z147="Travel Agency","Travel Agency",
        Z147="Medical Services","Medical Center",
        Z147="Online Payment Service","Payment Facilitator",
        Z147="Certification","Safety",
        Z147="Decor Company","Design",
        Z147="Customs","Customs",
        Z147="Government","Government",
        Z147="Service Provider","Service Provider",
        Z147="Water Company","Water Company",
        Z147="Contracting","Contracting",
        Z147="Car Show Room","Car Trader",
        Z147="Electricity Company","Electricity Company",
        Z147="Building Materials","Building Materials",
        Z147="Safety","Safety",
        Z147="Social Insurance Agency","Government Fund",
        Z147="Parent Company","Holding Company",
        Z147="Holding Company","Holding Company",
        Z147="Same Company","Construction",
        Z147="Bank","Bank",
        Z147="Unknown","Unknown",
        TRUE,"-"
    ),
    "-"
)</f>
        <v>Unknown</v>
      </c>
      <c r="AB147" s="25" t="str">
        <f t="shared" si="9"/>
        <v>-</v>
      </c>
      <c r="AC147" s="25" t="str" cm="1">
        <f t="array" ref="AC147">_xlfn.IFNA(
    _xlfn.IFS(
        Z147="Shareholder","Shareholder",
        Z147="Same Company","Same Company",
        Z147="Bank","Bank",
        Z147="Government","Government",
        Z147="Social Insurance Agency","Government",
        Z147="Parent Company","Customer",
        Z147="Lender","Lender",
        Z147="Unknown","Unknown",
        ISNUMBER(SEARCH("Abdullah Abdulkarim",M147)),"Service Provider",
        ISNUMBER(SEARCH("Abdullah Fahad",M147)),"Service Provider",
        ISNUMBER(SEARCH("Advanced Equipments",M147)),"Supplier",
        ISNUMBER(SEARCH("Al Banuk Sana",M147)),"Supplier",
        ISNUMBER(SEARCH("Al Khaleefa Factory",M147)),"Supplier",
        ISNUMBER(SEARCH("Al Saadeh Trading",M147)),"Supplier",
        ISNUMBER(SEARCH("Al Zaehaan",M147)),"Supplier",
        ISNUMBER(SEARCH("Ali Abdullah K Al Darwish",M147)),"Service Provider",
        ISNUMBER(SEARCH("Bupa Arabia",M147)),"Insurance Company",
        ISNUMBER(SEARCH("Dar Fahoosaat",M147)),"Service Provider",
        ISNUMBER(SEARCH("General Authority of Zakat",M147)),"Tax Authority",
        ISNUMBER(SEARCH("Gulf Voyager",M147)),"Service Provider",
        ISNUMBER(SEARCH("Hopeway Trading",M147)),"Supplier",
        ISNUMBER(SEARCH("Interhealth Medical",M147)),"Customer",
        ISNUMBER(SEARCH("Ishaar",M147)),"Service Provider",
        ISNUMBER(SEARCH("ISO Arabia",M147)),"Service Provider",
        ISNUMBER(SEARCH("Khalid Saad Al Otaibi",M147)),"Supplier",
        ISNUMBER(SEARCH("MERAS for Decoration",M147)),"Supplier",
        ISNUMBER(SEARCH("Middle East Customs Clearance",M147)),"Service Provider",
        ISNUMBER(SEARCH("Ministry of Human Resources",M147)),"Regulatory Agency",
        ISNUMBER(SEARCH("My Business Services",M147)),"Service Provider",
        ISNUMBER(SEARCH("National Water Company",M147)),"Utility Provider",
        ISNUMBER(SEARCH("Rania Contracting",M147)),"Supplier",
        ISNUMBER(SEARCH("Sahab United Motors",M147)),"Supplier",
        ISNUMBER(SEARCH("Saudi Electric Company",M147)),"Utility Provider",
        ISNUMBER(SEARCH("Saudi Vetonit",M147)),"Supplier",
        ISNUMBER(SEARCH("Shomoul Eng",M147)),"Service Provider",
        ISNUMBER(SEARCH("STC",M147)),"Utility Provider",
        ISNUMBER(SEARCH("The General Organization for Social Insurance",M147)),"Social Insurance Agency",
        ISNUMBER(SEARCH("TUV Rheinland",M147)),"Service Provider",
        ISNUMBER(SEARCH("Al Arabia Ceramic",M147)),"Supplier",
        ISNUMBER(SEARCH("National Company for Building",M147)),"Customer",
        ISNUMBER(SEARCH("Athraa Holding",M147)),"Customer",
        ISNUMBER(SEARCH("Al Rasan",M147)),"Supplier",
        ISNUMBER(SEARCH("Raboua Al Haid",M147)),"Customer",
        ISNUMBER(SEARCH("Al Jazeera Paint",M147)),"Supplier",
        ISNUMBER(SEARCH("Rania Works Contracting",M147)),"Supplier",
        ISNUMBER(SEARCH("Bandar Jarallah",M147)),"Supplier",
        TRUE,"Supplier"
    ),
    "-"
)</f>
        <v>Unknown</v>
      </c>
      <c r="AD147" s="25" t="str" cm="1">
        <f t="array" ref="AD147">_xlfn.IFNA(
    _xlfn.IFS(
        AC147="Same Company","High",
        AC147="Shareholder","High",
        AC147="Government","High",
        AC147="Bank","High",
        AC147="Lender","High",
        AC147="Unknown","Low",
        AC147="-","Low",
        TRUE,"Medium"
    ),
    "-"
)</f>
        <v>Low</v>
      </c>
      <c r="AE147" s="25" t="str">
        <f t="shared" si="10"/>
        <v>-</v>
      </c>
      <c r="AF147" s="25" t="str" cm="1">
        <f t="array" ref="AF147">_xlfn.IFNA(
    _xlfn.IFS(
        K147="Credit",
            _xlfn.IFS(
                OR(ISNUMBER(SEARCH("Rejected",L147)),ISNUMBER(SEARCH("Returned",L147))),"Other Income",
                TRUE,"Revenue"
            ),
        K147="Debit",
            _xlfn.IFS(
                ISNUMBER(SEARCH("Payroll",L147)),"OPEX",
                ISNUMBER(SEARCH("Expatriate",L147)),"OPEX",
                ISNUMBER(SEARCH("Zakat",M147)),"ZATCA",
                ISNUMBER(SEARCH("General Organization for Social Insurance",M147)),"OPEX",
                ISNUMBER(SEARCH("Saudi Electric",M147)),"OPEX",
                ISNUMBER(SEARCH("STC",M147)),"OPEX",
                ISNUMBER(SEARCH("National Water",M147)),"OPEX",
                ISNUMBER(SEARCH("Bupa",M147)),"OPEX",
                ISNUMBER(SEARCH("Abdullah Abdulkarim",M147)),"OPEX",
                ISNUMBER(SEARCH("Abdullah Fahad",M147)),"OPEX",
                ISNUMBER(SEARCH("ISO Arabia",M147)),"OPEX",
                ISNUMBER(SEARCH("Gulf Voyager",M147)),"OPEX",
                ISNUMBER(SEARCH("Ministry",M147)),"OPEX",
                ISNUMBER(SEARCH("General Authority of Zakat",M147)),"ZATCA",
                ISNUMBER(SEARCH("Rejected",L147)),"Other Income",
                TRUE,"COGS"
            ),
        TRUE,"-"
    ),
    "-"
)</f>
        <v>Revenue</v>
      </c>
      <c r="AG147" s="25" t="str" cm="1">
        <f t="array" ref="AG147">_xlfn.IFNA(
    _xlfn.IFS(
        ISNUMBER(SEARCH("Payroll",L147)),"Payroll",
        ISNUMBER(SEARCH("Expatriate",L147)),"Government Fees",
        ISNUMBER(SEARCH("Zakat",M147)),"Zakat",
        ISNUMBER(SEARCH("Social Insurance",M147)),"Social Insurance",
        ISNUMBER(SEARCH("Saudi Electric",M147)),"Electricity",
        ISNUMBER(SEARCH("STC",M147)),"Telecom",
        ISNUMBER(SEARCH("National Water",M147)),"Water",
        ISNUMBER(SEARCH("Bupa",M147)),"Insurance",
        ISNUMBER(SEARCH("Gulf Voyager",M147)),"Travel",
        ISNUMBER(SEARCH("Ministry",M147)),"Government Fees",
        ISNUMBER(SEARCH("Abdullah Abdulkarim",M147)),"Consulting",
        ISNUMBER(SEARCH("Abdullah Fahad",M147)),"Accounting",
        ISNUMBER(SEARCH("ISO Arabia",M147)),"Consulting",
        ISNUMBER(SEARCH("Rejected",L147)),"Refund",
        AF147="COGS","Inventory Purchase",
        AF147="Revenue","Revenue",
        AF147="OPEX","Other",
        AF147="ZATCA","Zakat",
        TRUE,"-"
    ),
    "-"
)</f>
        <v>Revenue</v>
      </c>
      <c r="AH147" s="25" t="str" cm="1">
        <f t="array" ref="AH147">_xlfn.IFNA(
    _xlfn.IFS(
        AF147="-","Low",
        AF147="Other","Low",
        TRUE,"Medium"
    ),
    "-"
)</f>
        <v>Medium</v>
      </c>
      <c r="AI147" s="25" t="str">
        <f t="shared" si="11"/>
        <v>-</v>
      </c>
    </row>
    <row r="148" spans="1:35" x14ac:dyDescent="0.25">
      <c r="A148" s="10">
        <v>59</v>
      </c>
      <c r="B148" s="10" t="s">
        <v>35</v>
      </c>
      <c r="C148" s="10" t="s">
        <v>36</v>
      </c>
      <c r="D148" s="10" t="s">
        <v>37</v>
      </c>
      <c r="E148" s="10" t="s">
        <v>38</v>
      </c>
      <c r="F148" s="11" t="s">
        <v>39</v>
      </c>
      <c r="G148" s="11" t="s">
        <v>40</v>
      </c>
      <c r="H148" s="12">
        <v>44935</v>
      </c>
      <c r="I148" s="20">
        <v>217495.92</v>
      </c>
      <c r="J148" s="20">
        <v>200000</v>
      </c>
      <c r="K148" s="10" t="s">
        <v>116</v>
      </c>
      <c r="L148" s="9" t="s">
        <v>230</v>
      </c>
      <c r="M148" s="9" t="s">
        <v>231</v>
      </c>
      <c r="N148" s="9" t="s">
        <v>232</v>
      </c>
      <c r="O148" s="9" t="s">
        <v>233</v>
      </c>
      <c r="P148" s="15">
        <v>44935</v>
      </c>
      <c r="Q148" s="9" t="s">
        <v>240</v>
      </c>
      <c r="R148" s="16">
        <v>200000</v>
      </c>
      <c r="U148" s="9" t="s">
        <v>55</v>
      </c>
      <c r="V148" s="24" t="str" cm="1">
        <f t="array" ref="V148">_xlfn.IFNA(
    _xlfn.IFS(
        ISNUMBER(SEARCH("Fast Outgoing Transfer",L148)),"Transfer",
        ISNUMBER(SEARCH("Incoming Fast Transfer",L148)),"Transfer",
        ISNUMBER(SEARCH("Outgoing International Transfer",L148)),"Transfer",
        ISNUMBER(SEARCH("Bill Payment",L148)),"SADAD",
        ISNUMBER(SEARCH("Payroll",L148)),"Payroll",
        ISNUMBER(SEARCH("Cash Deposit",L148)),"Cash",
        ISNUMBER(SEARCH("Internal Transfer",L148)),"Transfer",
        ISNUMBER(SEARCH("Expatriate Services Payment",L148)),"SADAD",
        ISNUMBER(SEARCH("Rejected",L148)),"Transfer"
    ),
    "-"
)</f>
        <v>Transfer</v>
      </c>
      <c r="W148" s="25" t="str" cm="1">
        <f t="array" ref="W148">_xlfn.IFNA(
    _xlfn.IFS(
        AND(V148="Transfer",ISNUMBER(SEARCH("RIYAD BANK",L148))),"External FI",
        AND(V148="Transfer",ISNUMBER(SEARCH("Al Ahli",L148))),"External FI",
        AND(V148="Transfer",ISNUMBER(SEARCH("CIB via",L148))),"Local Transfer",
        AND(V148="Transfer",ISNUMBER(SEARCH("CIB)",L148))),"Local Transfer",
        AND(V148="Transfer",ISNUMBER(SEARCH("SMRT",L148))),"Local Transfer",
        AND(V148="Transfer",ISNUMBER(SEARCH("Al Murabba",L148))),"Local Transfer",
        AND(V148="Transfer",ISNUMBER(SEARCH("Internal Transfer",L148))),"Same FI",
        AND(V148="Transfer",ISNUMBER(SEARCH("Rejected",L148))),"Failed",
        V148="SADAD",
            _xlfn.IFS(
                ISNUMBER(SEARCH("Expatriate",L148)),"Expat Fees",
                TRUE,"Online Payment"
            ),
        V148="Payroll","Payroll",
        V148="Cash","Deposit",
        TRUE,"-"
    ),
    "-"
)</f>
        <v>External FI</v>
      </c>
      <c r="X148" s="25" t="str" cm="1">
        <f t="array" ref="X148">_xlfn.IFNA(
    _xlfn.IFS(
        V148="-","Low",
        W148="-","Low",
        TRUE,"High"
    ),
    "-"
)</f>
        <v>High</v>
      </c>
      <c r="Y148" s="25" t="str">
        <f t="shared" si="8"/>
        <v>-</v>
      </c>
      <c r="Z148" s="25" t="str" cm="1">
        <f t="array" ref="Z148">_xlfn.IFNA(
    _xlfn.IFS(
        ISNUMBER(SEARCH("Abdul Latif Jameel",M148)),"Lender",
        ISNUMBER(SEARCH("Abdullah Abdulkarim Al Sudais",M148)),"Accounting",
        ISNUMBER(SEARCH("Abdullah Fahad for Accounting",M148)),"Accounting",
        ISNUMBER(SEARCH("Abdullah Rashid Shaikh",M148)),"Shareholder",
        ISNUMBER(SEARCH("Advanced Equipments",M148)),"Equipment Rental",
        ISNUMBER(SEARCH("Al Banuk Sana",M148)),"Telecom Company",
        ISNUMBER(SEARCH("Al Khaleefa Factory",M148)),"Manufacturer",
        ISNUMBER(SEARCH("Al Saadeh Trading",M148)),"Trading Company",
        ISNUMBER(SEARCH("Al Zaehaan",M148)),"Trading Company",
        ISNUMBER(SEARCH("Ali Abdullah K Al Darwish",M148)),"Airlines",
        ISNUMBER(SEARCH("Bupa Arabia",M148)),"Health Insurance",
        ISNUMBER(SEARCH("Dar Fahoosaat",M148)),"Consultant",
        ISNUMBER(SEARCH("General Authority of Zakat",M148)),"Tax Collection",
        ISNUMBER(SEARCH("Gulf Voyager",M148)),"Travel Agency",
        ISNUMBER(SEARCH("Hopeway Trading",M148)),"Trading Company",
        ISNUMBER(SEARCH("Interhealth Medical",M148)),"Medical Services",
        ISNUMBER(SEARCH("Ishaar",M148)),"Online Payment Service",
        ISNUMBER(SEARCH("ISO Arabia",M148)),"Certification",
        ISNUMBER(SEARCH("Khalid Saad Al Otaibi",M148)),"Trading Company",
        ISNUMBER(SEARCH("MERAS for Decoration",M148)),"Decor Company",
        ISNUMBER(SEARCH("Middle East Customs Clearance",M148)),"Customs",
        ISNUMBER(SEARCH("Ministry of Human Resources",M148)),"Government",
        ISNUMBER(SEARCH("My Business Services",M148)),"Service Provider",
        ISNUMBER(SEARCH("National Water Company",M148)),"Water Company",
        ISNUMBER(SEARCH("Rania Contracting",M148)),"Contracting",
        ISNUMBER(SEARCH("Rashid Ali Sheikh",M148)),"Shareholder",
        ISNUMBER(SEARCH("Sahab United Motors",M148)),"Car Show Room",
        ISNUMBER(SEARCH("Saud Mohammed Al Tamimi",M148)),"Shareholder",
        ISNUMBER(SEARCH("Saud Mohammed Tamimi",M148)),"Shareholder",
        ISNUMBER(SEARCH("Saudi Electric Company",M148)),"Electricity Company",
        ISNUMBER(SEARCH("Saudi Vetonit",M148)),"Building Materials",
        ISNUMBER(SEARCH("Shomoul Eng",M148)),"Safety",
        ISNUMBER(SEARCH("STC",M148)),"Telecom Company",
        ISNUMBER(SEARCH("The General Organization for Social Insurance",M148)),"Social Insurance Agency",
        ISNUMBER(SEARCH("TUV Rheinland",M148)),"Certification",
        ISNUMBER(SEARCH("Al Arabia Ceramic",M148)),"Building Materials",
        ISNUMBER(SEARCH("National Company for Building and Marketing",M148)),"Parent Company",
        ISNUMBER(SEARCH("Athraa Holding",M148)),"Holding Company",
        ISNUMBER(SEARCH("Al Rasan",M148)),"Contracting",
        ISNUMBER(SEARCH("Raboua Al Haid",M148)),"Trading Company",
        ISNUMBER(SEARCH("Al Jazeera Paint",M148)),"Manufacturer",
        ISNUMBER(SEARCH("Rania Works Contracting",M148)),"Contracting",
        ISNUMBER(SEARCH("Bandar Jarallah",M148)),"Trading Establishment",
        ISNUMBER(SEARCH("RS Infratec Saudi",M148)),"Same Company",
        ISNUMBER(SEARCH("Payroll",M148)),"Bank",
        ISNUMBER(SEARCH("Expatriate",M148)),"Government",
        ISNUMBER(SEARCH("Unknown Sender",M148)),"Unknown",
        TRUE,"Unknown"
    ),
    "-"
)</f>
        <v>Parent Company</v>
      </c>
      <c r="AA148" s="25" t="str" cm="1">
        <f t="array" ref="AA148">_xlfn.IFNA(
    _xlfn.IFS(
        Z148="Lender","Financing",
        Z148="Accounting","Accounting",
        Z148="Shareholder","Individual",
        Z148="Equipment Rental","Equipment Rental",
        Z148="Telecom Company","Telecom",
        Z148="Manufacturer","Manufacturer",
        Z148="Trading Company","Trading And Transport",
        Z148="Trading Establishment","Trading",
        Z148="Airlines","Airlines",
        Z148="Health Insurance","Insurance",
        Z148="Consultant","Consultant",
        Z148="Tax Collection","Government",
        Z148="Travel Agency","Travel Agency",
        Z148="Medical Services","Medical Center",
        Z148="Online Payment Service","Payment Facilitator",
        Z148="Certification","Safety",
        Z148="Decor Company","Design",
        Z148="Customs","Customs",
        Z148="Government","Government",
        Z148="Service Provider","Service Provider",
        Z148="Water Company","Water Company",
        Z148="Contracting","Contracting",
        Z148="Car Show Room","Car Trader",
        Z148="Electricity Company","Electricity Company",
        Z148="Building Materials","Building Materials",
        Z148="Safety","Safety",
        Z148="Social Insurance Agency","Government Fund",
        Z148="Parent Company","Holding Company",
        Z148="Holding Company","Holding Company",
        Z148="Same Company","Construction",
        Z148="Bank","Bank",
        Z148="Unknown","Unknown",
        TRUE,"-"
    ),
    "-"
)</f>
        <v>Holding Company</v>
      </c>
      <c r="AB148" s="25" t="str">
        <f t="shared" si="9"/>
        <v>-</v>
      </c>
      <c r="AC148" s="25" t="str" cm="1">
        <f t="array" ref="AC148">_xlfn.IFNA(
    _xlfn.IFS(
        Z148="Shareholder","Shareholder",
        Z148="Same Company","Same Company",
        Z148="Bank","Bank",
        Z148="Government","Government",
        Z148="Social Insurance Agency","Government",
        Z148="Parent Company","Customer",
        Z148="Lender","Lender",
        Z148="Unknown","Unknown",
        ISNUMBER(SEARCH("Abdullah Abdulkarim",M148)),"Service Provider",
        ISNUMBER(SEARCH("Abdullah Fahad",M148)),"Service Provider",
        ISNUMBER(SEARCH("Advanced Equipments",M148)),"Supplier",
        ISNUMBER(SEARCH("Al Banuk Sana",M148)),"Supplier",
        ISNUMBER(SEARCH("Al Khaleefa Factory",M148)),"Supplier",
        ISNUMBER(SEARCH("Al Saadeh Trading",M148)),"Supplier",
        ISNUMBER(SEARCH("Al Zaehaan",M148)),"Supplier",
        ISNUMBER(SEARCH("Ali Abdullah K Al Darwish",M148)),"Service Provider",
        ISNUMBER(SEARCH("Bupa Arabia",M148)),"Insurance Company",
        ISNUMBER(SEARCH("Dar Fahoosaat",M148)),"Service Provider",
        ISNUMBER(SEARCH("General Authority of Zakat",M148)),"Tax Authority",
        ISNUMBER(SEARCH("Gulf Voyager",M148)),"Service Provider",
        ISNUMBER(SEARCH("Hopeway Trading",M148)),"Supplier",
        ISNUMBER(SEARCH("Interhealth Medical",M148)),"Customer",
        ISNUMBER(SEARCH("Ishaar",M148)),"Service Provider",
        ISNUMBER(SEARCH("ISO Arabia",M148)),"Service Provider",
        ISNUMBER(SEARCH("Khalid Saad Al Otaibi",M148)),"Supplier",
        ISNUMBER(SEARCH("MERAS for Decoration",M148)),"Supplier",
        ISNUMBER(SEARCH("Middle East Customs Clearance",M148)),"Service Provider",
        ISNUMBER(SEARCH("Ministry of Human Resources",M148)),"Regulatory Agency",
        ISNUMBER(SEARCH("My Business Services",M148)),"Service Provider",
        ISNUMBER(SEARCH("National Water Company",M148)),"Utility Provider",
        ISNUMBER(SEARCH("Rania Contracting",M148)),"Supplier",
        ISNUMBER(SEARCH("Sahab United Motors",M148)),"Supplier",
        ISNUMBER(SEARCH("Saudi Electric Company",M148)),"Utility Provider",
        ISNUMBER(SEARCH("Saudi Vetonit",M148)),"Supplier",
        ISNUMBER(SEARCH("Shomoul Eng",M148)),"Service Provider",
        ISNUMBER(SEARCH("STC",M148)),"Utility Provider",
        ISNUMBER(SEARCH("The General Organization for Social Insurance",M148)),"Social Insurance Agency",
        ISNUMBER(SEARCH("TUV Rheinland",M148)),"Service Provider",
        ISNUMBER(SEARCH("Al Arabia Ceramic",M148)),"Supplier",
        ISNUMBER(SEARCH("National Company for Building",M148)),"Customer",
        ISNUMBER(SEARCH("Athraa Holding",M148)),"Customer",
        ISNUMBER(SEARCH("Al Rasan",M148)),"Supplier",
        ISNUMBER(SEARCH("Raboua Al Haid",M148)),"Customer",
        ISNUMBER(SEARCH("Al Jazeera Paint",M148)),"Supplier",
        ISNUMBER(SEARCH("Rania Works Contracting",M148)),"Supplier",
        ISNUMBER(SEARCH("Bandar Jarallah",M148)),"Supplier",
        TRUE,"Supplier"
    ),
    "-"
)</f>
        <v>Customer</v>
      </c>
      <c r="AD148" s="25" t="str" cm="1">
        <f t="array" ref="AD148">_xlfn.IFNA(
    _xlfn.IFS(
        AC148="Same Company","High",
        AC148="Shareholder","High",
        AC148="Government","High",
        AC148="Bank","High",
        AC148="Lender","High",
        AC148="Unknown","Low",
        AC148="-","Low",
        TRUE,"Medium"
    ),
    "-"
)</f>
        <v>Medium</v>
      </c>
      <c r="AE148" s="25" t="str">
        <f t="shared" si="10"/>
        <v>-</v>
      </c>
      <c r="AF148" s="25" t="str" cm="1">
        <f t="array" ref="AF148">_xlfn.IFNA(
    _xlfn.IFS(
        K148="Credit",
            _xlfn.IFS(
                OR(ISNUMBER(SEARCH("Rejected",L148)),ISNUMBER(SEARCH("Returned",L148))),"Other Income",
                TRUE,"Revenue"
            ),
        K148="Debit",
            _xlfn.IFS(
                ISNUMBER(SEARCH("Payroll",L148)),"OPEX",
                ISNUMBER(SEARCH("Expatriate",L148)),"OPEX",
                ISNUMBER(SEARCH("Zakat",M148)),"ZATCA",
                ISNUMBER(SEARCH("General Organization for Social Insurance",M148)),"OPEX",
                ISNUMBER(SEARCH("Saudi Electric",M148)),"OPEX",
                ISNUMBER(SEARCH("STC",M148)),"OPEX",
                ISNUMBER(SEARCH("National Water",M148)),"OPEX",
                ISNUMBER(SEARCH("Bupa",M148)),"OPEX",
                ISNUMBER(SEARCH("Abdullah Abdulkarim",M148)),"OPEX",
                ISNUMBER(SEARCH("Abdullah Fahad",M148)),"OPEX",
                ISNUMBER(SEARCH("ISO Arabia",M148)),"OPEX",
                ISNUMBER(SEARCH("Gulf Voyager",M148)),"OPEX",
                ISNUMBER(SEARCH("Ministry",M148)),"OPEX",
                ISNUMBER(SEARCH("General Authority of Zakat",M148)),"ZATCA",
                ISNUMBER(SEARCH("Rejected",L148)),"Other Income",
                TRUE,"COGS"
            ),
        TRUE,"-"
    ),
    "-"
)</f>
        <v>Revenue</v>
      </c>
      <c r="AG148" s="25" t="str" cm="1">
        <f t="array" ref="AG148">_xlfn.IFNA(
    _xlfn.IFS(
        ISNUMBER(SEARCH("Payroll",L148)),"Payroll",
        ISNUMBER(SEARCH("Expatriate",L148)),"Government Fees",
        ISNUMBER(SEARCH("Zakat",M148)),"Zakat",
        ISNUMBER(SEARCH("Social Insurance",M148)),"Social Insurance",
        ISNUMBER(SEARCH("Saudi Electric",M148)),"Electricity",
        ISNUMBER(SEARCH("STC",M148)),"Telecom",
        ISNUMBER(SEARCH("National Water",M148)),"Water",
        ISNUMBER(SEARCH("Bupa",M148)),"Insurance",
        ISNUMBER(SEARCH("Gulf Voyager",M148)),"Travel",
        ISNUMBER(SEARCH("Ministry",M148)),"Government Fees",
        ISNUMBER(SEARCH("Abdullah Abdulkarim",M148)),"Consulting",
        ISNUMBER(SEARCH("Abdullah Fahad",M148)),"Accounting",
        ISNUMBER(SEARCH("ISO Arabia",M148)),"Consulting",
        ISNUMBER(SEARCH("Rejected",L148)),"Refund",
        AF148="COGS","Inventory Purchase",
        AF148="Revenue","Revenue",
        AF148="OPEX","Other",
        AF148="ZATCA","Zakat",
        TRUE,"-"
    ),
    "-"
)</f>
        <v>Revenue</v>
      </c>
      <c r="AH148" s="25" t="str" cm="1">
        <f t="array" ref="AH148">_xlfn.IFNA(
    _xlfn.IFS(
        AF148="-","Low",
        AF148="Other","Low",
        TRUE,"Medium"
    ),
    "-"
)</f>
        <v>Medium</v>
      </c>
      <c r="AI148" s="25" t="str">
        <f t="shared" si="11"/>
        <v>-</v>
      </c>
    </row>
    <row r="149" spans="1:35" x14ac:dyDescent="0.25">
      <c r="A149" s="10">
        <v>59</v>
      </c>
      <c r="B149" s="10" t="s">
        <v>35</v>
      </c>
      <c r="C149" s="10" t="s">
        <v>36</v>
      </c>
      <c r="D149" s="10" t="s">
        <v>37</v>
      </c>
      <c r="E149" s="10" t="s">
        <v>38</v>
      </c>
      <c r="F149" s="11" t="s">
        <v>39</v>
      </c>
      <c r="G149" s="11" t="s">
        <v>40</v>
      </c>
      <c r="H149" s="12">
        <v>44938</v>
      </c>
      <c r="I149" s="20">
        <v>150577.56</v>
      </c>
      <c r="J149" s="20">
        <v>150000</v>
      </c>
      <c r="K149" s="10" t="s">
        <v>116</v>
      </c>
      <c r="L149" s="9" t="s">
        <v>230</v>
      </c>
      <c r="M149" s="9" t="s">
        <v>231</v>
      </c>
      <c r="N149" s="9" t="s">
        <v>232</v>
      </c>
      <c r="O149" s="9" t="s">
        <v>233</v>
      </c>
      <c r="P149" s="15">
        <v>44938</v>
      </c>
      <c r="Q149" s="9" t="s">
        <v>241</v>
      </c>
      <c r="R149" s="16">
        <v>150000</v>
      </c>
      <c r="U149" s="9" t="s">
        <v>55</v>
      </c>
      <c r="V149" s="24" t="str" cm="1">
        <f t="array" ref="V149">_xlfn.IFNA(
    _xlfn.IFS(
        ISNUMBER(SEARCH("Fast Outgoing Transfer",L149)),"Transfer",
        ISNUMBER(SEARCH("Incoming Fast Transfer",L149)),"Transfer",
        ISNUMBER(SEARCH("Outgoing International Transfer",L149)),"Transfer",
        ISNUMBER(SEARCH("Bill Payment",L149)),"SADAD",
        ISNUMBER(SEARCH("Payroll",L149)),"Payroll",
        ISNUMBER(SEARCH("Cash Deposit",L149)),"Cash",
        ISNUMBER(SEARCH("Internal Transfer",L149)),"Transfer",
        ISNUMBER(SEARCH("Expatriate Services Payment",L149)),"SADAD",
        ISNUMBER(SEARCH("Rejected",L149)),"Transfer"
    ),
    "-"
)</f>
        <v>Transfer</v>
      </c>
      <c r="W149" s="25" t="str" cm="1">
        <f t="array" ref="W149">_xlfn.IFNA(
    _xlfn.IFS(
        AND(V149="Transfer",ISNUMBER(SEARCH("RIYAD BANK",L149))),"External FI",
        AND(V149="Transfer",ISNUMBER(SEARCH("Al Ahli",L149))),"External FI",
        AND(V149="Transfer",ISNUMBER(SEARCH("CIB via",L149))),"Local Transfer",
        AND(V149="Transfer",ISNUMBER(SEARCH("CIB)",L149))),"Local Transfer",
        AND(V149="Transfer",ISNUMBER(SEARCH("SMRT",L149))),"Local Transfer",
        AND(V149="Transfer",ISNUMBER(SEARCH("Al Murabba",L149))),"Local Transfer",
        AND(V149="Transfer",ISNUMBER(SEARCH("Internal Transfer",L149))),"Same FI",
        AND(V149="Transfer",ISNUMBER(SEARCH("Rejected",L149))),"Failed",
        V149="SADAD",
            _xlfn.IFS(
                ISNUMBER(SEARCH("Expatriate",L149)),"Expat Fees",
                TRUE,"Online Payment"
            ),
        V149="Payroll","Payroll",
        V149="Cash","Deposit",
        TRUE,"-"
    ),
    "-"
)</f>
        <v>External FI</v>
      </c>
      <c r="X149" s="25" t="str" cm="1">
        <f t="array" ref="X149">_xlfn.IFNA(
    _xlfn.IFS(
        V149="-","Low",
        W149="-","Low",
        TRUE,"High"
    ),
    "-"
)</f>
        <v>High</v>
      </c>
      <c r="Y149" s="25" t="str">
        <f t="shared" si="8"/>
        <v>-</v>
      </c>
      <c r="Z149" s="25" t="str" cm="1">
        <f t="array" ref="Z149">_xlfn.IFNA(
    _xlfn.IFS(
        ISNUMBER(SEARCH("Abdul Latif Jameel",M149)),"Lender",
        ISNUMBER(SEARCH("Abdullah Abdulkarim Al Sudais",M149)),"Accounting",
        ISNUMBER(SEARCH("Abdullah Fahad for Accounting",M149)),"Accounting",
        ISNUMBER(SEARCH("Abdullah Rashid Shaikh",M149)),"Shareholder",
        ISNUMBER(SEARCH("Advanced Equipments",M149)),"Equipment Rental",
        ISNUMBER(SEARCH("Al Banuk Sana",M149)),"Telecom Company",
        ISNUMBER(SEARCH("Al Khaleefa Factory",M149)),"Manufacturer",
        ISNUMBER(SEARCH("Al Saadeh Trading",M149)),"Trading Company",
        ISNUMBER(SEARCH("Al Zaehaan",M149)),"Trading Company",
        ISNUMBER(SEARCH("Ali Abdullah K Al Darwish",M149)),"Airlines",
        ISNUMBER(SEARCH("Bupa Arabia",M149)),"Health Insurance",
        ISNUMBER(SEARCH("Dar Fahoosaat",M149)),"Consultant",
        ISNUMBER(SEARCH("General Authority of Zakat",M149)),"Tax Collection",
        ISNUMBER(SEARCH("Gulf Voyager",M149)),"Travel Agency",
        ISNUMBER(SEARCH("Hopeway Trading",M149)),"Trading Company",
        ISNUMBER(SEARCH("Interhealth Medical",M149)),"Medical Services",
        ISNUMBER(SEARCH("Ishaar",M149)),"Online Payment Service",
        ISNUMBER(SEARCH("ISO Arabia",M149)),"Certification",
        ISNUMBER(SEARCH("Khalid Saad Al Otaibi",M149)),"Trading Company",
        ISNUMBER(SEARCH("MERAS for Decoration",M149)),"Decor Company",
        ISNUMBER(SEARCH("Middle East Customs Clearance",M149)),"Customs",
        ISNUMBER(SEARCH("Ministry of Human Resources",M149)),"Government",
        ISNUMBER(SEARCH("My Business Services",M149)),"Service Provider",
        ISNUMBER(SEARCH("National Water Company",M149)),"Water Company",
        ISNUMBER(SEARCH("Rania Contracting",M149)),"Contracting",
        ISNUMBER(SEARCH("Rashid Ali Sheikh",M149)),"Shareholder",
        ISNUMBER(SEARCH("Sahab United Motors",M149)),"Car Show Room",
        ISNUMBER(SEARCH("Saud Mohammed Al Tamimi",M149)),"Shareholder",
        ISNUMBER(SEARCH("Saud Mohammed Tamimi",M149)),"Shareholder",
        ISNUMBER(SEARCH("Saudi Electric Company",M149)),"Electricity Company",
        ISNUMBER(SEARCH("Saudi Vetonit",M149)),"Building Materials",
        ISNUMBER(SEARCH("Shomoul Eng",M149)),"Safety",
        ISNUMBER(SEARCH("STC",M149)),"Telecom Company",
        ISNUMBER(SEARCH("The General Organization for Social Insurance",M149)),"Social Insurance Agency",
        ISNUMBER(SEARCH("TUV Rheinland",M149)),"Certification",
        ISNUMBER(SEARCH("Al Arabia Ceramic",M149)),"Building Materials",
        ISNUMBER(SEARCH("National Company for Building and Marketing",M149)),"Parent Company",
        ISNUMBER(SEARCH("Athraa Holding",M149)),"Holding Company",
        ISNUMBER(SEARCH("Al Rasan",M149)),"Contracting",
        ISNUMBER(SEARCH("Raboua Al Haid",M149)),"Trading Company",
        ISNUMBER(SEARCH("Al Jazeera Paint",M149)),"Manufacturer",
        ISNUMBER(SEARCH("Rania Works Contracting",M149)),"Contracting",
        ISNUMBER(SEARCH("Bandar Jarallah",M149)),"Trading Establishment",
        ISNUMBER(SEARCH("RS Infratec Saudi",M149)),"Same Company",
        ISNUMBER(SEARCH("Payroll",M149)),"Bank",
        ISNUMBER(SEARCH("Expatriate",M149)),"Government",
        ISNUMBER(SEARCH("Unknown Sender",M149)),"Unknown",
        TRUE,"Unknown"
    ),
    "-"
)</f>
        <v>Parent Company</v>
      </c>
      <c r="AA149" s="25" t="str" cm="1">
        <f t="array" ref="AA149">_xlfn.IFNA(
    _xlfn.IFS(
        Z149="Lender","Financing",
        Z149="Accounting","Accounting",
        Z149="Shareholder","Individual",
        Z149="Equipment Rental","Equipment Rental",
        Z149="Telecom Company","Telecom",
        Z149="Manufacturer","Manufacturer",
        Z149="Trading Company","Trading And Transport",
        Z149="Trading Establishment","Trading",
        Z149="Airlines","Airlines",
        Z149="Health Insurance","Insurance",
        Z149="Consultant","Consultant",
        Z149="Tax Collection","Government",
        Z149="Travel Agency","Travel Agency",
        Z149="Medical Services","Medical Center",
        Z149="Online Payment Service","Payment Facilitator",
        Z149="Certification","Safety",
        Z149="Decor Company","Design",
        Z149="Customs","Customs",
        Z149="Government","Government",
        Z149="Service Provider","Service Provider",
        Z149="Water Company","Water Company",
        Z149="Contracting","Contracting",
        Z149="Car Show Room","Car Trader",
        Z149="Electricity Company","Electricity Company",
        Z149="Building Materials","Building Materials",
        Z149="Safety","Safety",
        Z149="Social Insurance Agency","Government Fund",
        Z149="Parent Company","Holding Company",
        Z149="Holding Company","Holding Company",
        Z149="Same Company","Construction",
        Z149="Bank","Bank",
        Z149="Unknown","Unknown",
        TRUE,"-"
    ),
    "-"
)</f>
        <v>Holding Company</v>
      </c>
      <c r="AB149" s="25" t="str">
        <f t="shared" si="9"/>
        <v>-</v>
      </c>
      <c r="AC149" s="25" t="str" cm="1">
        <f t="array" ref="AC149">_xlfn.IFNA(
    _xlfn.IFS(
        Z149="Shareholder","Shareholder",
        Z149="Same Company","Same Company",
        Z149="Bank","Bank",
        Z149="Government","Government",
        Z149="Social Insurance Agency","Government",
        Z149="Parent Company","Customer",
        Z149="Lender","Lender",
        Z149="Unknown","Unknown",
        ISNUMBER(SEARCH("Abdullah Abdulkarim",M149)),"Service Provider",
        ISNUMBER(SEARCH("Abdullah Fahad",M149)),"Service Provider",
        ISNUMBER(SEARCH("Advanced Equipments",M149)),"Supplier",
        ISNUMBER(SEARCH("Al Banuk Sana",M149)),"Supplier",
        ISNUMBER(SEARCH("Al Khaleefa Factory",M149)),"Supplier",
        ISNUMBER(SEARCH("Al Saadeh Trading",M149)),"Supplier",
        ISNUMBER(SEARCH("Al Zaehaan",M149)),"Supplier",
        ISNUMBER(SEARCH("Ali Abdullah K Al Darwish",M149)),"Service Provider",
        ISNUMBER(SEARCH("Bupa Arabia",M149)),"Insurance Company",
        ISNUMBER(SEARCH("Dar Fahoosaat",M149)),"Service Provider",
        ISNUMBER(SEARCH("General Authority of Zakat",M149)),"Tax Authority",
        ISNUMBER(SEARCH("Gulf Voyager",M149)),"Service Provider",
        ISNUMBER(SEARCH("Hopeway Trading",M149)),"Supplier",
        ISNUMBER(SEARCH("Interhealth Medical",M149)),"Customer",
        ISNUMBER(SEARCH("Ishaar",M149)),"Service Provider",
        ISNUMBER(SEARCH("ISO Arabia",M149)),"Service Provider",
        ISNUMBER(SEARCH("Khalid Saad Al Otaibi",M149)),"Supplier",
        ISNUMBER(SEARCH("MERAS for Decoration",M149)),"Supplier",
        ISNUMBER(SEARCH("Middle East Customs Clearance",M149)),"Service Provider",
        ISNUMBER(SEARCH("Ministry of Human Resources",M149)),"Regulatory Agency",
        ISNUMBER(SEARCH("My Business Services",M149)),"Service Provider",
        ISNUMBER(SEARCH("National Water Company",M149)),"Utility Provider",
        ISNUMBER(SEARCH("Rania Contracting",M149)),"Supplier",
        ISNUMBER(SEARCH("Sahab United Motors",M149)),"Supplier",
        ISNUMBER(SEARCH("Saudi Electric Company",M149)),"Utility Provider",
        ISNUMBER(SEARCH("Saudi Vetonit",M149)),"Supplier",
        ISNUMBER(SEARCH("Shomoul Eng",M149)),"Service Provider",
        ISNUMBER(SEARCH("STC",M149)),"Utility Provider",
        ISNUMBER(SEARCH("The General Organization for Social Insurance",M149)),"Social Insurance Agency",
        ISNUMBER(SEARCH("TUV Rheinland",M149)),"Service Provider",
        ISNUMBER(SEARCH("Al Arabia Ceramic",M149)),"Supplier",
        ISNUMBER(SEARCH("National Company for Building",M149)),"Customer",
        ISNUMBER(SEARCH("Athraa Holding",M149)),"Customer",
        ISNUMBER(SEARCH("Al Rasan",M149)),"Supplier",
        ISNUMBER(SEARCH("Raboua Al Haid",M149)),"Customer",
        ISNUMBER(SEARCH("Al Jazeera Paint",M149)),"Supplier",
        ISNUMBER(SEARCH("Rania Works Contracting",M149)),"Supplier",
        ISNUMBER(SEARCH("Bandar Jarallah",M149)),"Supplier",
        TRUE,"Supplier"
    ),
    "-"
)</f>
        <v>Customer</v>
      </c>
      <c r="AD149" s="25" t="str" cm="1">
        <f t="array" ref="AD149">_xlfn.IFNA(
    _xlfn.IFS(
        AC149="Same Company","High",
        AC149="Shareholder","High",
        AC149="Government","High",
        AC149="Bank","High",
        AC149="Lender","High",
        AC149="Unknown","Low",
        AC149="-","Low",
        TRUE,"Medium"
    ),
    "-"
)</f>
        <v>Medium</v>
      </c>
      <c r="AE149" s="25" t="str">
        <f t="shared" si="10"/>
        <v>-</v>
      </c>
      <c r="AF149" s="25" t="str" cm="1">
        <f t="array" ref="AF149">_xlfn.IFNA(
    _xlfn.IFS(
        K149="Credit",
            _xlfn.IFS(
                OR(ISNUMBER(SEARCH("Rejected",L149)),ISNUMBER(SEARCH("Returned",L149))),"Other Income",
                TRUE,"Revenue"
            ),
        K149="Debit",
            _xlfn.IFS(
                ISNUMBER(SEARCH("Payroll",L149)),"OPEX",
                ISNUMBER(SEARCH("Expatriate",L149)),"OPEX",
                ISNUMBER(SEARCH("Zakat",M149)),"ZATCA",
                ISNUMBER(SEARCH("General Organization for Social Insurance",M149)),"OPEX",
                ISNUMBER(SEARCH("Saudi Electric",M149)),"OPEX",
                ISNUMBER(SEARCH("STC",M149)),"OPEX",
                ISNUMBER(SEARCH("National Water",M149)),"OPEX",
                ISNUMBER(SEARCH("Bupa",M149)),"OPEX",
                ISNUMBER(SEARCH("Abdullah Abdulkarim",M149)),"OPEX",
                ISNUMBER(SEARCH("Abdullah Fahad",M149)),"OPEX",
                ISNUMBER(SEARCH("ISO Arabia",M149)),"OPEX",
                ISNUMBER(SEARCH("Gulf Voyager",M149)),"OPEX",
                ISNUMBER(SEARCH("Ministry",M149)),"OPEX",
                ISNUMBER(SEARCH("General Authority of Zakat",M149)),"ZATCA",
                ISNUMBER(SEARCH("Rejected",L149)),"Other Income",
                TRUE,"COGS"
            ),
        TRUE,"-"
    ),
    "-"
)</f>
        <v>Revenue</v>
      </c>
      <c r="AG149" s="25" t="str" cm="1">
        <f t="array" ref="AG149">_xlfn.IFNA(
    _xlfn.IFS(
        ISNUMBER(SEARCH("Payroll",L149)),"Payroll",
        ISNUMBER(SEARCH("Expatriate",L149)),"Government Fees",
        ISNUMBER(SEARCH("Zakat",M149)),"Zakat",
        ISNUMBER(SEARCH("Social Insurance",M149)),"Social Insurance",
        ISNUMBER(SEARCH("Saudi Electric",M149)),"Electricity",
        ISNUMBER(SEARCH("STC",M149)),"Telecom",
        ISNUMBER(SEARCH("National Water",M149)),"Water",
        ISNUMBER(SEARCH("Bupa",M149)),"Insurance",
        ISNUMBER(SEARCH("Gulf Voyager",M149)),"Travel",
        ISNUMBER(SEARCH("Ministry",M149)),"Government Fees",
        ISNUMBER(SEARCH("Abdullah Abdulkarim",M149)),"Consulting",
        ISNUMBER(SEARCH("Abdullah Fahad",M149)),"Accounting",
        ISNUMBER(SEARCH("ISO Arabia",M149)),"Consulting",
        ISNUMBER(SEARCH("Rejected",L149)),"Refund",
        AF149="COGS","Inventory Purchase",
        AF149="Revenue","Revenue",
        AF149="OPEX","Other",
        AF149="ZATCA","Zakat",
        TRUE,"-"
    ),
    "-"
)</f>
        <v>Revenue</v>
      </c>
      <c r="AH149" s="25" t="str" cm="1">
        <f t="array" ref="AH149">_xlfn.IFNA(
    _xlfn.IFS(
        AF149="-","Low",
        AF149="Other","Low",
        TRUE,"Medium"
    ),
    "-"
)</f>
        <v>Medium</v>
      </c>
      <c r="AI149" s="25" t="str">
        <f t="shared" si="11"/>
        <v>-</v>
      </c>
    </row>
    <row r="150" spans="1:35" x14ac:dyDescent="0.25">
      <c r="A150" s="10">
        <v>59</v>
      </c>
      <c r="B150" s="10" t="s">
        <v>35</v>
      </c>
      <c r="C150" s="10" t="s">
        <v>36</v>
      </c>
      <c r="D150" s="10" t="s">
        <v>37</v>
      </c>
      <c r="E150" s="10" t="s">
        <v>38</v>
      </c>
      <c r="F150" s="11" t="s">
        <v>39</v>
      </c>
      <c r="G150" s="11" t="s">
        <v>40</v>
      </c>
      <c r="H150" s="12">
        <v>44941</v>
      </c>
      <c r="I150" s="20">
        <v>166756.26999999999</v>
      </c>
      <c r="J150" s="20">
        <v>150000</v>
      </c>
      <c r="K150" s="10" t="s">
        <v>116</v>
      </c>
      <c r="L150" s="9" t="s">
        <v>230</v>
      </c>
      <c r="M150" s="9" t="s">
        <v>231</v>
      </c>
      <c r="N150" s="9" t="s">
        <v>232</v>
      </c>
      <c r="O150" s="9" t="s">
        <v>233</v>
      </c>
      <c r="P150" s="15">
        <v>44941</v>
      </c>
      <c r="Q150" s="9" t="s">
        <v>242</v>
      </c>
      <c r="R150" s="16">
        <v>150000</v>
      </c>
      <c r="U150" s="9" t="s">
        <v>55</v>
      </c>
      <c r="V150" s="24" t="str" cm="1">
        <f t="array" ref="V150">_xlfn.IFNA(
    _xlfn.IFS(
        ISNUMBER(SEARCH("Fast Outgoing Transfer",L150)),"Transfer",
        ISNUMBER(SEARCH("Incoming Fast Transfer",L150)),"Transfer",
        ISNUMBER(SEARCH("Outgoing International Transfer",L150)),"Transfer",
        ISNUMBER(SEARCH("Bill Payment",L150)),"SADAD",
        ISNUMBER(SEARCH("Payroll",L150)),"Payroll",
        ISNUMBER(SEARCH("Cash Deposit",L150)),"Cash",
        ISNUMBER(SEARCH("Internal Transfer",L150)),"Transfer",
        ISNUMBER(SEARCH("Expatriate Services Payment",L150)),"SADAD",
        ISNUMBER(SEARCH("Rejected",L150)),"Transfer"
    ),
    "-"
)</f>
        <v>Transfer</v>
      </c>
      <c r="W150" s="25" t="str" cm="1">
        <f t="array" ref="W150">_xlfn.IFNA(
    _xlfn.IFS(
        AND(V150="Transfer",ISNUMBER(SEARCH("RIYAD BANK",L150))),"External FI",
        AND(V150="Transfer",ISNUMBER(SEARCH("Al Ahli",L150))),"External FI",
        AND(V150="Transfer",ISNUMBER(SEARCH("CIB via",L150))),"Local Transfer",
        AND(V150="Transfer",ISNUMBER(SEARCH("CIB)",L150))),"Local Transfer",
        AND(V150="Transfer",ISNUMBER(SEARCH("SMRT",L150))),"Local Transfer",
        AND(V150="Transfer",ISNUMBER(SEARCH("Al Murabba",L150))),"Local Transfer",
        AND(V150="Transfer",ISNUMBER(SEARCH("Internal Transfer",L150))),"Same FI",
        AND(V150="Transfer",ISNUMBER(SEARCH("Rejected",L150))),"Failed",
        V150="SADAD",
            _xlfn.IFS(
                ISNUMBER(SEARCH("Expatriate",L150)),"Expat Fees",
                TRUE,"Online Payment"
            ),
        V150="Payroll","Payroll",
        V150="Cash","Deposit",
        TRUE,"-"
    ),
    "-"
)</f>
        <v>External FI</v>
      </c>
      <c r="X150" s="25" t="str" cm="1">
        <f t="array" ref="X150">_xlfn.IFNA(
    _xlfn.IFS(
        V150="-","Low",
        W150="-","Low",
        TRUE,"High"
    ),
    "-"
)</f>
        <v>High</v>
      </c>
      <c r="Y150" s="25" t="str">
        <f t="shared" si="8"/>
        <v>-</v>
      </c>
      <c r="Z150" s="25" t="str" cm="1">
        <f t="array" ref="Z150">_xlfn.IFNA(
    _xlfn.IFS(
        ISNUMBER(SEARCH("Abdul Latif Jameel",M150)),"Lender",
        ISNUMBER(SEARCH("Abdullah Abdulkarim Al Sudais",M150)),"Accounting",
        ISNUMBER(SEARCH("Abdullah Fahad for Accounting",M150)),"Accounting",
        ISNUMBER(SEARCH("Abdullah Rashid Shaikh",M150)),"Shareholder",
        ISNUMBER(SEARCH("Advanced Equipments",M150)),"Equipment Rental",
        ISNUMBER(SEARCH("Al Banuk Sana",M150)),"Telecom Company",
        ISNUMBER(SEARCH("Al Khaleefa Factory",M150)),"Manufacturer",
        ISNUMBER(SEARCH("Al Saadeh Trading",M150)),"Trading Company",
        ISNUMBER(SEARCH("Al Zaehaan",M150)),"Trading Company",
        ISNUMBER(SEARCH("Ali Abdullah K Al Darwish",M150)),"Airlines",
        ISNUMBER(SEARCH("Bupa Arabia",M150)),"Health Insurance",
        ISNUMBER(SEARCH("Dar Fahoosaat",M150)),"Consultant",
        ISNUMBER(SEARCH("General Authority of Zakat",M150)),"Tax Collection",
        ISNUMBER(SEARCH("Gulf Voyager",M150)),"Travel Agency",
        ISNUMBER(SEARCH("Hopeway Trading",M150)),"Trading Company",
        ISNUMBER(SEARCH("Interhealth Medical",M150)),"Medical Services",
        ISNUMBER(SEARCH("Ishaar",M150)),"Online Payment Service",
        ISNUMBER(SEARCH("ISO Arabia",M150)),"Certification",
        ISNUMBER(SEARCH("Khalid Saad Al Otaibi",M150)),"Trading Company",
        ISNUMBER(SEARCH("MERAS for Decoration",M150)),"Decor Company",
        ISNUMBER(SEARCH("Middle East Customs Clearance",M150)),"Customs",
        ISNUMBER(SEARCH("Ministry of Human Resources",M150)),"Government",
        ISNUMBER(SEARCH("My Business Services",M150)),"Service Provider",
        ISNUMBER(SEARCH("National Water Company",M150)),"Water Company",
        ISNUMBER(SEARCH("Rania Contracting",M150)),"Contracting",
        ISNUMBER(SEARCH("Rashid Ali Sheikh",M150)),"Shareholder",
        ISNUMBER(SEARCH("Sahab United Motors",M150)),"Car Show Room",
        ISNUMBER(SEARCH("Saud Mohammed Al Tamimi",M150)),"Shareholder",
        ISNUMBER(SEARCH("Saud Mohammed Tamimi",M150)),"Shareholder",
        ISNUMBER(SEARCH("Saudi Electric Company",M150)),"Electricity Company",
        ISNUMBER(SEARCH("Saudi Vetonit",M150)),"Building Materials",
        ISNUMBER(SEARCH("Shomoul Eng",M150)),"Safety",
        ISNUMBER(SEARCH("STC",M150)),"Telecom Company",
        ISNUMBER(SEARCH("The General Organization for Social Insurance",M150)),"Social Insurance Agency",
        ISNUMBER(SEARCH("TUV Rheinland",M150)),"Certification",
        ISNUMBER(SEARCH("Al Arabia Ceramic",M150)),"Building Materials",
        ISNUMBER(SEARCH("National Company for Building and Marketing",M150)),"Parent Company",
        ISNUMBER(SEARCH("Athraa Holding",M150)),"Holding Company",
        ISNUMBER(SEARCH("Al Rasan",M150)),"Contracting",
        ISNUMBER(SEARCH("Raboua Al Haid",M150)),"Trading Company",
        ISNUMBER(SEARCH("Al Jazeera Paint",M150)),"Manufacturer",
        ISNUMBER(SEARCH("Rania Works Contracting",M150)),"Contracting",
        ISNUMBER(SEARCH("Bandar Jarallah",M150)),"Trading Establishment",
        ISNUMBER(SEARCH("RS Infratec Saudi",M150)),"Same Company",
        ISNUMBER(SEARCH("Payroll",M150)),"Bank",
        ISNUMBER(SEARCH("Expatriate",M150)),"Government",
        ISNUMBER(SEARCH("Unknown Sender",M150)),"Unknown",
        TRUE,"Unknown"
    ),
    "-"
)</f>
        <v>Parent Company</v>
      </c>
      <c r="AA150" s="25" t="str" cm="1">
        <f t="array" ref="AA150">_xlfn.IFNA(
    _xlfn.IFS(
        Z150="Lender","Financing",
        Z150="Accounting","Accounting",
        Z150="Shareholder","Individual",
        Z150="Equipment Rental","Equipment Rental",
        Z150="Telecom Company","Telecom",
        Z150="Manufacturer","Manufacturer",
        Z150="Trading Company","Trading And Transport",
        Z150="Trading Establishment","Trading",
        Z150="Airlines","Airlines",
        Z150="Health Insurance","Insurance",
        Z150="Consultant","Consultant",
        Z150="Tax Collection","Government",
        Z150="Travel Agency","Travel Agency",
        Z150="Medical Services","Medical Center",
        Z150="Online Payment Service","Payment Facilitator",
        Z150="Certification","Safety",
        Z150="Decor Company","Design",
        Z150="Customs","Customs",
        Z150="Government","Government",
        Z150="Service Provider","Service Provider",
        Z150="Water Company","Water Company",
        Z150="Contracting","Contracting",
        Z150="Car Show Room","Car Trader",
        Z150="Electricity Company","Electricity Company",
        Z150="Building Materials","Building Materials",
        Z150="Safety","Safety",
        Z150="Social Insurance Agency","Government Fund",
        Z150="Parent Company","Holding Company",
        Z150="Holding Company","Holding Company",
        Z150="Same Company","Construction",
        Z150="Bank","Bank",
        Z150="Unknown","Unknown",
        TRUE,"-"
    ),
    "-"
)</f>
        <v>Holding Company</v>
      </c>
      <c r="AB150" s="25" t="str">
        <f t="shared" si="9"/>
        <v>-</v>
      </c>
      <c r="AC150" s="25" t="str" cm="1">
        <f t="array" ref="AC150">_xlfn.IFNA(
    _xlfn.IFS(
        Z150="Shareholder","Shareholder",
        Z150="Same Company","Same Company",
        Z150="Bank","Bank",
        Z150="Government","Government",
        Z150="Social Insurance Agency","Government",
        Z150="Parent Company","Customer",
        Z150="Lender","Lender",
        Z150="Unknown","Unknown",
        ISNUMBER(SEARCH("Abdullah Abdulkarim",M150)),"Service Provider",
        ISNUMBER(SEARCH("Abdullah Fahad",M150)),"Service Provider",
        ISNUMBER(SEARCH("Advanced Equipments",M150)),"Supplier",
        ISNUMBER(SEARCH("Al Banuk Sana",M150)),"Supplier",
        ISNUMBER(SEARCH("Al Khaleefa Factory",M150)),"Supplier",
        ISNUMBER(SEARCH("Al Saadeh Trading",M150)),"Supplier",
        ISNUMBER(SEARCH("Al Zaehaan",M150)),"Supplier",
        ISNUMBER(SEARCH("Ali Abdullah K Al Darwish",M150)),"Service Provider",
        ISNUMBER(SEARCH("Bupa Arabia",M150)),"Insurance Company",
        ISNUMBER(SEARCH("Dar Fahoosaat",M150)),"Service Provider",
        ISNUMBER(SEARCH("General Authority of Zakat",M150)),"Tax Authority",
        ISNUMBER(SEARCH("Gulf Voyager",M150)),"Service Provider",
        ISNUMBER(SEARCH("Hopeway Trading",M150)),"Supplier",
        ISNUMBER(SEARCH("Interhealth Medical",M150)),"Customer",
        ISNUMBER(SEARCH("Ishaar",M150)),"Service Provider",
        ISNUMBER(SEARCH("ISO Arabia",M150)),"Service Provider",
        ISNUMBER(SEARCH("Khalid Saad Al Otaibi",M150)),"Supplier",
        ISNUMBER(SEARCH("MERAS for Decoration",M150)),"Supplier",
        ISNUMBER(SEARCH("Middle East Customs Clearance",M150)),"Service Provider",
        ISNUMBER(SEARCH("Ministry of Human Resources",M150)),"Regulatory Agency",
        ISNUMBER(SEARCH("My Business Services",M150)),"Service Provider",
        ISNUMBER(SEARCH("National Water Company",M150)),"Utility Provider",
        ISNUMBER(SEARCH("Rania Contracting",M150)),"Supplier",
        ISNUMBER(SEARCH("Sahab United Motors",M150)),"Supplier",
        ISNUMBER(SEARCH("Saudi Electric Company",M150)),"Utility Provider",
        ISNUMBER(SEARCH("Saudi Vetonit",M150)),"Supplier",
        ISNUMBER(SEARCH("Shomoul Eng",M150)),"Service Provider",
        ISNUMBER(SEARCH("STC",M150)),"Utility Provider",
        ISNUMBER(SEARCH("The General Organization for Social Insurance",M150)),"Social Insurance Agency",
        ISNUMBER(SEARCH("TUV Rheinland",M150)),"Service Provider",
        ISNUMBER(SEARCH("Al Arabia Ceramic",M150)),"Supplier",
        ISNUMBER(SEARCH("National Company for Building",M150)),"Customer",
        ISNUMBER(SEARCH("Athraa Holding",M150)),"Customer",
        ISNUMBER(SEARCH("Al Rasan",M150)),"Supplier",
        ISNUMBER(SEARCH("Raboua Al Haid",M150)),"Customer",
        ISNUMBER(SEARCH("Al Jazeera Paint",M150)),"Supplier",
        ISNUMBER(SEARCH("Rania Works Contracting",M150)),"Supplier",
        ISNUMBER(SEARCH("Bandar Jarallah",M150)),"Supplier",
        TRUE,"Supplier"
    ),
    "-"
)</f>
        <v>Customer</v>
      </c>
      <c r="AD150" s="25" t="str" cm="1">
        <f t="array" ref="AD150">_xlfn.IFNA(
    _xlfn.IFS(
        AC150="Same Company","High",
        AC150="Shareholder","High",
        AC150="Government","High",
        AC150="Bank","High",
        AC150="Lender","High",
        AC150="Unknown","Low",
        AC150="-","Low",
        TRUE,"Medium"
    ),
    "-"
)</f>
        <v>Medium</v>
      </c>
      <c r="AE150" s="25" t="str">
        <f t="shared" si="10"/>
        <v>-</v>
      </c>
      <c r="AF150" s="25" t="str" cm="1">
        <f t="array" ref="AF150">_xlfn.IFNA(
    _xlfn.IFS(
        K150="Credit",
            _xlfn.IFS(
                OR(ISNUMBER(SEARCH("Rejected",L150)),ISNUMBER(SEARCH("Returned",L150))),"Other Income",
                TRUE,"Revenue"
            ),
        K150="Debit",
            _xlfn.IFS(
                ISNUMBER(SEARCH("Payroll",L150)),"OPEX",
                ISNUMBER(SEARCH("Expatriate",L150)),"OPEX",
                ISNUMBER(SEARCH("Zakat",M150)),"ZATCA",
                ISNUMBER(SEARCH("General Organization for Social Insurance",M150)),"OPEX",
                ISNUMBER(SEARCH("Saudi Electric",M150)),"OPEX",
                ISNUMBER(SEARCH("STC",M150)),"OPEX",
                ISNUMBER(SEARCH("National Water",M150)),"OPEX",
                ISNUMBER(SEARCH("Bupa",M150)),"OPEX",
                ISNUMBER(SEARCH("Abdullah Abdulkarim",M150)),"OPEX",
                ISNUMBER(SEARCH("Abdullah Fahad",M150)),"OPEX",
                ISNUMBER(SEARCH("ISO Arabia",M150)),"OPEX",
                ISNUMBER(SEARCH("Gulf Voyager",M150)),"OPEX",
                ISNUMBER(SEARCH("Ministry",M150)),"OPEX",
                ISNUMBER(SEARCH("General Authority of Zakat",M150)),"ZATCA",
                ISNUMBER(SEARCH("Rejected",L150)),"Other Income",
                TRUE,"COGS"
            ),
        TRUE,"-"
    ),
    "-"
)</f>
        <v>Revenue</v>
      </c>
      <c r="AG150" s="25" t="str" cm="1">
        <f t="array" ref="AG150">_xlfn.IFNA(
    _xlfn.IFS(
        ISNUMBER(SEARCH("Payroll",L150)),"Payroll",
        ISNUMBER(SEARCH("Expatriate",L150)),"Government Fees",
        ISNUMBER(SEARCH("Zakat",M150)),"Zakat",
        ISNUMBER(SEARCH("Social Insurance",M150)),"Social Insurance",
        ISNUMBER(SEARCH("Saudi Electric",M150)),"Electricity",
        ISNUMBER(SEARCH("STC",M150)),"Telecom",
        ISNUMBER(SEARCH("National Water",M150)),"Water",
        ISNUMBER(SEARCH("Bupa",M150)),"Insurance",
        ISNUMBER(SEARCH("Gulf Voyager",M150)),"Travel",
        ISNUMBER(SEARCH("Ministry",M150)),"Government Fees",
        ISNUMBER(SEARCH("Abdullah Abdulkarim",M150)),"Consulting",
        ISNUMBER(SEARCH("Abdullah Fahad",M150)),"Accounting",
        ISNUMBER(SEARCH("ISO Arabia",M150)),"Consulting",
        ISNUMBER(SEARCH("Rejected",L150)),"Refund",
        AF150="COGS","Inventory Purchase",
        AF150="Revenue","Revenue",
        AF150="OPEX","Other",
        AF150="ZATCA","Zakat",
        TRUE,"-"
    ),
    "-"
)</f>
        <v>Revenue</v>
      </c>
      <c r="AH150" s="25" t="str" cm="1">
        <f t="array" ref="AH150">_xlfn.IFNA(
    _xlfn.IFS(
        AF150="-","Low",
        AF150="Other","Low",
        TRUE,"Medium"
    ),
    "-"
)</f>
        <v>Medium</v>
      </c>
      <c r="AI150" s="25" t="str">
        <f t="shared" si="11"/>
        <v>-</v>
      </c>
    </row>
    <row r="151" spans="1:35" x14ac:dyDescent="0.25">
      <c r="A151" s="10">
        <v>59</v>
      </c>
      <c r="B151" s="10" t="s">
        <v>35</v>
      </c>
      <c r="C151" s="10" t="s">
        <v>36</v>
      </c>
      <c r="D151" s="10" t="s">
        <v>37</v>
      </c>
      <c r="E151" s="10" t="s">
        <v>38</v>
      </c>
      <c r="F151" s="11" t="s">
        <v>39</v>
      </c>
      <c r="G151" s="11" t="s">
        <v>40</v>
      </c>
      <c r="H151" s="12">
        <v>44942</v>
      </c>
      <c r="I151" s="20">
        <v>169483.14</v>
      </c>
      <c r="J151" s="20">
        <v>110000</v>
      </c>
      <c r="K151" s="10" t="s">
        <v>116</v>
      </c>
      <c r="L151" s="9" t="s">
        <v>230</v>
      </c>
      <c r="M151" s="9" t="s">
        <v>231</v>
      </c>
      <c r="N151" s="9" t="s">
        <v>232</v>
      </c>
      <c r="O151" s="9" t="s">
        <v>233</v>
      </c>
      <c r="P151" s="15">
        <v>44942</v>
      </c>
      <c r="Q151" s="9" t="s">
        <v>243</v>
      </c>
      <c r="R151" s="16">
        <v>110000</v>
      </c>
      <c r="U151" s="9" t="s">
        <v>55</v>
      </c>
      <c r="V151" s="24" t="str" cm="1">
        <f t="array" ref="V151">_xlfn.IFNA(
    _xlfn.IFS(
        ISNUMBER(SEARCH("Fast Outgoing Transfer",L151)),"Transfer",
        ISNUMBER(SEARCH("Incoming Fast Transfer",L151)),"Transfer",
        ISNUMBER(SEARCH("Outgoing International Transfer",L151)),"Transfer",
        ISNUMBER(SEARCH("Bill Payment",L151)),"SADAD",
        ISNUMBER(SEARCH("Payroll",L151)),"Payroll",
        ISNUMBER(SEARCH("Cash Deposit",L151)),"Cash",
        ISNUMBER(SEARCH("Internal Transfer",L151)),"Transfer",
        ISNUMBER(SEARCH("Expatriate Services Payment",L151)),"SADAD",
        ISNUMBER(SEARCH("Rejected",L151)),"Transfer"
    ),
    "-"
)</f>
        <v>Transfer</v>
      </c>
      <c r="W151" s="25" t="str" cm="1">
        <f t="array" ref="W151">_xlfn.IFNA(
    _xlfn.IFS(
        AND(V151="Transfer",ISNUMBER(SEARCH("RIYAD BANK",L151))),"External FI",
        AND(V151="Transfer",ISNUMBER(SEARCH("Al Ahli",L151))),"External FI",
        AND(V151="Transfer",ISNUMBER(SEARCH("CIB via",L151))),"Local Transfer",
        AND(V151="Transfer",ISNUMBER(SEARCH("CIB)",L151))),"Local Transfer",
        AND(V151="Transfer",ISNUMBER(SEARCH("SMRT",L151))),"Local Transfer",
        AND(V151="Transfer",ISNUMBER(SEARCH("Al Murabba",L151))),"Local Transfer",
        AND(V151="Transfer",ISNUMBER(SEARCH("Internal Transfer",L151))),"Same FI",
        AND(V151="Transfer",ISNUMBER(SEARCH("Rejected",L151))),"Failed",
        V151="SADAD",
            _xlfn.IFS(
                ISNUMBER(SEARCH("Expatriate",L151)),"Expat Fees",
                TRUE,"Online Payment"
            ),
        V151="Payroll","Payroll",
        V151="Cash","Deposit",
        TRUE,"-"
    ),
    "-"
)</f>
        <v>External FI</v>
      </c>
      <c r="X151" s="25" t="str" cm="1">
        <f t="array" ref="X151">_xlfn.IFNA(
    _xlfn.IFS(
        V151="-","Low",
        W151="-","Low",
        TRUE,"High"
    ),
    "-"
)</f>
        <v>High</v>
      </c>
      <c r="Y151" s="25" t="str">
        <f t="shared" si="8"/>
        <v>-</v>
      </c>
      <c r="Z151" s="25" t="str" cm="1">
        <f t="array" ref="Z151">_xlfn.IFNA(
    _xlfn.IFS(
        ISNUMBER(SEARCH("Abdul Latif Jameel",M151)),"Lender",
        ISNUMBER(SEARCH("Abdullah Abdulkarim Al Sudais",M151)),"Accounting",
        ISNUMBER(SEARCH("Abdullah Fahad for Accounting",M151)),"Accounting",
        ISNUMBER(SEARCH("Abdullah Rashid Shaikh",M151)),"Shareholder",
        ISNUMBER(SEARCH("Advanced Equipments",M151)),"Equipment Rental",
        ISNUMBER(SEARCH("Al Banuk Sana",M151)),"Telecom Company",
        ISNUMBER(SEARCH("Al Khaleefa Factory",M151)),"Manufacturer",
        ISNUMBER(SEARCH("Al Saadeh Trading",M151)),"Trading Company",
        ISNUMBER(SEARCH("Al Zaehaan",M151)),"Trading Company",
        ISNUMBER(SEARCH("Ali Abdullah K Al Darwish",M151)),"Airlines",
        ISNUMBER(SEARCH("Bupa Arabia",M151)),"Health Insurance",
        ISNUMBER(SEARCH("Dar Fahoosaat",M151)),"Consultant",
        ISNUMBER(SEARCH("General Authority of Zakat",M151)),"Tax Collection",
        ISNUMBER(SEARCH("Gulf Voyager",M151)),"Travel Agency",
        ISNUMBER(SEARCH("Hopeway Trading",M151)),"Trading Company",
        ISNUMBER(SEARCH("Interhealth Medical",M151)),"Medical Services",
        ISNUMBER(SEARCH("Ishaar",M151)),"Online Payment Service",
        ISNUMBER(SEARCH("ISO Arabia",M151)),"Certification",
        ISNUMBER(SEARCH("Khalid Saad Al Otaibi",M151)),"Trading Company",
        ISNUMBER(SEARCH("MERAS for Decoration",M151)),"Decor Company",
        ISNUMBER(SEARCH("Middle East Customs Clearance",M151)),"Customs",
        ISNUMBER(SEARCH("Ministry of Human Resources",M151)),"Government",
        ISNUMBER(SEARCH("My Business Services",M151)),"Service Provider",
        ISNUMBER(SEARCH("National Water Company",M151)),"Water Company",
        ISNUMBER(SEARCH("Rania Contracting",M151)),"Contracting",
        ISNUMBER(SEARCH("Rashid Ali Sheikh",M151)),"Shareholder",
        ISNUMBER(SEARCH("Sahab United Motors",M151)),"Car Show Room",
        ISNUMBER(SEARCH("Saud Mohammed Al Tamimi",M151)),"Shareholder",
        ISNUMBER(SEARCH("Saud Mohammed Tamimi",M151)),"Shareholder",
        ISNUMBER(SEARCH("Saudi Electric Company",M151)),"Electricity Company",
        ISNUMBER(SEARCH("Saudi Vetonit",M151)),"Building Materials",
        ISNUMBER(SEARCH("Shomoul Eng",M151)),"Safety",
        ISNUMBER(SEARCH("STC",M151)),"Telecom Company",
        ISNUMBER(SEARCH("The General Organization for Social Insurance",M151)),"Social Insurance Agency",
        ISNUMBER(SEARCH("TUV Rheinland",M151)),"Certification",
        ISNUMBER(SEARCH("Al Arabia Ceramic",M151)),"Building Materials",
        ISNUMBER(SEARCH("National Company for Building and Marketing",M151)),"Parent Company",
        ISNUMBER(SEARCH("Athraa Holding",M151)),"Holding Company",
        ISNUMBER(SEARCH("Al Rasan",M151)),"Contracting",
        ISNUMBER(SEARCH("Raboua Al Haid",M151)),"Trading Company",
        ISNUMBER(SEARCH("Al Jazeera Paint",M151)),"Manufacturer",
        ISNUMBER(SEARCH("Rania Works Contracting",M151)),"Contracting",
        ISNUMBER(SEARCH("Bandar Jarallah",M151)),"Trading Establishment",
        ISNUMBER(SEARCH("RS Infratec Saudi",M151)),"Same Company",
        ISNUMBER(SEARCH("Payroll",M151)),"Bank",
        ISNUMBER(SEARCH("Expatriate",M151)),"Government",
        ISNUMBER(SEARCH("Unknown Sender",M151)),"Unknown",
        TRUE,"Unknown"
    ),
    "-"
)</f>
        <v>Parent Company</v>
      </c>
      <c r="AA151" s="25" t="str" cm="1">
        <f t="array" ref="AA151">_xlfn.IFNA(
    _xlfn.IFS(
        Z151="Lender","Financing",
        Z151="Accounting","Accounting",
        Z151="Shareholder","Individual",
        Z151="Equipment Rental","Equipment Rental",
        Z151="Telecom Company","Telecom",
        Z151="Manufacturer","Manufacturer",
        Z151="Trading Company","Trading And Transport",
        Z151="Trading Establishment","Trading",
        Z151="Airlines","Airlines",
        Z151="Health Insurance","Insurance",
        Z151="Consultant","Consultant",
        Z151="Tax Collection","Government",
        Z151="Travel Agency","Travel Agency",
        Z151="Medical Services","Medical Center",
        Z151="Online Payment Service","Payment Facilitator",
        Z151="Certification","Safety",
        Z151="Decor Company","Design",
        Z151="Customs","Customs",
        Z151="Government","Government",
        Z151="Service Provider","Service Provider",
        Z151="Water Company","Water Company",
        Z151="Contracting","Contracting",
        Z151="Car Show Room","Car Trader",
        Z151="Electricity Company","Electricity Company",
        Z151="Building Materials","Building Materials",
        Z151="Safety","Safety",
        Z151="Social Insurance Agency","Government Fund",
        Z151="Parent Company","Holding Company",
        Z151="Holding Company","Holding Company",
        Z151="Same Company","Construction",
        Z151="Bank","Bank",
        Z151="Unknown","Unknown",
        TRUE,"-"
    ),
    "-"
)</f>
        <v>Holding Company</v>
      </c>
      <c r="AB151" s="25" t="str">
        <f t="shared" si="9"/>
        <v>-</v>
      </c>
      <c r="AC151" s="25" t="str" cm="1">
        <f t="array" ref="AC151">_xlfn.IFNA(
    _xlfn.IFS(
        Z151="Shareholder","Shareholder",
        Z151="Same Company","Same Company",
        Z151="Bank","Bank",
        Z151="Government","Government",
        Z151="Social Insurance Agency","Government",
        Z151="Parent Company","Customer",
        Z151="Lender","Lender",
        Z151="Unknown","Unknown",
        ISNUMBER(SEARCH("Abdullah Abdulkarim",M151)),"Service Provider",
        ISNUMBER(SEARCH("Abdullah Fahad",M151)),"Service Provider",
        ISNUMBER(SEARCH("Advanced Equipments",M151)),"Supplier",
        ISNUMBER(SEARCH("Al Banuk Sana",M151)),"Supplier",
        ISNUMBER(SEARCH("Al Khaleefa Factory",M151)),"Supplier",
        ISNUMBER(SEARCH("Al Saadeh Trading",M151)),"Supplier",
        ISNUMBER(SEARCH("Al Zaehaan",M151)),"Supplier",
        ISNUMBER(SEARCH("Ali Abdullah K Al Darwish",M151)),"Service Provider",
        ISNUMBER(SEARCH("Bupa Arabia",M151)),"Insurance Company",
        ISNUMBER(SEARCH("Dar Fahoosaat",M151)),"Service Provider",
        ISNUMBER(SEARCH("General Authority of Zakat",M151)),"Tax Authority",
        ISNUMBER(SEARCH("Gulf Voyager",M151)),"Service Provider",
        ISNUMBER(SEARCH("Hopeway Trading",M151)),"Supplier",
        ISNUMBER(SEARCH("Interhealth Medical",M151)),"Customer",
        ISNUMBER(SEARCH("Ishaar",M151)),"Service Provider",
        ISNUMBER(SEARCH("ISO Arabia",M151)),"Service Provider",
        ISNUMBER(SEARCH("Khalid Saad Al Otaibi",M151)),"Supplier",
        ISNUMBER(SEARCH("MERAS for Decoration",M151)),"Supplier",
        ISNUMBER(SEARCH("Middle East Customs Clearance",M151)),"Service Provider",
        ISNUMBER(SEARCH("Ministry of Human Resources",M151)),"Regulatory Agency",
        ISNUMBER(SEARCH("My Business Services",M151)),"Service Provider",
        ISNUMBER(SEARCH("National Water Company",M151)),"Utility Provider",
        ISNUMBER(SEARCH("Rania Contracting",M151)),"Supplier",
        ISNUMBER(SEARCH("Sahab United Motors",M151)),"Supplier",
        ISNUMBER(SEARCH("Saudi Electric Company",M151)),"Utility Provider",
        ISNUMBER(SEARCH("Saudi Vetonit",M151)),"Supplier",
        ISNUMBER(SEARCH("Shomoul Eng",M151)),"Service Provider",
        ISNUMBER(SEARCH("STC",M151)),"Utility Provider",
        ISNUMBER(SEARCH("The General Organization for Social Insurance",M151)),"Social Insurance Agency",
        ISNUMBER(SEARCH("TUV Rheinland",M151)),"Service Provider",
        ISNUMBER(SEARCH("Al Arabia Ceramic",M151)),"Supplier",
        ISNUMBER(SEARCH("National Company for Building",M151)),"Customer",
        ISNUMBER(SEARCH("Athraa Holding",M151)),"Customer",
        ISNUMBER(SEARCH("Al Rasan",M151)),"Supplier",
        ISNUMBER(SEARCH("Raboua Al Haid",M151)),"Customer",
        ISNUMBER(SEARCH("Al Jazeera Paint",M151)),"Supplier",
        ISNUMBER(SEARCH("Rania Works Contracting",M151)),"Supplier",
        ISNUMBER(SEARCH("Bandar Jarallah",M151)),"Supplier",
        TRUE,"Supplier"
    ),
    "-"
)</f>
        <v>Customer</v>
      </c>
      <c r="AD151" s="25" t="str" cm="1">
        <f t="array" ref="AD151">_xlfn.IFNA(
    _xlfn.IFS(
        AC151="Same Company","High",
        AC151="Shareholder","High",
        AC151="Government","High",
        AC151="Bank","High",
        AC151="Lender","High",
        AC151="Unknown","Low",
        AC151="-","Low",
        TRUE,"Medium"
    ),
    "-"
)</f>
        <v>Medium</v>
      </c>
      <c r="AE151" s="25" t="str">
        <f t="shared" si="10"/>
        <v>-</v>
      </c>
      <c r="AF151" s="25" t="str" cm="1">
        <f t="array" ref="AF151">_xlfn.IFNA(
    _xlfn.IFS(
        K151="Credit",
            _xlfn.IFS(
                OR(ISNUMBER(SEARCH("Rejected",L151)),ISNUMBER(SEARCH("Returned",L151))),"Other Income",
                TRUE,"Revenue"
            ),
        K151="Debit",
            _xlfn.IFS(
                ISNUMBER(SEARCH("Payroll",L151)),"OPEX",
                ISNUMBER(SEARCH("Expatriate",L151)),"OPEX",
                ISNUMBER(SEARCH("Zakat",M151)),"ZATCA",
                ISNUMBER(SEARCH("General Organization for Social Insurance",M151)),"OPEX",
                ISNUMBER(SEARCH("Saudi Electric",M151)),"OPEX",
                ISNUMBER(SEARCH("STC",M151)),"OPEX",
                ISNUMBER(SEARCH("National Water",M151)),"OPEX",
                ISNUMBER(SEARCH("Bupa",M151)),"OPEX",
                ISNUMBER(SEARCH("Abdullah Abdulkarim",M151)),"OPEX",
                ISNUMBER(SEARCH("Abdullah Fahad",M151)),"OPEX",
                ISNUMBER(SEARCH("ISO Arabia",M151)),"OPEX",
                ISNUMBER(SEARCH("Gulf Voyager",M151)),"OPEX",
                ISNUMBER(SEARCH("Ministry",M151)),"OPEX",
                ISNUMBER(SEARCH("General Authority of Zakat",M151)),"ZATCA",
                ISNUMBER(SEARCH("Rejected",L151)),"Other Income",
                TRUE,"COGS"
            ),
        TRUE,"-"
    ),
    "-"
)</f>
        <v>Revenue</v>
      </c>
      <c r="AG151" s="25" t="str" cm="1">
        <f t="array" ref="AG151">_xlfn.IFNA(
    _xlfn.IFS(
        ISNUMBER(SEARCH("Payroll",L151)),"Payroll",
        ISNUMBER(SEARCH("Expatriate",L151)),"Government Fees",
        ISNUMBER(SEARCH("Zakat",M151)),"Zakat",
        ISNUMBER(SEARCH("Social Insurance",M151)),"Social Insurance",
        ISNUMBER(SEARCH("Saudi Electric",M151)),"Electricity",
        ISNUMBER(SEARCH("STC",M151)),"Telecom",
        ISNUMBER(SEARCH("National Water",M151)),"Water",
        ISNUMBER(SEARCH("Bupa",M151)),"Insurance",
        ISNUMBER(SEARCH("Gulf Voyager",M151)),"Travel",
        ISNUMBER(SEARCH("Ministry",M151)),"Government Fees",
        ISNUMBER(SEARCH("Abdullah Abdulkarim",M151)),"Consulting",
        ISNUMBER(SEARCH("Abdullah Fahad",M151)),"Accounting",
        ISNUMBER(SEARCH("ISO Arabia",M151)),"Consulting",
        ISNUMBER(SEARCH("Rejected",L151)),"Refund",
        AF151="COGS","Inventory Purchase",
        AF151="Revenue","Revenue",
        AF151="OPEX","Other",
        AF151="ZATCA","Zakat",
        TRUE,"-"
    ),
    "-"
)</f>
        <v>Revenue</v>
      </c>
      <c r="AH151" s="25" t="str" cm="1">
        <f t="array" ref="AH151">_xlfn.IFNA(
    _xlfn.IFS(
        AF151="-","Low",
        AF151="Other","Low",
        TRUE,"Medium"
    ),
    "-"
)</f>
        <v>Medium</v>
      </c>
      <c r="AI151" s="25" t="str">
        <f t="shared" si="11"/>
        <v>-</v>
      </c>
    </row>
    <row r="152" spans="1:35" x14ac:dyDescent="0.25">
      <c r="A152" s="10">
        <v>59</v>
      </c>
      <c r="B152" s="10" t="s">
        <v>35</v>
      </c>
      <c r="C152" s="10" t="s">
        <v>36</v>
      </c>
      <c r="D152" s="10" t="s">
        <v>37</v>
      </c>
      <c r="E152" s="10" t="s">
        <v>38</v>
      </c>
      <c r="F152" s="11" t="s">
        <v>39</v>
      </c>
      <c r="G152" s="11" t="s">
        <v>40</v>
      </c>
      <c r="H152" s="12">
        <v>44944</v>
      </c>
      <c r="I152" s="20">
        <v>157107.21</v>
      </c>
      <c r="J152" s="20">
        <v>150000</v>
      </c>
      <c r="K152" s="10" t="s">
        <v>116</v>
      </c>
      <c r="L152" s="9" t="s">
        <v>230</v>
      </c>
      <c r="M152" s="9" t="s">
        <v>231</v>
      </c>
      <c r="N152" s="9" t="s">
        <v>232</v>
      </c>
      <c r="O152" s="9" t="s">
        <v>233</v>
      </c>
      <c r="P152" s="15">
        <v>44944</v>
      </c>
      <c r="Q152" s="9" t="s">
        <v>244</v>
      </c>
      <c r="R152" s="16">
        <v>150000</v>
      </c>
      <c r="U152" s="9" t="s">
        <v>55</v>
      </c>
      <c r="V152" s="24" t="str" cm="1">
        <f t="array" ref="V152">_xlfn.IFNA(
    _xlfn.IFS(
        ISNUMBER(SEARCH("Fast Outgoing Transfer",L152)),"Transfer",
        ISNUMBER(SEARCH("Incoming Fast Transfer",L152)),"Transfer",
        ISNUMBER(SEARCH("Outgoing International Transfer",L152)),"Transfer",
        ISNUMBER(SEARCH("Bill Payment",L152)),"SADAD",
        ISNUMBER(SEARCH("Payroll",L152)),"Payroll",
        ISNUMBER(SEARCH("Cash Deposit",L152)),"Cash",
        ISNUMBER(SEARCH("Internal Transfer",L152)),"Transfer",
        ISNUMBER(SEARCH("Expatriate Services Payment",L152)),"SADAD",
        ISNUMBER(SEARCH("Rejected",L152)),"Transfer"
    ),
    "-"
)</f>
        <v>Transfer</v>
      </c>
      <c r="W152" s="25" t="str" cm="1">
        <f t="array" ref="W152">_xlfn.IFNA(
    _xlfn.IFS(
        AND(V152="Transfer",ISNUMBER(SEARCH("RIYAD BANK",L152))),"External FI",
        AND(V152="Transfer",ISNUMBER(SEARCH("Al Ahli",L152))),"External FI",
        AND(V152="Transfer",ISNUMBER(SEARCH("CIB via",L152))),"Local Transfer",
        AND(V152="Transfer",ISNUMBER(SEARCH("CIB)",L152))),"Local Transfer",
        AND(V152="Transfer",ISNUMBER(SEARCH("SMRT",L152))),"Local Transfer",
        AND(V152="Transfer",ISNUMBER(SEARCH("Al Murabba",L152))),"Local Transfer",
        AND(V152="Transfer",ISNUMBER(SEARCH("Internal Transfer",L152))),"Same FI",
        AND(V152="Transfer",ISNUMBER(SEARCH("Rejected",L152))),"Failed",
        V152="SADAD",
            _xlfn.IFS(
                ISNUMBER(SEARCH("Expatriate",L152)),"Expat Fees",
                TRUE,"Online Payment"
            ),
        V152="Payroll","Payroll",
        V152="Cash","Deposit",
        TRUE,"-"
    ),
    "-"
)</f>
        <v>External FI</v>
      </c>
      <c r="X152" s="25" t="str" cm="1">
        <f t="array" ref="X152">_xlfn.IFNA(
    _xlfn.IFS(
        V152="-","Low",
        W152="-","Low",
        TRUE,"High"
    ),
    "-"
)</f>
        <v>High</v>
      </c>
      <c r="Y152" s="25" t="str">
        <f t="shared" si="8"/>
        <v>-</v>
      </c>
      <c r="Z152" s="25" t="str" cm="1">
        <f t="array" ref="Z152">_xlfn.IFNA(
    _xlfn.IFS(
        ISNUMBER(SEARCH("Abdul Latif Jameel",M152)),"Lender",
        ISNUMBER(SEARCH("Abdullah Abdulkarim Al Sudais",M152)),"Accounting",
        ISNUMBER(SEARCH("Abdullah Fahad for Accounting",M152)),"Accounting",
        ISNUMBER(SEARCH("Abdullah Rashid Shaikh",M152)),"Shareholder",
        ISNUMBER(SEARCH("Advanced Equipments",M152)),"Equipment Rental",
        ISNUMBER(SEARCH("Al Banuk Sana",M152)),"Telecom Company",
        ISNUMBER(SEARCH("Al Khaleefa Factory",M152)),"Manufacturer",
        ISNUMBER(SEARCH("Al Saadeh Trading",M152)),"Trading Company",
        ISNUMBER(SEARCH("Al Zaehaan",M152)),"Trading Company",
        ISNUMBER(SEARCH("Ali Abdullah K Al Darwish",M152)),"Airlines",
        ISNUMBER(SEARCH("Bupa Arabia",M152)),"Health Insurance",
        ISNUMBER(SEARCH("Dar Fahoosaat",M152)),"Consultant",
        ISNUMBER(SEARCH("General Authority of Zakat",M152)),"Tax Collection",
        ISNUMBER(SEARCH("Gulf Voyager",M152)),"Travel Agency",
        ISNUMBER(SEARCH("Hopeway Trading",M152)),"Trading Company",
        ISNUMBER(SEARCH("Interhealth Medical",M152)),"Medical Services",
        ISNUMBER(SEARCH("Ishaar",M152)),"Online Payment Service",
        ISNUMBER(SEARCH("ISO Arabia",M152)),"Certification",
        ISNUMBER(SEARCH("Khalid Saad Al Otaibi",M152)),"Trading Company",
        ISNUMBER(SEARCH("MERAS for Decoration",M152)),"Decor Company",
        ISNUMBER(SEARCH("Middle East Customs Clearance",M152)),"Customs",
        ISNUMBER(SEARCH("Ministry of Human Resources",M152)),"Government",
        ISNUMBER(SEARCH("My Business Services",M152)),"Service Provider",
        ISNUMBER(SEARCH("National Water Company",M152)),"Water Company",
        ISNUMBER(SEARCH("Rania Contracting",M152)),"Contracting",
        ISNUMBER(SEARCH("Rashid Ali Sheikh",M152)),"Shareholder",
        ISNUMBER(SEARCH("Sahab United Motors",M152)),"Car Show Room",
        ISNUMBER(SEARCH("Saud Mohammed Al Tamimi",M152)),"Shareholder",
        ISNUMBER(SEARCH("Saud Mohammed Tamimi",M152)),"Shareholder",
        ISNUMBER(SEARCH("Saudi Electric Company",M152)),"Electricity Company",
        ISNUMBER(SEARCH("Saudi Vetonit",M152)),"Building Materials",
        ISNUMBER(SEARCH("Shomoul Eng",M152)),"Safety",
        ISNUMBER(SEARCH("STC",M152)),"Telecom Company",
        ISNUMBER(SEARCH("The General Organization for Social Insurance",M152)),"Social Insurance Agency",
        ISNUMBER(SEARCH("TUV Rheinland",M152)),"Certification",
        ISNUMBER(SEARCH("Al Arabia Ceramic",M152)),"Building Materials",
        ISNUMBER(SEARCH("National Company for Building and Marketing",M152)),"Parent Company",
        ISNUMBER(SEARCH("Athraa Holding",M152)),"Holding Company",
        ISNUMBER(SEARCH("Al Rasan",M152)),"Contracting",
        ISNUMBER(SEARCH("Raboua Al Haid",M152)),"Trading Company",
        ISNUMBER(SEARCH("Al Jazeera Paint",M152)),"Manufacturer",
        ISNUMBER(SEARCH("Rania Works Contracting",M152)),"Contracting",
        ISNUMBER(SEARCH("Bandar Jarallah",M152)),"Trading Establishment",
        ISNUMBER(SEARCH("RS Infratec Saudi",M152)),"Same Company",
        ISNUMBER(SEARCH("Payroll",M152)),"Bank",
        ISNUMBER(SEARCH("Expatriate",M152)),"Government",
        ISNUMBER(SEARCH("Unknown Sender",M152)),"Unknown",
        TRUE,"Unknown"
    ),
    "-"
)</f>
        <v>Parent Company</v>
      </c>
      <c r="AA152" s="25" t="str" cm="1">
        <f t="array" ref="AA152">_xlfn.IFNA(
    _xlfn.IFS(
        Z152="Lender","Financing",
        Z152="Accounting","Accounting",
        Z152="Shareholder","Individual",
        Z152="Equipment Rental","Equipment Rental",
        Z152="Telecom Company","Telecom",
        Z152="Manufacturer","Manufacturer",
        Z152="Trading Company","Trading And Transport",
        Z152="Trading Establishment","Trading",
        Z152="Airlines","Airlines",
        Z152="Health Insurance","Insurance",
        Z152="Consultant","Consultant",
        Z152="Tax Collection","Government",
        Z152="Travel Agency","Travel Agency",
        Z152="Medical Services","Medical Center",
        Z152="Online Payment Service","Payment Facilitator",
        Z152="Certification","Safety",
        Z152="Decor Company","Design",
        Z152="Customs","Customs",
        Z152="Government","Government",
        Z152="Service Provider","Service Provider",
        Z152="Water Company","Water Company",
        Z152="Contracting","Contracting",
        Z152="Car Show Room","Car Trader",
        Z152="Electricity Company","Electricity Company",
        Z152="Building Materials","Building Materials",
        Z152="Safety","Safety",
        Z152="Social Insurance Agency","Government Fund",
        Z152="Parent Company","Holding Company",
        Z152="Holding Company","Holding Company",
        Z152="Same Company","Construction",
        Z152="Bank","Bank",
        Z152="Unknown","Unknown",
        TRUE,"-"
    ),
    "-"
)</f>
        <v>Holding Company</v>
      </c>
      <c r="AB152" s="25" t="str">
        <f t="shared" si="9"/>
        <v>-</v>
      </c>
      <c r="AC152" s="25" t="str" cm="1">
        <f t="array" ref="AC152">_xlfn.IFNA(
    _xlfn.IFS(
        Z152="Shareholder","Shareholder",
        Z152="Same Company","Same Company",
        Z152="Bank","Bank",
        Z152="Government","Government",
        Z152="Social Insurance Agency","Government",
        Z152="Parent Company","Customer",
        Z152="Lender","Lender",
        Z152="Unknown","Unknown",
        ISNUMBER(SEARCH("Abdullah Abdulkarim",M152)),"Service Provider",
        ISNUMBER(SEARCH("Abdullah Fahad",M152)),"Service Provider",
        ISNUMBER(SEARCH("Advanced Equipments",M152)),"Supplier",
        ISNUMBER(SEARCH("Al Banuk Sana",M152)),"Supplier",
        ISNUMBER(SEARCH("Al Khaleefa Factory",M152)),"Supplier",
        ISNUMBER(SEARCH("Al Saadeh Trading",M152)),"Supplier",
        ISNUMBER(SEARCH("Al Zaehaan",M152)),"Supplier",
        ISNUMBER(SEARCH("Ali Abdullah K Al Darwish",M152)),"Service Provider",
        ISNUMBER(SEARCH("Bupa Arabia",M152)),"Insurance Company",
        ISNUMBER(SEARCH("Dar Fahoosaat",M152)),"Service Provider",
        ISNUMBER(SEARCH("General Authority of Zakat",M152)),"Tax Authority",
        ISNUMBER(SEARCH("Gulf Voyager",M152)),"Service Provider",
        ISNUMBER(SEARCH("Hopeway Trading",M152)),"Supplier",
        ISNUMBER(SEARCH("Interhealth Medical",M152)),"Customer",
        ISNUMBER(SEARCH("Ishaar",M152)),"Service Provider",
        ISNUMBER(SEARCH("ISO Arabia",M152)),"Service Provider",
        ISNUMBER(SEARCH("Khalid Saad Al Otaibi",M152)),"Supplier",
        ISNUMBER(SEARCH("MERAS for Decoration",M152)),"Supplier",
        ISNUMBER(SEARCH("Middle East Customs Clearance",M152)),"Service Provider",
        ISNUMBER(SEARCH("Ministry of Human Resources",M152)),"Regulatory Agency",
        ISNUMBER(SEARCH("My Business Services",M152)),"Service Provider",
        ISNUMBER(SEARCH("National Water Company",M152)),"Utility Provider",
        ISNUMBER(SEARCH("Rania Contracting",M152)),"Supplier",
        ISNUMBER(SEARCH("Sahab United Motors",M152)),"Supplier",
        ISNUMBER(SEARCH("Saudi Electric Company",M152)),"Utility Provider",
        ISNUMBER(SEARCH("Saudi Vetonit",M152)),"Supplier",
        ISNUMBER(SEARCH("Shomoul Eng",M152)),"Service Provider",
        ISNUMBER(SEARCH("STC",M152)),"Utility Provider",
        ISNUMBER(SEARCH("The General Organization for Social Insurance",M152)),"Social Insurance Agency",
        ISNUMBER(SEARCH("TUV Rheinland",M152)),"Service Provider",
        ISNUMBER(SEARCH("Al Arabia Ceramic",M152)),"Supplier",
        ISNUMBER(SEARCH("National Company for Building",M152)),"Customer",
        ISNUMBER(SEARCH("Athraa Holding",M152)),"Customer",
        ISNUMBER(SEARCH("Al Rasan",M152)),"Supplier",
        ISNUMBER(SEARCH("Raboua Al Haid",M152)),"Customer",
        ISNUMBER(SEARCH("Al Jazeera Paint",M152)),"Supplier",
        ISNUMBER(SEARCH("Rania Works Contracting",M152)),"Supplier",
        ISNUMBER(SEARCH("Bandar Jarallah",M152)),"Supplier",
        TRUE,"Supplier"
    ),
    "-"
)</f>
        <v>Customer</v>
      </c>
      <c r="AD152" s="25" t="str" cm="1">
        <f t="array" ref="AD152">_xlfn.IFNA(
    _xlfn.IFS(
        AC152="Same Company","High",
        AC152="Shareholder","High",
        AC152="Government","High",
        AC152="Bank","High",
        AC152="Lender","High",
        AC152="Unknown","Low",
        AC152="-","Low",
        TRUE,"Medium"
    ),
    "-"
)</f>
        <v>Medium</v>
      </c>
      <c r="AE152" s="25" t="str">
        <f t="shared" si="10"/>
        <v>-</v>
      </c>
      <c r="AF152" s="25" t="str" cm="1">
        <f t="array" ref="AF152">_xlfn.IFNA(
    _xlfn.IFS(
        K152="Credit",
            _xlfn.IFS(
                OR(ISNUMBER(SEARCH("Rejected",L152)),ISNUMBER(SEARCH("Returned",L152))),"Other Income",
                TRUE,"Revenue"
            ),
        K152="Debit",
            _xlfn.IFS(
                ISNUMBER(SEARCH("Payroll",L152)),"OPEX",
                ISNUMBER(SEARCH("Expatriate",L152)),"OPEX",
                ISNUMBER(SEARCH("Zakat",M152)),"ZATCA",
                ISNUMBER(SEARCH("General Organization for Social Insurance",M152)),"OPEX",
                ISNUMBER(SEARCH("Saudi Electric",M152)),"OPEX",
                ISNUMBER(SEARCH("STC",M152)),"OPEX",
                ISNUMBER(SEARCH("National Water",M152)),"OPEX",
                ISNUMBER(SEARCH("Bupa",M152)),"OPEX",
                ISNUMBER(SEARCH("Abdullah Abdulkarim",M152)),"OPEX",
                ISNUMBER(SEARCH("Abdullah Fahad",M152)),"OPEX",
                ISNUMBER(SEARCH("ISO Arabia",M152)),"OPEX",
                ISNUMBER(SEARCH("Gulf Voyager",M152)),"OPEX",
                ISNUMBER(SEARCH("Ministry",M152)),"OPEX",
                ISNUMBER(SEARCH("General Authority of Zakat",M152)),"ZATCA",
                ISNUMBER(SEARCH("Rejected",L152)),"Other Income",
                TRUE,"COGS"
            ),
        TRUE,"-"
    ),
    "-"
)</f>
        <v>Revenue</v>
      </c>
      <c r="AG152" s="25" t="str" cm="1">
        <f t="array" ref="AG152">_xlfn.IFNA(
    _xlfn.IFS(
        ISNUMBER(SEARCH("Payroll",L152)),"Payroll",
        ISNUMBER(SEARCH("Expatriate",L152)),"Government Fees",
        ISNUMBER(SEARCH("Zakat",M152)),"Zakat",
        ISNUMBER(SEARCH("Social Insurance",M152)),"Social Insurance",
        ISNUMBER(SEARCH("Saudi Electric",M152)),"Electricity",
        ISNUMBER(SEARCH("STC",M152)),"Telecom",
        ISNUMBER(SEARCH("National Water",M152)),"Water",
        ISNUMBER(SEARCH("Bupa",M152)),"Insurance",
        ISNUMBER(SEARCH("Gulf Voyager",M152)),"Travel",
        ISNUMBER(SEARCH("Ministry",M152)),"Government Fees",
        ISNUMBER(SEARCH("Abdullah Abdulkarim",M152)),"Consulting",
        ISNUMBER(SEARCH("Abdullah Fahad",M152)),"Accounting",
        ISNUMBER(SEARCH("ISO Arabia",M152)),"Consulting",
        ISNUMBER(SEARCH("Rejected",L152)),"Refund",
        AF152="COGS","Inventory Purchase",
        AF152="Revenue","Revenue",
        AF152="OPEX","Other",
        AF152="ZATCA","Zakat",
        TRUE,"-"
    ),
    "-"
)</f>
        <v>Revenue</v>
      </c>
      <c r="AH152" s="25" t="str" cm="1">
        <f t="array" ref="AH152">_xlfn.IFNA(
    _xlfn.IFS(
        AF152="-","Low",
        AF152="Other","Low",
        TRUE,"Medium"
    ),
    "-"
)</f>
        <v>Medium</v>
      </c>
      <c r="AI152" s="25" t="str">
        <f t="shared" si="11"/>
        <v>-</v>
      </c>
    </row>
    <row r="153" spans="1:35" x14ac:dyDescent="0.25">
      <c r="A153" s="10">
        <v>59</v>
      </c>
      <c r="B153" s="10" t="s">
        <v>35</v>
      </c>
      <c r="C153" s="10" t="s">
        <v>36</v>
      </c>
      <c r="D153" s="10" t="s">
        <v>37</v>
      </c>
      <c r="E153" s="10" t="s">
        <v>38</v>
      </c>
      <c r="F153" s="11" t="s">
        <v>39</v>
      </c>
      <c r="G153" s="11" t="s">
        <v>40</v>
      </c>
      <c r="H153" s="12">
        <v>44945</v>
      </c>
      <c r="I153" s="20">
        <v>228250.18</v>
      </c>
      <c r="J153" s="20">
        <v>200000</v>
      </c>
      <c r="K153" s="10" t="s">
        <v>116</v>
      </c>
      <c r="L153" s="9" t="s">
        <v>230</v>
      </c>
      <c r="M153" s="9" t="s">
        <v>231</v>
      </c>
      <c r="N153" s="9" t="s">
        <v>232</v>
      </c>
      <c r="O153" s="9" t="s">
        <v>233</v>
      </c>
      <c r="P153" s="15">
        <v>44945</v>
      </c>
      <c r="Q153" s="9" t="s">
        <v>245</v>
      </c>
      <c r="R153" s="16">
        <v>200000</v>
      </c>
      <c r="U153" s="9" t="s">
        <v>55</v>
      </c>
      <c r="V153" s="24" t="str" cm="1">
        <f t="array" ref="V153">_xlfn.IFNA(
    _xlfn.IFS(
        ISNUMBER(SEARCH("Fast Outgoing Transfer",L153)),"Transfer",
        ISNUMBER(SEARCH("Incoming Fast Transfer",L153)),"Transfer",
        ISNUMBER(SEARCH("Outgoing International Transfer",L153)),"Transfer",
        ISNUMBER(SEARCH("Bill Payment",L153)),"SADAD",
        ISNUMBER(SEARCH("Payroll",L153)),"Payroll",
        ISNUMBER(SEARCH("Cash Deposit",L153)),"Cash",
        ISNUMBER(SEARCH("Internal Transfer",L153)),"Transfer",
        ISNUMBER(SEARCH("Expatriate Services Payment",L153)),"SADAD",
        ISNUMBER(SEARCH("Rejected",L153)),"Transfer"
    ),
    "-"
)</f>
        <v>Transfer</v>
      </c>
      <c r="W153" s="25" t="str" cm="1">
        <f t="array" ref="W153">_xlfn.IFNA(
    _xlfn.IFS(
        AND(V153="Transfer",ISNUMBER(SEARCH("RIYAD BANK",L153))),"External FI",
        AND(V153="Transfer",ISNUMBER(SEARCH("Al Ahli",L153))),"External FI",
        AND(V153="Transfer",ISNUMBER(SEARCH("CIB via",L153))),"Local Transfer",
        AND(V153="Transfer",ISNUMBER(SEARCH("CIB)",L153))),"Local Transfer",
        AND(V153="Transfer",ISNUMBER(SEARCH("SMRT",L153))),"Local Transfer",
        AND(V153="Transfer",ISNUMBER(SEARCH("Al Murabba",L153))),"Local Transfer",
        AND(V153="Transfer",ISNUMBER(SEARCH("Internal Transfer",L153))),"Same FI",
        AND(V153="Transfer",ISNUMBER(SEARCH("Rejected",L153))),"Failed",
        V153="SADAD",
            _xlfn.IFS(
                ISNUMBER(SEARCH("Expatriate",L153)),"Expat Fees",
                TRUE,"Online Payment"
            ),
        V153="Payroll","Payroll",
        V153="Cash","Deposit",
        TRUE,"-"
    ),
    "-"
)</f>
        <v>External FI</v>
      </c>
      <c r="X153" s="25" t="str" cm="1">
        <f t="array" ref="X153">_xlfn.IFNA(
    _xlfn.IFS(
        V153="-","Low",
        W153="-","Low",
        TRUE,"High"
    ),
    "-"
)</f>
        <v>High</v>
      </c>
      <c r="Y153" s="25" t="str">
        <f t="shared" si="8"/>
        <v>-</v>
      </c>
      <c r="Z153" s="25" t="str" cm="1">
        <f t="array" ref="Z153">_xlfn.IFNA(
    _xlfn.IFS(
        ISNUMBER(SEARCH("Abdul Latif Jameel",M153)),"Lender",
        ISNUMBER(SEARCH("Abdullah Abdulkarim Al Sudais",M153)),"Accounting",
        ISNUMBER(SEARCH("Abdullah Fahad for Accounting",M153)),"Accounting",
        ISNUMBER(SEARCH("Abdullah Rashid Shaikh",M153)),"Shareholder",
        ISNUMBER(SEARCH("Advanced Equipments",M153)),"Equipment Rental",
        ISNUMBER(SEARCH("Al Banuk Sana",M153)),"Telecom Company",
        ISNUMBER(SEARCH("Al Khaleefa Factory",M153)),"Manufacturer",
        ISNUMBER(SEARCH("Al Saadeh Trading",M153)),"Trading Company",
        ISNUMBER(SEARCH("Al Zaehaan",M153)),"Trading Company",
        ISNUMBER(SEARCH("Ali Abdullah K Al Darwish",M153)),"Airlines",
        ISNUMBER(SEARCH("Bupa Arabia",M153)),"Health Insurance",
        ISNUMBER(SEARCH("Dar Fahoosaat",M153)),"Consultant",
        ISNUMBER(SEARCH("General Authority of Zakat",M153)),"Tax Collection",
        ISNUMBER(SEARCH("Gulf Voyager",M153)),"Travel Agency",
        ISNUMBER(SEARCH("Hopeway Trading",M153)),"Trading Company",
        ISNUMBER(SEARCH("Interhealth Medical",M153)),"Medical Services",
        ISNUMBER(SEARCH("Ishaar",M153)),"Online Payment Service",
        ISNUMBER(SEARCH("ISO Arabia",M153)),"Certification",
        ISNUMBER(SEARCH("Khalid Saad Al Otaibi",M153)),"Trading Company",
        ISNUMBER(SEARCH("MERAS for Decoration",M153)),"Decor Company",
        ISNUMBER(SEARCH("Middle East Customs Clearance",M153)),"Customs",
        ISNUMBER(SEARCH("Ministry of Human Resources",M153)),"Government",
        ISNUMBER(SEARCH("My Business Services",M153)),"Service Provider",
        ISNUMBER(SEARCH("National Water Company",M153)),"Water Company",
        ISNUMBER(SEARCH("Rania Contracting",M153)),"Contracting",
        ISNUMBER(SEARCH("Rashid Ali Sheikh",M153)),"Shareholder",
        ISNUMBER(SEARCH("Sahab United Motors",M153)),"Car Show Room",
        ISNUMBER(SEARCH("Saud Mohammed Al Tamimi",M153)),"Shareholder",
        ISNUMBER(SEARCH("Saud Mohammed Tamimi",M153)),"Shareholder",
        ISNUMBER(SEARCH("Saudi Electric Company",M153)),"Electricity Company",
        ISNUMBER(SEARCH("Saudi Vetonit",M153)),"Building Materials",
        ISNUMBER(SEARCH("Shomoul Eng",M153)),"Safety",
        ISNUMBER(SEARCH("STC",M153)),"Telecom Company",
        ISNUMBER(SEARCH("The General Organization for Social Insurance",M153)),"Social Insurance Agency",
        ISNUMBER(SEARCH("TUV Rheinland",M153)),"Certification",
        ISNUMBER(SEARCH("Al Arabia Ceramic",M153)),"Building Materials",
        ISNUMBER(SEARCH("National Company for Building and Marketing",M153)),"Parent Company",
        ISNUMBER(SEARCH("Athraa Holding",M153)),"Holding Company",
        ISNUMBER(SEARCH("Al Rasan",M153)),"Contracting",
        ISNUMBER(SEARCH("Raboua Al Haid",M153)),"Trading Company",
        ISNUMBER(SEARCH("Al Jazeera Paint",M153)),"Manufacturer",
        ISNUMBER(SEARCH("Rania Works Contracting",M153)),"Contracting",
        ISNUMBER(SEARCH("Bandar Jarallah",M153)),"Trading Establishment",
        ISNUMBER(SEARCH("RS Infratec Saudi",M153)),"Same Company",
        ISNUMBER(SEARCH("Payroll",M153)),"Bank",
        ISNUMBER(SEARCH("Expatriate",M153)),"Government",
        ISNUMBER(SEARCH("Unknown Sender",M153)),"Unknown",
        TRUE,"Unknown"
    ),
    "-"
)</f>
        <v>Parent Company</v>
      </c>
      <c r="AA153" s="25" t="str" cm="1">
        <f t="array" ref="AA153">_xlfn.IFNA(
    _xlfn.IFS(
        Z153="Lender","Financing",
        Z153="Accounting","Accounting",
        Z153="Shareholder","Individual",
        Z153="Equipment Rental","Equipment Rental",
        Z153="Telecom Company","Telecom",
        Z153="Manufacturer","Manufacturer",
        Z153="Trading Company","Trading And Transport",
        Z153="Trading Establishment","Trading",
        Z153="Airlines","Airlines",
        Z153="Health Insurance","Insurance",
        Z153="Consultant","Consultant",
        Z153="Tax Collection","Government",
        Z153="Travel Agency","Travel Agency",
        Z153="Medical Services","Medical Center",
        Z153="Online Payment Service","Payment Facilitator",
        Z153="Certification","Safety",
        Z153="Decor Company","Design",
        Z153="Customs","Customs",
        Z153="Government","Government",
        Z153="Service Provider","Service Provider",
        Z153="Water Company","Water Company",
        Z153="Contracting","Contracting",
        Z153="Car Show Room","Car Trader",
        Z153="Electricity Company","Electricity Company",
        Z153="Building Materials","Building Materials",
        Z153="Safety","Safety",
        Z153="Social Insurance Agency","Government Fund",
        Z153="Parent Company","Holding Company",
        Z153="Holding Company","Holding Company",
        Z153="Same Company","Construction",
        Z153="Bank","Bank",
        Z153="Unknown","Unknown",
        TRUE,"-"
    ),
    "-"
)</f>
        <v>Holding Company</v>
      </c>
      <c r="AB153" s="25" t="str">
        <f t="shared" si="9"/>
        <v>-</v>
      </c>
      <c r="AC153" s="25" t="str" cm="1">
        <f t="array" ref="AC153">_xlfn.IFNA(
    _xlfn.IFS(
        Z153="Shareholder","Shareholder",
        Z153="Same Company","Same Company",
        Z153="Bank","Bank",
        Z153="Government","Government",
        Z153="Social Insurance Agency","Government",
        Z153="Parent Company","Customer",
        Z153="Lender","Lender",
        Z153="Unknown","Unknown",
        ISNUMBER(SEARCH("Abdullah Abdulkarim",M153)),"Service Provider",
        ISNUMBER(SEARCH("Abdullah Fahad",M153)),"Service Provider",
        ISNUMBER(SEARCH("Advanced Equipments",M153)),"Supplier",
        ISNUMBER(SEARCH("Al Banuk Sana",M153)),"Supplier",
        ISNUMBER(SEARCH("Al Khaleefa Factory",M153)),"Supplier",
        ISNUMBER(SEARCH("Al Saadeh Trading",M153)),"Supplier",
        ISNUMBER(SEARCH("Al Zaehaan",M153)),"Supplier",
        ISNUMBER(SEARCH("Ali Abdullah K Al Darwish",M153)),"Service Provider",
        ISNUMBER(SEARCH("Bupa Arabia",M153)),"Insurance Company",
        ISNUMBER(SEARCH("Dar Fahoosaat",M153)),"Service Provider",
        ISNUMBER(SEARCH("General Authority of Zakat",M153)),"Tax Authority",
        ISNUMBER(SEARCH("Gulf Voyager",M153)),"Service Provider",
        ISNUMBER(SEARCH("Hopeway Trading",M153)),"Supplier",
        ISNUMBER(SEARCH("Interhealth Medical",M153)),"Customer",
        ISNUMBER(SEARCH("Ishaar",M153)),"Service Provider",
        ISNUMBER(SEARCH("ISO Arabia",M153)),"Service Provider",
        ISNUMBER(SEARCH("Khalid Saad Al Otaibi",M153)),"Supplier",
        ISNUMBER(SEARCH("MERAS for Decoration",M153)),"Supplier",
        ISNUMBER(SEARCH("Middle East Customs Clearance",M153)),"Service Provider",
        ISNUMBER(SEARCH("Ministry of Human Resources",M153)),"Regulatory Agency",
        ISNUMBER(SEARCH("My Business Services",M153)),"Service Provider",
        ISNUMBER(SEARCH("National Water Company",M153)),"Utility Provider",
        ISNUMBER(SEARCH("Rania Contracting",M153)),"Supplier",
        ISNUMBER(SEARCH("Sahab United Motors",M153)),"Supplier",
        ISNUMBER(SEARCH("Saudi Electric Company",M153)),"Utility Provider",
        ISNUMBER(SEARCH("Saudi Vetonit",M153)),"Supplier",
        ISNUMBER(SEARCH("Shomoul Eng",M153)),"Service Provider",
        ISNUMBER(SEARCH("STC",M153)),"Utility Provider",
        ISNUMBER(SEARCH("The General Organization for Social Insurance",M153)),"Social Insurance Agency",
        ISNUMBER(SEARCH("TUV Rheinland",M153)),"Service Provider",
        ISNUMBER(SEARCH("Al Arabia Ceramic",M153)),"Supplier",
        ISNUMBER(SEARCH("National Company for Building",M153)),"Customer",
        ISNUMBER(SEARCH("Athraa Holding",M153)),"Customer",
        ISNUMBER(SEARCH("Al Rasan",M153)),"Supplier",
        ISNUMBER(SEARCH("Raboua Al Haid",M153)),"Customer",
        ISNUMBER(SEARCH("Al Jazeera Paint",M153)),"Supplier",
        ISNUMBER(SEARCH("Rania Works Contracting",M153)),"Supplier",
        ISNUMBER(SEARCH("Bandar Jarallah",M153)),"Supplier",
        TRUE,"Supplier"
    ),
    "-"
)</f>
        <v>Customer</v>
      </c>
      <c r="AD153" s="25" t="str" cm="1">
        <f t="array" ref="AD153">_xlfn.IFNA(
    _xlfn.IFS(
        AC153="Same Company","High",
        AC153="Shareholder","High",
        AC153="Government","High",
        AC153="Bank","High",
        AC153="Lender","High",
        AC153="Unknown","Low",
        AC153="-","Low",
        TRUE,"Medium"
    ),
    "-"
)</f>
        <v>Medium</v>
      </c>
      <c r="AE153" s="25" t="str">
        <f t="shared" si="10"/>
        <v>-</v>
      </c>
      <c r="AF153" s="25" t="str" cm="1">
        <f t="array" ref="AF153">_xlfn.IFNA(
    _xlfn.IFS(
        K153="Credit",
            _xlfn.IFS(
                OR(ISNUMBER(SEARCH("Rejected",L153)),ISNUMBER(SEARCH("Returned",L153))),"Other Income",
                TRUE,"Revenue"
            ),
        K153="Debit",
            _xlfn.IFS(
                ISNUMBER(SEARCH("Payroll",L153)),"OPEX",
                ISNUMBER(SEARCH("Expatriate",L153)),"OPEX",
                ISNUMBER(SEARCH("Zakat",M153)),"ZATCA",
                ISNUMBER(SEARCH("General Organization for Social Insurance",M153)),"OPEX",
                ISNUMBER(SEARCH("Saudi Electric",M153)),"OPEX",
                ISNUMBER(SEARCH("STC",M153)),"OPEX",
                ISNUMBER(SEARCH("National Water",M153)),"OPEX",
                ISNUMBER(SEARCH("Bupa",M153)),"OPEX",
                ISNUMBER(SEARCH("Abdullah Abdulkarim",M153)),"OPEX",
                ISNUMBER(SEARCH("Abdullah Fahad",M153)),"OPEX",
                ISNUMBER(SEARCH("ISO Arabia",M153)),"OPEX",
                ISNUMBER(SEARCH("Gulf Voyager",M153)),"OPEX",
                ISNUMBER(SEARCH("Ministry",M153)),"OPEX",
                ISNUMBER(SEARCH("General Authority of Zakat",M153)),"ZATCA",
                ISNUMBER(SEARCH("Rejected",L153)),"Other Income",
                TRUE,"COGS"
            ),
        TRUE,"-"
    ),
    "-"
)</f>
        <v>Revenue</v>
      </c>
      <c r="AG153" s="25" t="str" cm="1">
        <f t="array" ref="AG153">_xlfn.IFNA(
    _xlfn.IFS(
        ISNUMBER(SEARCH("Payroll",L153)),"Payroll",
        ISNUMBER(SEARCH("Expatriate",L153)),"Government Fees",
        ISNUMBER(SEARCH("Zakat",M153)),"Zakat",
        ISNUMBER(SEARCH("Social Insurance",M153)),"Social Insurance",
        ISNUMBER(SEARCH("Saudi Electric",M153)),"Electricity",
        ISNUMBER(SEARCH("STC",M153)),"Telecom",
        ISNUMBER(SEARCH("National Water",M153)),"Water",
        ISNUMBER(SEARCH("Bupa",M153)),"Insurance",
        ISNUMBER(SEARCH("Gulf Voyager",M153)),"Travel",
        ISNUMBER(SEARCH("Ministry",M153)),"Government Fees",
        ISNUMBER(SEARCH("Abdullah Abdulkarim",M153)),"Consulting",
        ISNUMBER(SEARCH("Abdullah Fahad",M153)),"Accounting",
        ISNUMBER(SEARCH("ISO Arabia",M153)),"Consulting",
        ISNUMBER(SEARCH("Rejected",L153)),"Refund",
        AF153="COGS","Inventory Purchase",
        AF153="Revenue","Revenue",
        AF153="OPEX","Other",
        AF153="ZATCA","Zakat",
        TRUE,"-"
    ),
    "-"
)</f>
        <v>Revenue</v>
      </c>
      <c r="AH153" s="25" t="str" cm="1">
        <f t="array" ref="AH153">_xlfn.IFNA(
    _xlfn.IFS(
        AF153="-","Low",
        AF153="Other","Low",
        TRUE,"Medium"
    ),
    "-"
)</f>
        <v>Medium</v>
      </c>
      <c r="AI153" s="25" t="str">
        <f t="shared" si="11"/>
        <v>-</v>
      </c>
    </row>
    <row r="154" spans="1:35" x14ac:dyDescent="0.25">
      <c r="A154" s="10">
        <v>59</v>
      </c>
      <c r="B154" s="10" t="s">
        <v>35</v>
      </c>
      <c r="C154" s="10" t="s">
        <v>36</v>
      </c>
      <c r="D154" s="10" t="s">
        <v>37</v>
      </c>
      <c r="E154" s="10" t="s">
        <v>38</v>
      </c>
      <c r="F154" s="11" t="s">
        <v>39</v>
      </c>
      <c r="G154" s="11" t="s">
        <v>40</v>
      </c>
      <c r="H154" s="12">
        <v>44951</v>
      </c>
      <c r="I154" s="20">
        <v>115015.45</v>
      </c>
      <c r="J154" s="20">
        <v>100000</v>
      </c>
      <c r="K154" s="10" t="s">
        <v>116</v>
      </c>
      <c r="L154" s="9" t="s">
        <v>230</v>
      </c>
      <c r="M154" s="9" t="s">
        <v>231</v>
      </c>
      <c r="N154" s="9" t="s">
        <v>232</v>
      </c>
      <c r="O154" s="9" t="s">
        <v>233</v>
      </c>
      <c r="P154" s="15">
        <v>44951</v>
      </c>
      <c r="Q154" s="9" t="s">
        <v>246</v>
      </c>
      <c r="R154" s="16">
        <v>100000</v>
      </c>
      <c r="U154" s="9" t="s">
        <v>55</v>
      </c>
      <c r="V154" s="24" t="str" cm="1">
        <f t="array" ref="V154">_xlfn.IFNA(
    _xlfn.IFS(
        ISNUMBER(SEARCH("Fast Outgoing Transfer",L154)),"Transfer",
        ISNUMBER(SEARCH("Incoming Fast Transfer",L154)),"Transfer",
        ISNUMBER(SEARCH("Outgoing International Transfer",L154)),"Transfer",
        ISNUMBER(SEARCH("Bill Payment",L154)),"SADAD",
        ISNUMBER(SEARCH("Payroll",L154)),"Payroll",
        ISNUMBER(SEARCH("Cash Deposit",L154)),"Cash",
        ISNUMBER(SEARCH("Internal Transfer",L154)),"Transfer",
        ISNUMBER(SEARCH("Expatriate Services Payment",L154)),"SADAD",
        ISNUMBER(SEARCH("Rejected",L154)),"Transfer"
    ),
    "-"
)</f>
        <v>Transfer</v>
      </c>
      <c r="W154" s="25" t="str" cm="1">
        <f t="array" ref="W154">_xlfn.IFNA(
    _xlfn.IFS(
        AND(V154="Transfer",ISNUMBER(SEARCH("RIYAD BANK",L154))),"External FI",
        AND(V154="Transfer",ISNUMBER(SEARCH("Al Ahli",L154))),"External FI",
        AND(V154="Transfer",ISNUMBER(SEARCH("CIB via",L154))),"Local Transfer",
        AND(V154="Transfer",ISNUMBER(SEARCH("CIB)",L154))),"Local Transfer",
        AND(V154="Transfer",ISNUMBER(SEARCH("SMRT",L154))),"Local Transfer",
        AND(V154="Transfer",ISNUMBER(SEARCH("Al Murabba",L154))),"Local Transfer",
        AND(V154="Transfer",ISNUMBER(SEARCH("Internal Transfer",L154))),"Same FI",
        AND(V154="Transfer",ISNUMBER(SEARCH("Rejected",L154))),"Failed",
        V154="SADAD",
            _xlfn.IFS(
                ISNUMBER(SEARCH("Expatriate",L154)),"Expat Fees",
                TRUE,"Online Payment"
            ),
        V154="Payroll","Payroll",
        V154="Cash","Deposit",
        TRUE,"-"
    ),
    "-"
)</f>
        <v>External FI</v>
      </c>
      <c r="X154" s="25" t="str" cm="1">
        <f t="array" ref="X154">_xlfn.IFNA(
    _xlfn.IFS(
        V154="-","Low",
        W154="-","Low",
        TRUE,"High"
    ),
    "-"
)</f>
        <v>High</v>
      </c>
      <c r="Y154" s="25" t="str">
        <f t="shared" si="8"/>
        <v>-</v>
      </c>
      <c r="Z154" s="25" t="str" cm="1">
        <f t="array" ref="Z154">_xlfn.IFNA(
    _xlfn.IFS(
        ISNUMBER(SEARCH("Abdul Latif Jameel",M154)),"Lender",
        ISNUMBER(SEARCH("Abdullah Abdulkarim Al Sudais",M154)),"Accounting",
        ISNUMBER(SEARCH("Abdullah Fahad for Accounting",M154)),"Accounting",
        ISNUMBER(SEARCH("Abdullah Rashid Shaikh",M154)),"Shareholder",
        ISNUMBER(SEARCH("Advanced Equipments",M154)),"Equipment Rental",
        ISNUMBER(SEARCH("Al Banuk Sana",M154)),"Telecom Company",
        ISNUMBER(SEARCH("Al Khaleefa Factory",M154)),"Manufacturer",
        ISNUMBER(SEARCH("Al Saadeh Trading",M154)),"Trading Company",
        ISNUMBER(SEARCH("Al Zaehaan",M154)),"Trading Company",
        ISNUMBER(SEARCH("Ali Abdullah K Al Darwish",M154)),"Airlines",
        ISNUMBER(SEARCH("Bupa Arabia",M154)),"Health Insurance",
        ISNUMBER(SEARCH("Dar Fahoosaat",M154)),"Consultant",
        ISNUMBER(SEARCH("General Authority of Zakat",M154)),"Tax Collection",
        ISNUMBER(SEARCH("Gulf Voyager",M154)),"Travel Agency",
        ISNUMBER(SEARCH("Hopeway Trading",M154)),"Trading Company",
        ISNUMBER(SEARCH("Interhealth Medical",M154)),"Medical Services",
        ISNUMBER(SEARCH("Ishaar",M154)),"Online Payment Service",
        ISNUMBER(SEARCH("ISO Arabia",M154)),"Certification",
        ISNUMBER(SEARCH("Khalid Saad Al Otaibi",M154)),"Trading Company",
        ISNUMBER(SEARCH("MERAS for Decoration",M154)),"Decor Company",
        ISNUMBER(SEARCH("Middle East Customs Clearance",M154)),"Customs",
        ISNUMBER(SEARCH("Ministry of Human Resources",M154)),"Government",
        ISNUMBER(SEARCH("My Business Services",M154)),"Service Provider",
        ISNUMBER(SEARCH("National Water Company",M154)),"Water Company",
        ISNUMBER(SEARCH("Rania Contracting",M154)),"Contracting",
        ISNUMBER(SEARCH("Rashid Ali Sheikh",M154)),"Shareholder",
        ISNUMBER(SEARCH("Sahab United Motors",M154)),"Car Show Room",
        ISNUMBER(SEARCH("Saud Mohammed Al Tamimi",M154)),"Shareholder",
        ISNUMBER(SEARCH("Saud Mohammed Tamimi",M154)),"Shareholder",
        ISNUMBER(SEARCH("Saudi Electric Company",M154)),"Electricity Company",
        ISNUMBER(SEARCH("Saudi Vetonit",M154)),"Building Materials",
        ISNUMBER(SEARCH("Shomoul Eng",M154)),"Safety",
        ISNUMBER(SEARCH("STC",M154)),"Telecom Company",
        ISNUMBER(SEARCH("The General Organization for Social Insurance",M154)),"Social Insurance Agency",
        ISNUMBER(SEARCH("TUV Rheinland",M154)),"Certification",
        ISNUMBER(SEARCH("Al Arabia Ceramic",M154)),"Building Materials",
        ISNUMBER(SEARCH("National Company for Building and Marketing",M154)),"Parent Company",
        ISNUMBER(SEARCH("Athraa Holding",M154)),"Holding Company",
        ISNUMBER(SEARCH("Al Rasan",M154)),"Contracting",
        ISNUMBER(SEARCH("Raboua Al Haid",M154)),"Trading Company",
        ISNUMBER(SEARCH("Al Jazeera Paint",M154)),"Manufacturer",
        ISNUMBER(SEARCH("Rania Works Contracting",M154)),"Contracting",
        ISNUMBER(SEARCH("Bandar Jarallah",M154)),"Trading Establishment",
        ISNUMBER(SEARCH("RS Infratec Saudi",M154)),"Same Company",
        ISNUMBER(SEARCH("Payroll",M154)),"Bank",
        ISNUMBER(SEARCH("Expatriate",M154)),"Government",
        ISNUMBER(SEARCH("Unknown Sender",M154)),"Unknown",
        TRUE,"Unknown"
    ),
    "-"
)</f>
        <v>Parent Company</v>
      </c>
      <c r="AA154" s="25" t="str" cm="1">
        <f t="array" ref="AA154">_xlfn.IFNA(
    _xlfn.IFS(
        Z154="Lender","Financing",
        Z154="Accounting","Accounting",
        Z154="Shareholder","Individual",
        Z154="Equipment Rental","Equipment Rental",
        Z154="Telecom Company","Telecom",
        Z154="Manufacturer","Manufacturer",
        Z154="Trading Company","Trading And Transport",
        Z154="Trading Establishment","Trading",
        Z154="Airlines","Airlines",
        Z154="Health Insurance","Insurance",
        Z154="Consultant","Consultant",
        Z154="Tax Collection","Government",
        Z154="Travel Agency","Travel Agency",
        Z154="Medical Services","Medical Center",
        Z154="Online Payment Service","Payment Facilitator",
        Z154="Certification","Safety",
        Z154="Decor Company","Design",
        Z154="Customs","Customs",
        Z154="Government","Government",
        Z154="Service Provider","Service Provider",
        Z154="Water Company","Water Company",
        Z154="Contracting","Contracting",
        Z154="Car Show Room","Car Trader",
        Z154="Electricity Company","Electricity Company",
        Z154="Building Materials","Building Materials",
        Z154="Safety","Safety",
        Z154="Social Insurance Agency","Government Fund",
        Z154="Parent Company","Holding Company",
        Z154="Holding Company","Holding Company",
        Z154="Same Company","Construction",
        Z154="Bank","Bank",
        Z154="Unknown","Unknown",
        TRUE,"-"
    ),
    "-"
)</f>
        <v>Holding Company</v>
      </c>
      <c r="AB154" s="25" t="str">
        <f t="shared" si="9"/>
        <v>-</v>
      </c>
      <c r="AC154" s="25" t="str" cm="1">
        <f t="array" ref="AC154">_xlfn.IFNA(
    _xlfn.IFS(
        Z154="Shareholder","Shareholder",
        Z154="Same Company","Same Company",
        Z154="Bank","Bank",
        Z154="Government","Government",
        Z154="Social Insurance Agency","Government",
        Z154="Parent Company","Customer",
        Z154="Lender","Lender",
        Z154="Unknown","Unknown",
        ISNUMBER(SEARCH("Abdullah Abdulkarim",M154)),"Service Provider",
        ISNUMBER(SEARCH("Abdullah Fahad",M154)),"Service Provider",
        ISNUMBER(SEARCH("Advanced Equipments",M154)),"Supplier",
        ISNUMBER(SEARCH("Al Banuk Sana",M154)),"Supplier",
        ISNUMBER(SEARCH("Al Khaleefa Factory",M154)),"Supplier",
        ISNUMBER(SEARCH("Al Saadeh Trading",M154)),"Supplier",
        ISNUMBER(SEARCH("Al Zaehaan",M154)),"Supplier",
        ISNUMBER(SEARCH("Ali Abdullah K Al Darwish",M154)),"Service Provider",
        ISNUMBER(SEARCH("Bupa Arabia",M154)),"Insurance Company",
        ISNUMBER(SEARCH("Dar Fahoosaat",M154)),"Service Provider",
        ISNUMBER(SEARCH("General Authority of Zakat",M154)),"Tax Authority",
        ISNUMBER(SEARCH("Gulf Voyager",M154)),"Service Provider",
        ISNUMBER(SEARCH("Hopeway Trading",M154)),"Supplier",
        ISNUMBER(SEARCH("Interhealth Medical",M154)),"Customer",
        ISNUMBER(SEARCH("Ishaar",M154)),"Service Provider",
        ISNUMBER(SEARCH("ISO Arabia",M154)),"Service Provider",
        ISNUMBER(SEARCH("Khalid Saad Al Otaibi",M154)),"Supplier",
        ISNUMBER(SEARCH("MERAS for Decoration",M154)),"Supplier",
        ISNUMBER(SEARCH("Middle East Customs Clearance",M154)),"Service Provider",
        ISNUMBER(SEARCH("Ministry of Human Resources",M154)),"Regulatory Agency",
        ISNUMBER(SEARCH("My Business Services",M154)),"Service Provider",
        ISNUMBER(SEARCH("National Water Company",M154)),"Utility Provider",
        ISNUMBER(SEARCH("Rania Contracting",M154)),"Supplier",
        ISNUMBER(SEARCH("Sahab United Motors",M154)),"Supplier",
        ISNUMBER(SEARCH("Saudi Electric Company",M154)),"Utility Provider",
        ISNUMBER(SEARCH("Saudi Vetonit",M154)),"Supplier",
        ISNUMBER(SEARCH("Shomoul Eng",M154)),"Service Provider",
        ISNUMBER(SEARCH("STC",M154)),"Utility Provider",
        ISNUMBER(SEARCH("The General Organization for Social Insurance",M154)),"Social Insurance Agency",
        ISNUMBER(SEARCH("TUV Rheinland",M154)),"Service Provider",
        ISNUMBER(SEARCH("Al Arabia Ceramic",M154)),"Supplier",
        ISNUMBER(SEARCH("National Company for Building",M154)),"Customer",
        ISNUMBER(SEARCH("Athraa Holding",M154)),"Customer",
        ISNUMBER(SEARCH("Al Rasan",M154)),"Supplier",
        ISNUMBER(SEARCH("Raboua Al Haid",M154)),"Customer",
        ISNUMBER(SEARCH("Al Jazeera Paint",M154)),"Supplier",
        ISNUMBER(SEARCH("Rania Works Contracting",M154)),"Supplier",
        ISNUMBER(SEARCH("Bandar Jarallah",M154)),"Supplier",
        TRUE,"Supplier"
    ),
    "-"
)</f>
        <v>Customer</v>
      </c>
      <c r="AD154" s="25" t="str" cm="1">
        <f t="array" ref="AD154">_xlfn.IFNA(
    _xlfn.IFS(
        AC154="Same Company","High",
        AC154="Shareholder","High",
        AC154="Government","High",
        AC154="Bank","High",
        AC154="Lender","High",
        AC154="Unknown","Low",
        AC154="-","Low",
        TRUE,"Medium"
    ),
    "-"
)</f>
        <v>Medium</v>
      </c>
      <c r="AE154" s="25" t="str">
        <f t="shared" si="10"/>
        <v>-</v>
      </c>
      <c r="AF154" s="25" t="str" cm="1">
        <f t="array" ref="AF154">_xlfn.IFNA(
    _xlfn.IFS(
        K154="Credit",
            _xlfn.IFS(
                OR(ISNUMBER(SEARCH("Rejected",L154)),ISNUMBER(SEARCH("Returned",L154))),"Other Income",
                TRUE,"Revenue"
            ),
        K154="Debit",
            _xlfn.IFS(
                ISNUMBER(SEARCH("Payroll",L154)),"OPEX",
                ISNUMBER(SEARCH("Expatriate",L154)),"OPEX",
                ISNUMBER(SEARCH("Zakat",M154)),"ZATCA",
                ISNUMBER(SEARCH("General Organization for Social Insurance",M154)),"OPEX",
                ISNUMBER(SEARCH("Saudi Electric",M154)),"OPEX",
                ISNUMBER(SEARCH("STC",M154)),"OPEX",
                ISNUMBER(SEARCH("National Water",M154)),"OPEX",
                ISNUMBER(SEARCH("Bupa",M154)),"OPEX",
                ISNUMBER(SEARCH("Abdullah Abdulkarim",M154)),"OPEX",
                ISNUMBER(SEARCH("Abdullah Fahad",M154)),"OPEX",
                ISNUMBER(SEARCH("ISO Arabia",M154)),"OPEX",
                ISNUMBER(SEARCH("Gulf Voyager",M154)),"OPEX",
                ISNUMBER(SEARCH("Ministry",M154)),"OPEX",
                ISNUMBER(SEARCH("General Authority of Zakat",M154)),"ZATCA",
                ISNUMBER(SEARCH("Rejected",L154)),"Other Income",
                TRUE,"COGS"
            ),
        TRUE,"-"
    ),
    "-"
)</f>
        <v>Revenue</v>
      </c>
      <c r="AG154" s="25" t="str" cm="1">
        <f t="array" ref="AG154">_xlfn.IFNA(
    _xlfn.IFS(
        ISNUMBER(SEARCH("Payroll",L154)),"Payroll",
        ISNUMBER(SEARCH("Expatriate",L154)),"Government Fees",
        ISNUMBER(SEARCH("Zakat",M154)),"Zakat",
        ISNUMBER(SEARCH("Social Insurance",M154)),"Social Insurance",
        ISNUMBER(SEARCH("Saudi Electric",M154)),"Electricity",
        ISNUMBER(SEARCH("STC",M154)),"Telecom",
        ISNUMBER(SEARCH("National Water",M154)),"Water",
        ISNUMBER(SEARCH("Bupa",M154)),"Insurance",
        ISNUMBER(SEARCH("Gulf Voyager",M154)),"Travel",
        ISNUMBER(SEARCH("Ministry",M154)),"Government Fees",
        ISNUMBER(SEARCH("Abdullah Abdulkarim",M154)),"Consulting",
        ISNUMBER(SEARCH("Abdullah Fahad",M154)),"Accounting",
        ISNUMBER(SEARCH("ISO Arabia",M154)),"Consulting",
        ISNUMBER(SEARCH("Rejected",L154)),"Refund",
        AF154="COGS","Inventory Purchase",
        AF154="Revenue","Revenue",
        AF154="OPEX","Other",
        AF154="ZATCA","Zakat",
        TRUE,"-"
    ),
    "-"
)</f>
        <v>Revenue</v>
      </c>
      <c r="AH154" s="25" t="str" cm="1">
        <f t="array" ref="AH154">_xlfn.IFNA(
    _xlfn.IFS(
        AF154="-","Low",
        AF154="Other","Low",
        TRUE,"Medium"
    ),
    "-"
)</f>
        <v>Medium</v>
      </c>
      <c r="AI154" s="25" t="str">
        <f t="shared" si="11"/>
        <v>-</v>
      </c>
    </row>
    <row r="155" spans="1:35" x14ac:dyDescent="0.25">
      <c r="A155" s="10">
        <v>59</v>
      </c>
      <c r="B155" s="10" t="s">
        <v>35</v>
      </c>
      <c r="C155" s="10" t="s">
        <v>36</v>
      </c>
      <c r="D155" s="10" t="s">
        <v>37</v>
      </c>
      <c r="E155" s="10" t="s">
        <v>38</v>
      </c>
      <c r="F155" s="11" t="s">
        <v>39</v>
      </c>
      <c r="G155" s="10" t="s">
        <v>40</v>
      </c>
      <c r="H155" s="12">
        <v>44955</v>
      </c>
      <c r="I155" s="20">
        <v>135345.74</v>
      </c>
      <c r="J155" s="20">
        <v>100000</v>
      </c>
      <c r="K155" s="10" t="s">
        <v>116</v>
      </c>
      <c r="L155" s="9" t="s">
        <v>230</v>
      </c>
      <c r="M155" s="9" t="s">
        <v>231</v>
      </c>
      <c r="N155" s="9" t="s">
        <v>232</v>
      </c>
      <c r="O155" s="9" t="s">
        <v>233</v>
      </c>
      <c r="P155" s="15">
        <v>44955</v>
      </c>
      <c r="Q155" s="9" t="s">
        <v>247</v>
      </c>
      <c r="R155" s="16">
        <v>100000</v>
      </c>
      <c r="U155" s="9" t="s">
        <v>55</v>
      </c>
      <c r="V155" s="24" t="str" cm="1">
        <f t="array" ref="V155">_xlfn.IFNA(
    _xlfn.IFS(
        ISNUMBER(SEARCH("Fast Outgoing Transfer",L155)),"Transfer",
        ISNUMBER(SEARCH("Incoming Fast Transfer",L155)),"Transfer",
        ISNUMBER(SEARCH("Outgoing International Transfer",L155)),"Transfer",
        ISNUMBER(SEARCH("Bill Payment",L155)),"SADAD",
        ISNUMBER(SEARCH("Payroll",L155)),"Payroll",
        ISNUMBER(SEARCH("Cash Deposit",L155)),"Cash",
        ISNUMBER(SEARCH("Internal Transfer",L155)),"Transfer",
        ISNUMBER(SEARCH("Expatriate Services Payment",L155)),"SADAD",
        ISNUMBER(SEARCH("Rejected",L155)),"Transfer"
    ),
    "-"
)</f>
        <v>Transfer</v>
      </c>
      <c r="W155" s="25" t="str" cm="1">
        <f t="array" ref="W155">_xlfn.IFNA(
    _xlfn.IFS(
        AND(V155="Transfer",ISNUMBER(SEARCH("RIYAD BANK",L155))),"External FI",
        AND(V155="Transfer",ISNUMBER(SEARCH("Al Ahli",L155))),"External FI",
        AND(V155="Transfer",ISNUMBER(SEARCH("CIB via",L155))),"Local Transfer",
        AND(V155="Transfer",ISNUMBER(SEARCH("CIB)",L155))),"Local Transfer",
        AND(V155="Transfer",ISNUMBER(SEARCH("SMRT",L155))),"Local Transfer",
        AND(V155="Transfer",ISNUMBER(SEARCH("Al Murabba",L155))),"Local Transfer",
        AND(V155="Transfer",ISNUMBER(SEARCH("Internal Transfer",L155))),"Same FI",
        AND(V155="Transfer",ISNUMBER(SEARCH("Rejected",L155))),"Failed",
        V155="SADAD",
            _xlfn.IFS(
                ISNUMBER(SEARCH("Expatriate",L155)),"Expat Fees",
                TRUE,"Online Payment"
            ),
        V155="Payroll","Payroll",
        V155="Cash","Deposit",
        TRUE,"-"
    ),
    "-"
)</f>
        <v>External FI</v>
      </c>
      <c r="X155" s="25" t="str" cm="1">
        <f t="array" ref="X155">_xlfn.IFNA(
    _xlfn.IFS(
        V155="-","Low",
        W155="-","Low",
        TRUE,"High"
    ),
    "-"
)</f>
        <v>High</v>
      </c>
      <c r="Y155" s="25" t="str">
        <f t="shared" si="8"/>
        <v>-</v>
      </c>
      <c r="Z155" s="25" t="str" cm="1">
        <f t="array" ref="Z155">_xlfn.IFNA(
    _xlfn.IFS(
        ISNUMBER(SEARCH("Abdul Latif Jameel",M155)),"Lender",
        ISNUMBER(SEARCH("Abdullah Abdulkarim Al Sudais",M155)),"Accounting",
        ISNUMBER(SEARCH("Abdullah Fahad for Accounting",M155)),"Accounting",
        ISNUMBER(SEARCH("Abdullah Rashid Shaikh",M155)),"Shareholder",
        ISNUMBER(SEARCH("Advanced Equipments",M155)),"Equipment Rental",
        ISNUMBER(SEARCH("Al Banuk Sana",M155)),"Telecom Company",
        ISNUMBER(SEARCH("Al Khaleefa Factory",M155)),"Manufacturer",
        ISNUMBER(SEARCH("Al Saadeh Trading",M155)),"Trading Company",
        ISNUMBER(SEARCH("Al Zaehaan",M155)),"Trading Company",
        ISNUMBER(SEARCH("Ali Abdullah K Al Darwish",M155)),"Airlines",
        ISNUMBER(SEARCH("Bupa Arabia",M155)),"Health Insurance",
        ISNUMBER(SEARCH("Dar Fahoosaat",M155)),"Consultant",
        ISNUMBER(SEARCH("General Authority of Zakat",M155)),"Tax Collection",
        ISNUMBER(SEARCH("Gulf Voyager",M155)),"Travel Agency",
        ISNUMBER(SEARCH("Hopeway Trading",M155)),"Trading Company",
        ISNUMBER(SEARCH("Interhealth Medical",M155)),"Medical Services",
        ISNUMBER(SEARCH("Ishaar",M155)),"Online Payment Service",
        ISNUMBER(SEARCH("ISO Arabia",M155)),"Certification",
        ISNUMBER(SEARCH("Khalid Saad Al Otaibi",M155)),"Trading Company",
        ISNUMBER(SEARCH("MERAS for Decoration",M155)),"Decor Company",
        ISNUMBER(SEARCH("Middle East Customs Clearance",M155)),"Customs",
        ISNUMBER(SEARCH("Ministry of Human Resources",M155)),"Government",
        ISNUMBER(SEARCH("My Business Services",M155)),"Service Provider",
        ISNUMBER(SEARCH("National Water Company",M155)),"Water Company",
        ISNUMBER(SEARCH("Rania Contracting",M155)),"Contracting",
        ISNUMBER(SEARCH("Rashid Ali Sheikh",M155)),"Shareholder",
        ISNUMBER(SEARCH("Sahab United Motors",M155)),"Car Show Room",
        ISNUMBER(SEARCH("Saud Mohammed Al Tamimi",M155)),"Shareholder",
        ISNUMBER(SEARCH("Saud Mohammed Tamimi",M155)),"Shareholder",
        ISNUMBER(SEARCH("Saudi Electric Company",M155)),"Electricity Company",
        ISNUMBER(SEARCH("Saudi Vetonit",M155)),"Building Materials",
        ISNUMBER(SEARCH("Shomoul Eng",M155)),"Safety",
        ISNUMBER(SEARCH("STC",M155)),"Telecom Company",
        ISNUMBER(SEARCH("The General Organization for Social Insurance",M155)),"Social Insurance Agency",
        ISNUMBER(SEARCH("TUV Rheinland",M155)),"Certification",
        ISNUMBER(SEARCH("Al Arabia Ceramic",M155)),"Building Materials",
        ISNUMBER(SEARCH("National Company for Building and Marketing",M155)),"Parent Company",
        ISNUMBER(SEARCH("Athraa Holding",M155)),"Holding Company",
        ISNUMBER(SEARCH("Al Rasan",M155)),"Contracting",
        ISNUMBER(SEARCH("Raboua Al Haid",M155)),"Trading Company",
        ISNUMBER(SEARCH("Al Jazeera Paint",M155)),"Manufacturer",
        ISNUMBER(SEARCH("Rania Works Contracting",M155)),"Contracting",
        ISNUMBER(SEARCH("Bandar Jarallah",M155)),"Trading Establishment",
        ISNUMBER(SEARCH("RS Infratec Saudi",M155)),"Same Company",
        ISNUMBER(SEARCH("Payroll",M155)),"Bank",
        ISNUMBER(SEARCH("Expatriate",M155)),"Government",
        ISNUMBER(SEARCH("Unknown Sender",M155)),"Unknown",
        TRUE,"Unknown"
    ),
    "-"
)</f>
        <v>Parent Company</v>
      </c>
      <c r="AA155" s="25" t="str" cm="1">
        <f t="array" ref="AA155">_xlfn.IFNA(
    _xlfn.IFS(
        Z155="Lender","Financing",
        Z155="Accounting","Accounting",
        Z155="Shareholder","Individual",
        Z155="Equipment Rental","Equipment Rental",
        Z155="Telecom Company","Telecom",
        Z155="Manufacturer","Manufacturer",
        Z155="Trading Company","Trading And Transport",
        Z155="Trading Establishment","Trading",
        Z155="Airlines","Airlines",
        Z155="Health Insurance","Insurance",
        Z155="Consultant","Consultant",
        Z155="Tax Collection","Government",
        Z155="Travel Agency","Travel Agency",
        Z155="Medical Services","Medical Center",
        Z155="Online Payment Service","Payment Facilitator",
        Z155="Certification","Safety",
        Z155="Decor Company","Design",
        Z155="Customs","Customs",
        Z155="Government","Government",
        Z155="Service Provider","Service Provider",
        Z155="Water Company","Water Company",
        Z155="Contracting","Contracting",
        Z155="Car Show Room","Car Trader",
        Z155="Electricity Company","Electricity Company",
        Z155="Building Materials","Building Materials",
        Z155="Safety","Safety",
        Z155="Social Insurance Agency","Government Fund",
        Z155="Parent Company","Holding Company",
        Z155="Holding Company","Holding Company",
        Z155="Same Company","Construction",
        Z155="Bank","Bank",
        Z155="Unknown","Unknown",
        TRUE,"-"
    ),
    "-"
)</f>
        <v>Holding Company</v>
      </c>
      <c r="AB155" s="25" t="str">
        <f t="shared" si="9"/>
        <v>-</v>
      </c>
      <c r="AC155" s="25" t="str" cm="1">
        <f t="array" ref="AC155">_xlfn.IFNA(
    _xlfn.IFS(
        Z155="Shareholder","Shareholder",
        Z155="Same Company","Same Company",
        Z155="Bank","Bank",
        Z155="Government","Government",
        Z155="Social Insurance Agency","Government",
        Z155="Parent Company","Customer",
        Z155="Lender","Lender",
        Z155="Unknown","Unknown",
        ISNUMBER(SEARCH("Abdullah Abdulkarim",M155)),"Service Provider",
        ISNUMBER(SEARCH("Abdullah Fahad",M155)),"Service Provider",
        ISNUMBER(SEARCH("Advanced Equipments",M155)),"Supplier",
        ISNUMBER(SEARCH("Al Banuk Sana",M155)),"Supplier",
        ISNUMBER(SEARCH("Al Khaleefa Factory",M155)),"Supplier",
        ISNUMBER(SEARCH("Al Saadeh Trading",M155)),"Supplier",
        ISNUMBER(SEARCH("Al Zaehaan",M155)),"Supplier",
        ISNUMBER(SEARCH("Ali Abdullah K Al Darwish",M155)),"Service Provider",
        ISNUMBER(SEARCH("Bupa Arabia",M155)),"Insurance Company",
        ISNUMBER(SEARCH("Dar Fahoosaat",M155)),"Service Provider",
        ISNUMBER(SEARCH("General Authority of Zakat",M155)),"Tax Authority",
        ISNUMBER(SEARCH("Gulf Voyager",M155)),"Service Provider",
        ISNUMBER(SEARCH("Hopeway Trading",M155)),"Supplier",
        ISNUMBER(SEARCH("Interhealth Medical",M155)),"Customer",
        ISNUMBER(SEARCH("Ishaar",M155)),"Service Provider",
        ISNUMBER(SEARCH("ISO Arabia",M155)),"Service Provider",
        ISNUMBER(SEARCH("Khalid Saad Al Otaibi",M155)),"Supplier",
        ISNUMBER(SEARCH("MERAS for Decoration",M155)),"Supplier",
        ISNUMBER(SEARCH("Middle East Customs Clearance",M155)),"Service Provider",
        ISNUMBER(SEARCH("Ministry of Human Resources",M155)),"Regulatory Agency",
        ISNUMBER(SEARCH("My Business Services",M155)),"Service Provider",
        ISNUMBER(SEARCH("National Water Company",M155)),"Utility Provider",
        ISNUMBER(SEARCH("Rania Contracting",M155)),"Supplier",
        ISNUMBER(SEARCH("Sahab United Motors",M155)),"Supplier",
        ISNUMBER(SEARCH("Saudi Electric Company",M155)),"Utility Provider",
        ISNUMBER(SEARCH("Saudi Vetonit",M155)),"Supplier",
        ISNUMBER(SEARCH("Shomoul Eng",M155)),"Service Provider",
        ISNUMBER(SEARCH("STC",M155)),"Utility Provider",
        ISNUMBER(SEARCH("The General Organization for Social Insurance",M155)),"Social Insurance Agency",
        ISNUMBER(SEARCH("TUV Rheinland",M155)),"Service Provider",
        ISNUMBER(SEARCH("Al Arabia Ceramic",M155)),"Supplier",
        ISNUMBER(SEARCH("National Company for Building",M155)),"Customer",
        ISNUMBER(SEARCH("Athraa Holding",M155)),"Customer",
        ISNUMBER(SEARCH("Al Rasan",M155)),"Supplier",
        ISNUMBER(SEARCH("Raboua Al Haid",M155)),"Customer",
        ISNUMBER(SEARCH("Al Jazeera Paint",M155)),"Supplier",
        ISNUMBER(SEARCH("Rania Works Contracting",M155)),"Supplier",
        ISNUMBER(SEARCH("Bandar Jarallah",M155)),"Supplier",
        TRUE,"Supplier"
    ),
    "-"
)</f>
        <v>Customer</v>
      </c>
      <c r="AD155" s="25" t="str" cm="1">
        <f t="array" ref="AD155">_xlfn.IFNA(
    _xlfn.IFS(
        AC155="Same Company","High",
        AC155="Shareholder","High",
        AC155="Government","High",
        AC155="Bank","High",
        AC155="Lender","High",
        AC155="Unknown","Low",
        AC155="-","Low",
        TRUE,"Medium"
    ),
    "-"
)</f>
        <v>Medium</v>
      </c>
      <c r="AE155" s="25" t="str">
        <f t="shared" si="10"/>
        <v>-</v>
      </c>
      <c r="AF155" s="25" t="str" cm="1">
        <f t="array" ref="AF155">_xlfn.IFNA(
    _xlfn.IFS(
        K155="Credit",
            _xlfn.IFS(
                OR(ISNUMBER(SEARCH("Rejected",L155)),ISNUMBER(SEARCH("Returned",L155))),"Other Income",
                TRUE,"Revenue"
            ),
        K155="Debit",
            _xlfn.IFS(
                ISNUMBER(SEARCH("Payroll",L155)),"OPEX",
                ISNUMBER(SEARCH("Expatriate",L155)),"OPEX",
                ISNUMBER(SEARCH("Zakat",M155)),"ZATCA",
                ISNUMBER(SEARCH("General Organization for Social Insurance",M155)),"OPEX",
                ISNUMBER(SEARCH("Saudi Electric",M155)),"OPEX",
                ISNUMBER(SEARCH("STC",M155)),"OPEX",
                ISNUMBER(SEARCH("National Water",M155)),"OPEX",
                ISNUMBER(SEARCH("Bupa",M155)),"OPEX",
                ISNUMBER(SEARCH("Abdullah Abdulkarim",M155)),"OPEX",
                ISNUMBER(SEARCH("Abdullah Fahad",M155)),"OPEX",
                ISNUMBER(SEARCH("ISO Arabia",M155)),"OPEX",
                ISNUMBER(SEARCH("Gulf Voyager",M155)),"OPEX",
                ISNUMBER(SEARCH("Ministry",M155)),"OPEX",
                ISNUMBER(SEARCH("General Authority of Zakat",M155)),"ZATCA",
                ISNUMBER(SEARCH("Rejected",L155)),"Other Income",
                TRUE,"COGS"
            ),
        TRUE,"-"
    ),
    "-"
)</f>
        <v>Revenue</v>
      </c>
      <c r="AG155" s="25" t="str" cm="1">
        <f t="array" ref="AG155">_xlfn.IFNA(
    _xlfn.IFS(
        ISNUMBER(SEARCH("Payroll",L155)),"Payroll",
        ISNUMBER(SEARCH("Expatriate",L155)),"Government Fees",
        ISNUMBER(SEARCH("Zakat",M155)),"Zakat",
        ISNUMBER(SEARCH("Social Insurance",M155)),"Social Insurance",
        ISNUMBER(SEARCH("Saudi Electric",M155)),"Electricity",
        ISNUMBER(SEARCH("STC",M155)),"Telecom",
        ISNUMBER(SEARCH("National Water",M155)),"Water",
        ISNUMBER(SEARCH("Bupa",M155)),"Insurance",
        ISNUMBER(SEARCH("Gulf Voyager",M155)),"Travel",
        ISNUMBER(SEARCH("Ministry",M155)),"Government Fees",
        ISNUMBER(SEARCH("Abdullah Abdulkarim",M155)),"Consulting",
        ISNUMBER(SEARCH("Abdullah Fahad",M155)),"Accounting",
        ISNUMBER(SEARCH("ISO Arabia",M155)),"Consulting",
        ISNUMBER(SEARCH("Rejected",L155)),"Refund",
        AF155="COGS","Inventory Purchase",
        AF155="Revenue","Revenue",
        AF155="OPEX","Other",
        AF155="ZATCA","Zakat",
        TRUE,"-"
    ),
    "-"
)</f>
        <v>Revenue</v>
      </c>
      <c r="AH155" s="25" t="str" cm="1">
        <f t="array" ref="AH155">_xlfn.IFNA(
    _xlfn.IFS(
        AF155="-","Low",
        AF155="Other","Low",
        TRUE,"Medium"
    ),
    "-"
)</f>
        <v>Medium</v>
      </c>
      <c r="AI155" s="25" t="str">
        <f t="shared" si="11"/>
        <v>-</v>
      </c>
    </row>
    <row r="156" spans="1:35" x14ac:dyDescent="0.25">
      <c r="A156" s="10">
        <v>59</v>
      </c>
      <c r="B156" s="10" t="s">
        <v>35</v>
      </c>
      <c r="C156" s="10" t="s">
        <v>36</v>
      </c>
      <c r="D156" s="10" t="s">
        <v>37</v>
      </c>
      <c r="E156" s="10" t="s">
        <v>38</v>
      </c>
      <c r="F156" s="11" t="s">
        <v>39</v>
      </c>
      <c r="G156" s="11" t="s">
        <v>40</v>
      </c>
      <c r="H156" s="12">
        <v>44957</v>
      </c>
      <c r="I156" s="20">
        <v>201281.19</v>
      </c>
      <c r="J156" s="20">
        <v>200000</v>
      </c>
      <c r="K156" s="10" t="s">
        <v>116</v>
      </c>
      <c r="L156" s="9" t="s">
        <v>230</v>
      </c>
      <c r="M156" s="9" t="s">
        <v>231</v>
      </c>
      <c r="N156" s="9" t="s">
        <v>232</v>
      </c>
      <c r="O156" s="9" t="s">
        <v>233</v>
      </c>
      <c r="P156" s="15">
        <v>44957</v>
      </c>
      <c r="Q156" s="9" t="s">
        <v>248</v>
      </c>
      <c r="R156" s="16">
        <v>200000</v>
      </c>
      <c r="U156" s="9" t="s">
        <v>55</v>
      </c>
      <c r="V156" s="24" t="str" cm="1">
        <f t="array" ref="V156">_xlfn.IFNA(
    _xlfn.IFS(
        ISNUMBER(SEARCH("Fast Outgoing Transfer",L156)),"Transfer",
        ISNUMBER(SEARCH("Incoming Fast Transfer",L156)),"Transfer",
        ISNUMBER(SEARCH("Outgoing International Transfer",L156)),"Transfer",
        ISNUMBER(SEARCH("Bill Payment",L156)),"SADAD",
        ISNUMBER(SEARCH("Payroll",L156)),"Payroll",
        ISNUMBER(SEARCH("Cash Deposit",L156)),"Cash",
        ISNUMBER(SEARCH("Internal Transfer",L156)),"Transfer",
        ISNUMBER(SEARCH("Expatriate Services Payment",L156)),"SADAD",
        ISNUMBER(SEARCH("Rejected",L156)),"Transfer"
    ),
    "-"
)</f>
        <v>Transfer</v>
      </c>
      <c r="W156" s="25" t="str" cm="1">
        <f t="array" ref="W156">_xlfn.IFNA(
    _xlfn.IFS(
        AND(V156="Transfer",ISNUMBER(SEARCH("RIYAD BANK",L156))),"External FI",
        AND(V156="Transfer",ISNUMBER(SEARCH("Al Ahli",L156))),"External FI",
        AND(V156="Transfer",ISNUMBER(SEARCH("CIB via",L156))),"Local Transfer",
        AND(V156="Transfer",ISNUMBER(SEARCH("CIB)",L156))),"Local Transfer",
        AND(V156="Transfer",ISNUMBER(SEARCH("SMRT",L156))),"Local Transfer",
        AND(V156="Transfer",ISNUMBER(SEARCH("Al Murabba",L156))),"Local Transfer",
        AND(V156="Transfer",ISNUMBER(SEARCH("Internal Transfer",L156))),"Same FI",
        AND(V156="Transfer",ISNUMBER(SEARCH("Rejected",L156))),"Failed",
        V156="SADAD",
            _xlfn.IFS(
                ISNUMBER(SEARCH("Expatriate",L156)),"Expat Fees",
                TRUE,"Online Payment"
            ),
        V156="Payroll","Payroll",
        V156="Cash","Deposit",
        TRUE,"-"
    ),
    "-"
)</f>
        <v>External FI</v>
      </c>
      <c r="X156" s="25" t="str" cm="1">
        <f t="array" ref="X156">_xlfn.IFNA(
    _xlfn.IFS(
        V156="-","Low",
        W156="-","Low",
        TRUE,"High"
    ),
    "-"
)</f>
        <v>High</v>
      </c>
      <c r="Y156" s="25" t="str">
        <f t="shared" si="8"/>
        <v>-</v>
      </c>
      <c r="Z156" s="25" t="str" cm="1">
        <f t="array" ref="Z156">_xlfn.IFNA(
    _xlfn.IFS(
        ISNUMBER(SEARCH("Abdul Latif Jameel",M156)),"Lender",
        ISNUMBER(SEARCH("Abdullah Abdulkarim Al Sudais",M156)),"Accounting",
        ISNUMBER(SEARCH("Abdullah Fahad for Accounting",M156)),"Accounting",
        ISNUMBER(SEARCH("Abdullah Rashid Shaikh",M156)),"Shareholder",
        ISNUMBER(SEARCH("Advanced Equipments",M156)),"Equipment Rental",
        ISNUMBER(SEARCH("Al Banuk Sana",M156)),"Telecom Company",
        ISNUMBER(SEARCH("Al Khaleefa Factory",M156)),"Manufacturer",
        ISNUMBER(SEARCH("Al Saadeh Trading",M156)),"Trading Company",
        ISNUMBER(SEARCH("Al Zaehaan",M156)),"Trading Company",
        ISNUMBER(SEARCH("Ali Abdullah K Al Darwish",M156)),"Airlines",
        ISNUMBER(SEARCH("Bupa Arabia",M156)),"Health Insurance",
        ISNUMBER(SEARCH("Dar Fahoosaat",M156)),"Consultant",
        ISNUMBER(SEARCH("General Authority of Zakat",M156)),"Tax Collection",
        ISNUMBER(SEARCH("Gulf Voyager",M156)),"Travel Agency",
        ISNUMBER(SEARCH("Hopeway Trading",M156)),"Trading Company",
        ISNUMBER(SEARCH("Interhealth Medical",M156)),"Medical Services",
        ISNUMBER(SEARCH("Ishaar",M156)),"Online Payment Service",
        ISNUMBER(SEARCH("ISO Arabia",M156)),"Certification",
        ISNUMBER(SEARCH("Khalid Saad Al Otaibi",M156)),"Trading Company",
        ISNUMBER(SEARCH("MERAS for Decoration",M156)),"Decor Company",
        ISNUMBER(SEARCH("Middle East Customs Clearance",M156)),"Customs",
        ISNUMBER(SEARCH("Ministry of Human Resources",M156)),"Government",
        ISNUMBER(SEARCH("My Business Services",M156)),"Service Provider",
        ISNUMBER(SEARCH("National Water Company",M156)),"Water Company",
        ISNUMBER(SEARCH("Rania Contracting",M156)),"Contracting",
        ISNUMBER(SEARCH("Rashid Ali Sheikh",M156)),"Shareholder",
        ISNUMBER(SEARCH("Sahab United Motors",M156)),"Car Show Room",
        ISNUMBER(SEARCH("Saud Mohammed Al Tamimi",M156)),"Shareholder",
        ISNUMBER(SEARCH("Saud Mohammed Tamimi",M156)),"Shareholder",
        ISNUMBER(SEARCH("Saudi Electric Company",M156)),"Electricity Company",
        ISNUMBER(SEARCH("Saudi Vetonit",M156)),"Building Materials",
        ISNUMBER(SEARCH("Shomoul Eng",M156)),"Safety",
        ISNUMBER(SEARCH("STC",M156)),"Telecom Company",
        ISNUMBER(SEARCH("The General Organization for Social Insurance",M156)),"Social Insurance Agency",
        ISNUMBER(SEARCH("TUV Rheinland",M156)),"Certification",
        ISNUMBER(SEARCH("Al Arabia Ceramic",M156)),"Building Materials",
        ISNUMBER(SEARCH("National Company for Building and Marketing",M156)),"Parent Company",
        ISNUMBER(SEARCH("Athraa Holding",M156)),"Holding Company",
        ISNUMBER(SEARCH("Al Rasan",M156)),"Contracting",
        ISNUMBER(SEARCH("Raboua Al Haid",M156)),"Trading Company",
        ISNUMBER(SEARCH("Al Jazeera Paint",M156)),"Manufacturer",
        ISNUMBER(SEARCH("Rania Works Contracting",M156)),"Contracting",
        ISNUMBER(SEARCH("Bandar Jarallah",M156)),"Trading Establishment",
        ISNUMBER(SEARCH("RS Infratec Saudi",M156)),"Same Company",
        ISNUMBER(SEARCH("Payroll",M156)),"Bank",
        ISNUMBER(SEARCH("Expatriate",M156)),"Government",
        ISNUMBER(SEARCH("Unknown Sender",M156)),"Unknown",
        TRUE,"Unknown"
    ),
    "-"
)</f>
        <v>Parent Company</v>
      </c>
      <c r="AA156" s="25" t="str" cm="1">
        <f t="array" ref="AA156">_xlfn.IFNA(
    _xlfn.IFS(
        Z156="Lender","Financing",
        Z156="Accounting","Accounting",
        Z156="Shareholder","Individual",
        Z156="Equipment Rental","Equipment Rental",
        Z156="Telecom Company","Telecom",
        Z156="Manufacturer","Manufacturer",
        Z156="Trading Company","Trading And Transport",
        Z156="Trading Establishment","Trading",
        Z156="Airlines","Airlines",
        Z156="Health Insurance","Insurance",
        Z156="Consultant","Consultant",
        Z156="Tax Collection","Government",
        Z156="Travel Agency","Travel Agency",
        Z156="Medical Services","Medical Center",
        Z156="Online Payment Service","Payment Facilitator",
        Z156="Certification","Safety",
        Z156="Decor Company","Design",
        Z156="Customs","Customs",
        Z156="Government","Government",
        Z156="Service Provider","Service Provider",
        Z156="Water Company","Water Company",
        Z156="Contracting","Contracting",
        Z156="Car Show Room","Car Trader",
        Z156="Electricity Company","Electricity Company",
        Z156="Building Materials","Building Materials",
        Z156="Safety","Safety",
        Z156="Social Insurance Agency","Government Fund",
        Z156="Parent Company","Holding Company",
        Z156="Holding Company","Holding Company",
        Z156="Same Company","Construction",
        Z156="Bank","Bank",
        Z156="Unknown","Unknown",
        TRUE,"-"
    ),
    "-"
)</f>
        <v>Holding Company</v>
      </c>
      <c r="AB156" s="25" t="str">
        <f t="shared" si="9"/>
        <v>-</v>
      </c>
      <c r="AC156" s="25" t="str" cm="1">
        <f t="array" ref="AC156">_xlfn.IFNA(
    _xlfn.IFS(
        Z156="Shareholder","Shareholder",
        Z156="Same Company","Same Company",
        Z156="Bank","Bank",
        Z156="Government","Government",
        Z156="Social Insurance Agency","Government",
        Z156="Parent Company","Customer",
        Z156="Lender","Lender",
        Z156="Unknown","Unknown",
        ISNUMBER(SEARCH("Abdullah Abdulkarim",M156)),"Service Provider",
        ISNUMBER(SEARCH("Abdullah Fahad",M156)),"Service Provider",
        ISNUMBER(SEARCH("Advanced Equipments",M156)),"Supplier",
        ISNUMBER(SEARCH("Al Banuk Sana",M156)),"Supplier",
        ISNUMBER(SEARCH("Al Khaleefa Factory",M156)),"Supplier",
        ISNUMBER(SEARCH("Al Saadeh Trading",M156)),"Supplier",
        ISNUMBER(SEARCH("Al Zaehaan",M156)),"Supplier",
        ISNUMBER(SEARCH("Ali Abdullah K Al Darwish",M156)),"Service Provider",
        ISNUMBER(SEARCH("Bupa Arabia",M156)),"Insurance Company",
        ISNUMBER(SEARCH("Dar Fahoosaat",M156)),"Service Provider",
        ISNUMBER(SEARCH("General Authority of Zakat",M156)),"Tax Authority",
        ISNUMBER(SEARCH("Gulf Voyager",M156)),"Service Provider",
        ISNUMBER(SEARCH("Hopeway Trading",M156)),"Supplier",
        ISNUMBER(SEARCH("Interhealth Medical",M156)),"Customer",
        ISNUMBER(SEARCH("Ishaar",M156)),"Service Provider",
        ISNUMBER(SEARCH("ISO Arabia",M156)),"Service Provider",
        ISNUMBER(SEARCH("Khalid Saad Al Otaibi",M156)),"Supplier",
        ISNUMBER(SEARCH("MERAS for Decoration",M156)),"Supplier",
        ISNUMBER(SEARCH("Middle East Customs Clearance",M156)),"Service Provider",
        ISNUMBER(SEARCH("Ministry of Human Resources",M156)),"Regulatory Agency",
        ISNUMBER(SEARCH("My Business Services",M156)),"Service Provider",
        ISNUMBER(SEARCH("National Water Company",M156)),"Utility Provider",
        ISNUMBER(SEARCH("Rania Contracting",M156)),"Supplier",
        ISNUMBER(SEARCH("Sahab United Motors",M156)),"Supplier",
        ISNUMBER(SEARCH("Saudi Electric Company",M156)),"Utility Provider",
        ISNUMBER(SEARCH("Saudi Vetonit",M156)),"Supplier",
        ISNUMBER(SEARCH("Shomoul Eng",M156)),"Service Provider",
        ISNUMBER(SEARCH("STC",M156)),"Utility Provider",
        ISNUMBER(SEARCH("The General Organization for Social Insurance",M156)),"Social Insurance Agency",
        ISNUMBER(SEARCH("TUV Rheinland",M156)),"Service Provider",
        ISNUMBER(SEARCH("Al Arabia Ceramic",M156)),"Supplier",
        ISNUMBER(SEARCH("National Company for Building",M156)),"Customer",
        ISNUMBER(SEARCH("Athraa Holding",M156)),"Customer",
        ISNUMBER(SEARCH("Al Rasan",M156)),"Supplier",
        ISNUMBER(SEARCH("Raboua Al Haid",M156)),"Customer",
        ISNUMBER(SEARCH("Al Jazeera Paint",M156)),"Supplier",
        ISNUMBER(SEARCH("Rania Works Contracting",M156)),"Supplier",
        ISNUMBER(SEARCH("Bandar Jarallah",M156)),"Supplier",
        TRUE,"Supplier"
    ),
    "-"
)</f>
        <v>Customer</v>
      </c>
      <c r="AD156" s="25" t="str" cm="1">
        <f t="array" ref="AD156">_xlfn.IFNA(
    _xlfn.IFS(
        AC156="Same Company","High",
        AC156="Shareholder","High",
        AC156="Government","High",
        AC156="Bank","High",
        AC156="Lender","High",
        AC156="Unknown","Low",
        AC156="-","Low",
        TRUE,"Medium"
    ),
    "-"
)</f>
        <v>Medium</v>
      </c>
      <c r="AE156" s="25" t="str">
        <f t="shared" si="10"/>
        <v>-</v>
      </c>
      <c r="AF156" s="25" t="str" cm="1">
        <f t="array" ref="AF156">_xlfn.IFNA(
    _xlfn.IFS(
        K156="Credit",
            _xlfn.IFS(
                OR(ISNUMBER(SEARCH("Rejected",L156)),ISNUMBER(SEARCH("Returned",L156))),"Other Income",
                TRUE,"Revenue"
            ),
        K156="Debit",
            _xlfn.IFS(
                ISNUMBER(SEARCH("Payroll",L156)),"OPEX",
                ISNUMBER(SEARCH("Expatriate",L156)),"OPEX",
                ISNUMBER(SEARCH("Zakat",M156)),"ZATCA",
                ISNUMBER(SEARCH("General Organization for Social Insurance",M156)),"OPEX",
                ISNUMBER(SEARCH("Saudi Electric",M156)),"OPEX",
                ISNUMBER(SEARCH("STC",M156)),"OPEX",
                ISNUMBER(SEARCH("National Water",M156)),"OPEX",
                ISNUMBER(SEARCH("Bupa",M156)),"OPEX",
                ISNUMBER(SEARCH("Abdullah Abdulkarim",M156)),"OPEX",
                ISNUMBER(SEARCH("Abdullah Fahad",M156)),"OPEX",
                ISNUMBER(SEARCH("ISO Arabia",M156)),"OPEX",
                ISNUMBER(SEARCH("Gulf Voyager",M156)),"OPEX",
                ISNUMBER(SEARCH("Ministry",M156)),"OPEX",
                ISNUMBER(SEARCH("General Authority of Zakat",M156)),"ZATCA",
                ISNUMBER(SEARCH("Rejected",L156)),"Other Income",
                TRUE,"COGS"
            ),
        TRUE,"-"
    ),
    "-"
)</f>
        <v>Revenue</v>
      </c>
      <c r="AG156" s="25" t="str" cm="1">
        <f t="array" ref="AG156">_xlfn.IFNA(
    _xlfn.IFS(
        ISNUMBER(SEARCH("Payroll",L156)),"Payroll",
        ISNUMBER(SEARCH("Expatriate",L156)),"Government Fees",
        ISNUMBER(SEARCH("Zakat",M156)),"Zakat",
        ISNUMBER(SEARCH("Social Insurance",M156)),"Social Insurance",
        ISNUMBER(SEARCH("Saudi Electric",M156)),"Electricity",
        ISNUMBER(SEARCH("STC",M156)),"Telecom",
        ISNUMBER(SEARCH("National Water",M156)),"Water",
        ISNUMBER(SEARCH("Bupa",M156)),"Insurance",
        ISNUMBER(SEARCH("Gulf Voyager",M156)),"Travel",
        ISNUMBER(SEARCH("Ministry",M156)),"Government Fees",
        ISNUMBER(SEARCH("Abdullah Abdulkarim",M156)),"Consulting",
        ISNUMBER(SEARCH("Abdullah Fahad",M156)),"Accounting",
        ISNUMBER(SEARCH("ISO Arabia",M156)),"Consulting",
        ISNUMBER(SEARCH("Rejected",L156)),"Refund",
        AF156="COGS","Inventory Purchase",
        AF156="Revenue","Revenue",
        AF156="OPEX","Other",
        AF156="ZATCA","Zakat",
        TRUE,"-"
    ),
    "-"
)</f>
        <v>Revenue</v>
      </c>
      <c r="AH156" s="25" t="str" cm="1">
        <f t="array" ref="AH156">_xlfn.IFNA(
    _xlfn.IFS(
        AF156="-","Low",
        AF156="Other","Low",
        TRUE,"Medium"
    ),
    "-"
)</f>
        <v>Medium</v>
      </c>
      <c r="AI156" s="25" t="str">
        <f t="shared" si="11"/>
        <v>-</v>
      </c>
    </row>
    <row r="157" spans="1:35" x14ac:dyDescent="0.25">
      <c r="A157" s="10">
        <v>59</v>
      </c>
      <c r="B157" s="10" t="s">
        <v>35</v>
      </c>
      <c r="C157" s="10" t="s">
        <v>36</v>
      </c>
      <c r="D157" s="10" t="s">
        <v>37</v>
      </c>
      <c r="E157" s="10" t="s">
        <v>38</v>
      </c>
      <c r="F157" s="11" t="s">
        <v>39</v>
      </c>
      <c r="G157" s="11" t="s">
        <v>40</v>
      </c>
      <c r="H157" s="12">
        <v>44959</v>
      </c>
      <c r="I157" s="20">
        <v>110241.42</v>
      </c>
      <c r="J157" s="20">
        <v>100000</v>
      </c>
      <c r="K157" s="10" t="s">
        <v>116</v>
      </c>
      <c r="L157" s="9" t="s">
        <v>230</v>
      </c>
      <c r="M157" s="9" t="s">
        <v>231</v>
      </c>
      <c r="N157" s="9" t="s">
        <v>232</v>
      </c>
      <c r="O157" s="9" t="s">
        <v>233</v>
      </c>
      <c r="P157" s="15">
        <v>44959</v>
      </c>
      <c r="Q157" s="9" t="s">
        <v>249</v>
      </c>
      <c r="R157" s="16">
        <v>100000</v>
      </c>
      <c r="U157" s="9" t="s">
        <v>55</v>
      </c>
      <c r="V157" s="24" t="str" cm="1">
        <f t="array" ref="V157">_xlfn.IFNA(
    _xlfn.IFS(
        ISNUMBER(SEARCH("Fast Outgoing Transfer",L157)),"Transfer",
        ISNUMBER(SEARCH("Incoming Fast Transfer",L157)),"Transfer",
        ISNUMBER(SEARCH("Outgoing International Transfer",L157)),"Transfer",
        ISNUMBER(SEARCH("Bill Payment",L157)),"SADAD",
        ISNUMBER(SEARCH("Payroll",L157)),"Payroll",
        ISNUMBER(SEARCH("Cash Deposit",L157)),"Cash",
        ISNUMBER(SEARCH("Internal Transfer",L157)),"Transfer",
        ISNUMBER(SEARCH("Expatriate Services Payment",L157)),"SADAD",
        ISNUMBER(SEARCH("Rejected",L157)),"Transfer"
    ),
    "-"
)</f>
        <v>Transfer</v>
      </c>
      <c r="W157" s="25" t="str" cm="1">
        <f t="array" ref="W157">_xlfn.IFNA(
    _xlfn.IFS(
        AND(V157="Transfer",ISNUMBER(SEARCH("RIYAD BANK",L157))),"External FI",
        AND(V157="Transfer",ISNUMBER(SEARCH("Al Ahli",L157))),"External FI",
        AND(V157="Transfer",ISNUMBER(SEARCH("CIB via",L157))),"Local Transfer",
        AND(V157="Transfer",ISNUMBER(SEARCH("CIB)",L157))),"Local Transfer",
        AND(V157="Transfer",ISNUMBER(SEARCH("SMRT",L157))),"Local Transfer",
        AND(V157="Transfer",ISNUMBER(SEARCH("Al Murabba",L157))),"Local Transfer",
        AND(V157="Transfer",ISNUMBER(SEARCH("Internal Transfer",L157))),"Same FI",
        AND(V157="Transfer",ISNUMBER(SEARCH("Rejected",L157))),"Failed",
        V157="SADAD",
            _xlfn.IFS(
                ISNUMBER(SEARCH("Expatriate",L157)),"Expat Fees",
                TRUE,"Online Payment"
            ),
        V157="Payroll","Payroll",
        V157="Cash","Deposit",
        TRUE,"-"
    ),
    "-"
)</f>
        <v>External FI</v>
      </c>
      <c r="X157" s="25" t="str" cm="1">
        <f t="array" ref="X157">_xlfn.IFNA(
    _xlfn.IFS(
        V157="-","Low",
        W157="-","Low",
        TRUE,"High"
    ),
    "-"
)</f>
        <v>High</v>
      </c>
      <c r="Y157" s="25" t="str">
        <f t="shared" si="8"/>
        <v>-</v>
      </c>
      <c r="Z157" s="25" t="str" cm="1">
        <f t="array" ref="Z157">_xlfn.IFNA(
    _xlfn.IFS(
        ISNUMBER(SEARCH("Abdul Latif Jameel",M157)),"Lender",
        ISNUMBER(SEARCH("Abdullah Abdulkarim Al Sudais",M157)),"Accounting",
        ISNUMBER(SEARCH("Abdullah Fahad for Accounting",M157)),"Accounting",
        ISNUMBER(SEARCH("Abdullah Rashid Shaikh",M157)),"Shareholder",
        ISNUMBER(SEARCH("Advanced Equipments",M157)),"Equipment Rental",
        ISNUMBER(SEARCH("Al Banuk Sana",M157)),"Telecom Company",
        ISNUMBER(SEARCH("Al Khaleefa Factory",M157)),"Manufacturer",
        ISNUMBER(SEARCH("Al Saadeh Trading",M157)),"Trading Company",
        ISNUMBER(SEARCH("Al Zaehaan",M157)),"Trading Company",
        ISNUMBER(SEARCH("Ali Abdullah K Al Darwish",M157)),"Airlines",
        ISNUMBER(SEARCH("Bupa Arabia",M157)),"Health Insurance",
        ISNUMBER(SEARCH("Dar Fahoosaat",M157)),"Consultant",
        ISNUMBER(SEARCH("General Authority of Zakat",M157)),"Tax Collection",
        ISNUMBER(SEARCH("Gulf Voyager",M157)),"Travel Agency",
        ISNUMBER(SEARCH("Hopeway Trading",M157)),"Trading Company",
        ISNUMBER(SEARCH("Interhealth Medical",M157)),"Medical Services",
        ISNUMBER(SEARCH("Ishaar",M157)),"Online Payment Service",
        ISNUMBER(SEARCH("ISO Arabia",M157)),"Certification",
        ISNUMBER(SEARCH("Khalid Saad Al Otaibi",M157)),"Trading Company",
        ISNUMBER(SEARCH("MERAS for Decoration",M157)),"Decor Company",
        ISNUMBER(SEARCH("Middle East Customs Clearance",M157)),"Customs",
        ISNUMBER(SEARCH("Ministry of Human Resources",M157)),"Government",
        ISNUMBER(SEARCH("My Business Services",M157)),"Service Provider",
        ISNUMBER(SEARCH("National Water Company",M157)),"Water Company",
        ISNUMBER(SEARCH("Rania Contracting",M157)),"Contracting",
        ISNUMBER(SEARCH("Rashid Ali Sheikh",M157)),"Shareholder",
        ISNUMBER(SEARCH("Sahab United Motors",M157)),"Car Show Room",
        ISNUMBER(SEARCH("Saud Mohammed Al Tamimi",M157)),"Shareholder",
        ISNUMBER(SEARCH("Saud Mohammed Tamimi",M157)),"Shareholder",
        ISNUMBER(SEARCH("Saudi Electric Company",M157)),"Electricity Company",
        ISNUMBER(SEARCH("Saudi Vetonit",M157)),"Building Materials",
        ISNUMBER(SEARCH("Shomoul Eng",M157)),"Safety",
        ISNUMBER(SEARCH("STC",M157)),"Telecom Company",
        ISNUMBER(SEARCH("The General Organization for Social Insurance",M157)),"Social Insurance Agency",
        ISNUMBER(SEARCH("TUV Rheinland",M157)),"Certification",
        ISNUMBER(SEARCH("Al Arabia Ceramic",M157)),"Building Materials",
        ISNUMBER(SEARCH("National Company for Building and Marketing",M157)),"Parent Company",
        ISNUMBER(SEARCH("Athraa Holding",M157)),"Holding Company",
        ISNUMBER(SEARCH("Al Rasan",M157)),"Contracting",
        ISNUMBER(SEARCH("Raboua Al Haid",M157)),"Trading Company",
        ISNUMBER(SEARCH("Al Jazeera Paint",M157)),"Manufacturer",
        ISNUMBER(SEARCH("Rania Works Contracting",M157)),"Contracting",
        ISNUMBER(SEARCH("Bandar Jarallah",M157)),"Trading Establishment",
        ISNUMBER(SEARCH("RS Infratec Saudi",M157)),"Same Company",
        ISNUMBER(SEARCH("Payroll",M157)),"Bank",
        ISNUMBER(SEARCH("Expatriate",M157)),"Government",
        ISNUMBER(SEARCH("Unknown Sender",M157)),"Unknown",
        TRUE,"Unknown"
    ),
    "-"
)</f>
        <v>Parent Company</v>
      </c>
      <c r="AA157" s="25" t="str" cm="1">
        <f t="array" ref="AA157">_xlfn.IFNA(
    _xlfn.IFS(
        Z157="Lender","Financing",
        Z157="Accounting","Accounting",
        Z157="Shareholder","Individual",
        Z157="Equipment Rental","Equipment Rental",
        Z157="Telecom Company","Telecom",
        Z157="Manufacturer","Manufacturer",
        Z157="Trading Company","Trading And Transport",
        Z157="Trading Establishment","Trading",
        Z157="Airlines","Airlines",
        Z157="Health Insurance","Insurance",
        Z157="Consultant","Consultant",
        Z157="Tax Collection","Government",
        Z157="Travel Agency","Travel Agency",
        Z157="Medical Services","Medical Center",
        Z157="Online Payment Service","Payment Facilitator",
        Z157="Certification","Safety",
        Z157="Decor Company","Design",
        Z157="Customs","Customs",
        Z157="Government","Government",
        Z157="Service Provider","Service Provider",
        Z157="Water Company","Water Company",
        Z157="Contracting","Contracting",
        Z157="Car Show Room","Car Trader",
        Z157="Electricity Company","Electricity Company",
        Z157="Building Materials","Building Materials",
        Z157="Safety","Safety",
        Z157="Social Insurance Agency","Government Fund",
        Z157="Parent Company","Holding Company",
        Z157="Holding Company","Holding Company",
        Z157="Same Company","Construction",
        Z157="Bank","Bank",
        Z157="Unknown","Unknown",
        TRUE,"-"
    ),
    "-"
)</f>
        <v>Holding Company</v>
      </c>
      <c r="AB157" s="25" t="str">
        <f t="shared" si="9"/>
        <v>-</v>
      </c>
      <c r="AC157" s="25" t="str" cm="1">
        <f t="array" ref="AC157">_xlfn.IFNA(
    _xlfn.IFS(
        Z157="Shareholder","Shareholder",
        Z157="Same Company","Same Company",
        Z157="Bank","Bank",
        Z157="Government","Government",
        Z157="Social Insurance Agency","Government",
        Z157="Parent Company","Customer",
        Z157="Lender","Lender",
        Z157="Unknown","Unknown",
        ISNUMBER(SEARCH("Abdullah Abdulkarim",M157)),"Service Provider",
        ISNUMBER(SEARCH("Abdullah Fahad",M157)),"Service Provider",
        ISNUMBER(SEARCH("Advanced Equipments",M157)),"Supplier",
        ISNUMBER(SEARCH("Al Banuk Sana",M157)),"Supplier",
        ISNUMBER(SEARCH("Al Khaleefa Factory",M157)),"Supplier",
        ISNUMBER(SEARCH("Al Saadeh Trading",M157)),"Supplier",
        ISNUMBER(SEARCH("Al Zaehaan",M157)),"Supplier",
        ISNUMBER(SEARCH("Ali Abdullah K Al Darwish",M157)),"Service Provider",
        ISNUMBER(SEARCH("Bupa Arabia",M157)),"Insurance Company",
        ISNUMBER(SEARCH("Dar Fahoosaat",M157)),"Service Provider",
        ISNUMBER(SEARCH("General Authority of Zakat",M157)),"Tax Authority",
        ISNUMBER(SEARCH("Gulf Voyager",M157)),"Service Provider",
        ISNUMBER(SEARCH("Hopeway Trading",M157)),"Supplier",
        ISNUMBER(SEARCH("Interhealth Medical",M157)),"Customer",
        ISNUMBER(SEARCH("Ishaar",M157)),"Service Provider",
        ISNUMBER(SEARCH("ISO Arabia",M157)),"Service Provider",
        ISNUMBER(SEARCH("Khalid Saad Al Otaibi",M157)),"Supplier",
        ISNUMBER(SEARCH("MERAS for Decoration",M157)),"Supplier",
        ISNUMBER(SEARCH("Middle East Customs Clearance",M157)),"Service Provider",
        ISNUMBER(SEARCH("Ministry of Human Resources",M157)),"Regulatory Agency",
        ISNUMBER(SEARCH("My Business Services",M157)),"Service Provider",
        ISNUMBER(SEARCH("National Water Company",M157)),"Utility Provider",
        ISNUMBER(SEARCH("Rania Contracting",M157)),"Supplier",
        ISNUMBER(SEARCH("Sahab United Motors",M157)),"Supplier",
        ISNUMBER(SEARCH("Saudi Electric Company",M157)),"Utility Provider",
        ISNUMBER(SEARCH("Saudi Vetonit",M157)),"Supplier",
        ISNUMBER(SEARCH("Shomoul Eng",M157)),"Service Provider",
        ISNUMBER(SEARCH("STC",M157)),"Utility Provider",
        ISNUMBER(SEARCH("The General Organization for Social Insurance",M157)),"Social Insurance Agency",
        ISNUMBER(SEARCH("TUV Rheinland",M157)),"Service Provider",
        ISNUMBER(SEARCH("Al Arabia Ceramic",M157)),"Supplier",
        ISNUMBER(SEARCH("National Company for Building",M157)),"Customer",
        ISNUMBER(SEARCH("Athraa Holding",M157)),"Customer",
        ISNUMBER(SEARCH("Al Rasan",M157)),"Supplier",
        ISNUMBER(SEARCH("Raboua Al Haid",M157)),"Customer",
        ISNUMBER(SEARCH("Al Jazeera Paint",M157)),"Supplier",
        ISNUMBER(SEARCH("Rania Works Contracting",M157)),"Supplier",
        ISNUMBER(SEARCH("Bandar Jarallah",M157)),"Supplier",
        TRUE,"Supplier"
    ),
    "-"
)</f>
        <v>Customer</v>
      </c>
      <c r="AD157" s="25" t="str" cm="1">
        <f t="array" ref="AD157">_xlfn.IFNA(
    _xlfn.IFS(
        AC157="Same Company","High",
        AC157="Shareholder","High",
        AC157="Government","High",
        AC157="Bank","High",
        AC157="Lender","High",
        AC157="Unknown","Low",
        AC157="-","Low",
        TRUE,"Medium"
    ),
    "-"
)</f>
        <v>Medium</v>
      </c>
      <c r="AE157" s="25" t="str">
        <f t="shared" si="10"/>
        <v>-</v>
      </c>
      <c r="AF157" s="25" t="str" cm="1">
        <f t="array" ref="AF157">_xlfn.IFNA(
    _xlfn.IFS(
        K157="Credit",
            _xlfn.IFS(
                OR(ISNUMBER(SEARCH("Rejected",L157)),ISNUMBER(SEARCH("Returned",L157))),"Other Income",
                TRUE,"Revenue"
            ),
        K157="Debit",
            _xlfn.IFS(
                ISNUMBER(SEARCH("Payroll",L157)),"OPEX",
                ISNUMBER(SEARCH("Expatriate",L157)),"OPEX",
                ISNUMBER(SEARCH("Zakat",M157)),"ZATCA",
                ISNUMBER(SEARCH("General Organization for Social Insurance",M157)),"OPEX",
                ISNUMBER(SEARCH("Saudi Electric",M157)),"OPEX",
                ISNUMBER(SEARCH("STC",M157)),"OPEX",
                ISNUMBER(SEARCH("National Water",M157)),"OPEX",
                ISNUMBER(SEARCH("Bupa",M157)),"OPEX",
                ISNUMBER(SEARCH("Abdullah Abdulkarim",M157)),"OPEX",
                ISNUMBER(SEARCH("Abdullah Fahad",M157)),"OPEX",
                ISNUMBER(SEARCH("ISO Arabia",M157)),"OPEX",
                ISNUMBER(SEARCH("Gulf Voyager",M157)),"OPEX",
                ISNUMBER(SEARCH("Ministry",M157)),"OPEX",
                ISNUMBER(SEARCH("General Authority of Zakat",M157)),"ZATCA",
                ISNUMBER(SEARCH("Rejected",L157)),"Other Income",
                TRUE,"COGS"
            ),
        TRUE,"-"
    ),
    "-"
)</f>
        <v>Revenue</v>
      </c>
      <c r="AG157" s="25" t="str" cm="1">
        <f t="array" ref="AG157">_xlfn.IFNA(
    _xlfn.IFS(
        ISNUMBER(SEARCH("Payroll",L157)),"Payroll",
        ISNUMBER(SEARCH("Expatriate",L157)),"Government Fees",
        ISNUMBER(SEARCH("Zakat",M157)),"Zakat",
        ISNUMBER(SEARCH("Social Insurance",M157)),"Social Insurance",
        ISNUMBER(SEARCH("Saudi Electric",M157)),"Electricity",
        ISNUMBER(SEARCH("STC",M157)),"Telecom",
        ISNUMBER(SEARCH("National Water",M157)),"Water",
        ISNUMBER(SEARCH("Bupa",M157)),"Insurance",
        ISNUMBER(SEARCH("Gulf Voyager",M157)),"Travel",
        ISNUMBER(SEARCH("Ministry",M157)),"Government Fees",
        ISNUMBER(SEARCH("Abdullah Abdulkarim",M157)),"Consulting",
        ISNUMBER(SEARCH("Abdullah Fahad",M157)),"Accounting",
        ISNUMBER(SEARCH("ISO Arabia",M157)),"Consulting",
        ISNUMBER(SEARCH("Rejected",L157)),"Refund",
        AF157="COGS","Inventory Purchase",
        AF157="Revenue","Revenue",
        AF157="OPEX","Other",
        AF157="ZATCA","Zakat",
        TRUE,"-"
    ),
    "-"
)</f>
        <v>Revenue</v>
      </c>
      <c r="AH157" s="25" t="str" cm="1">
        <f t="array" ref="AH157">_xlfn.IFNA(
    _xlfn.IFS(
        AF157="-","Low",
        AF157="Other","Low",
        TRUE,"Medium"
    ),
    "-"
)</f>
        <v>Medium</v>
      </c>
      <c r="AI157" s="25" t="str">
        <f t="shared" si="11"/>
        <v>-</v>
      </c>
    </row>
    <row r="158" spans="1:35" x14ac:dyDescent="0.25">
      <c r="A158" s="10">
        <v>59</v>
      </c>
      <c r="B158" s="10" t="s">
        <v>35</v>
      </c>
      <c r="C158" s="10" t="s">
        <v>36</v>
      </c>
      <c r="D158" s="10" t="s">
        <v>37</v>
      </c>
      <c r="E158" s="10" t="s">
        <v>38</v>
      </c>
      <c r="F158" s="11" t="s">
        <v>39</v>
      </c>
      <c r="G158" s="11" t="s">
        <v>40</v>
      </c>
      <c r="H158" s="12">
        <v>44963</v>
      </c>
      <c r="I158" s="20">
        <v>104168.07</v>
      </c>
      <c r="J158" s="20">
        <v>100000</v>
      </c>
      <c r="K158" s="10" t="s">
        <v>116</v>
      </c>
      <c r="L158" s="9" t="s">
        <v>230</v>
      </c>
      <c r="M158" s="9" t="s">
        <v>231</v>
      </c>
      <c r="N158" s="9" t="s">
        <v>232</v>
      </c>
      <c r="O158" s="9" t="s">
        <v>233</v>
      </c>
      <c r="P158" s="15">
        <v>44963</v>
      </c>
      <c r="Q158" s="9" t="s">
        <v>250</v>
      </c>
      <c r="R158" s="16">
        <v>100000</v>
      </c>
      <c r="U158" s="9" t="s">
        <v>55</v>
      </c>
      <c r="V158" s="24" t="str" cm="1">
        <f t="array" ref="V158">_xlfn.IFNA(
    _xlfn.IFS(
        ISNUMBER(SEARCH("Fast Outgoing Transfer",L158)),"Transfer",
        ISNUMBER(SEARCH("Incoming Fast Transfer",L158)),"Transfer",
        ISNUMBER(SEARCH("Outgoing International Transfer",L158)),"Transfer",
        ISNUMBER(SEARCH("Bill Payment",L158)),"SADAD",
        ISNUMBER(SEARCH("Payroll",L158)),"Payroll",
        ISNUMBER(SEARCH("Cash Deposit",L158)),"Cash",
        ISNUMBER(SEARCH("Internal Transfer",L158)),"Transfer",
        ISNUMBER(SEARCH("Expatriate Services Payment",L158)),"SADAD",
        ISNUMBER(SEARCH("Rejected",L158)),"Transfer"
    ),
    "-"
)</f>
        <v>Transfer</v>
      </c>
      <c r="W158" s="25" t="str" cm="1">
        <f t="array" ref="W158">_xlfn.IFNA(
    _xlfn.IFS(
        AND(V158="Transfer",ISNUMBER(SEARCH("RIYAD BANK",L158))),"External FI",
        AND(V158="Transfer",ISNUMBER(SEARCH("Al Ahli",L158))),"External FI",
        AND(V158="Transfer",ISNUMBER(SEARCH("CIB via",L158))),"Local Transfer",
        AND(V158="Transfer",ISNUMBER(SEARCH("CIB)",L158))),"Local Transfer",
        AND(V158="Transfer",ISNUMBER(SEARCH("SMRT",L158))),"Local Transfer",
        AND(V158="Transfer",ISNUMBER(SEARCH("Al Murabba",L158))),"Local Transfer",
        AND(V158="Transfer",ISNUMBER(SEARCH("Internal Transfer",L158))),"Same FI",
        AND(V158="Transfer",ISNUMBER(SEARCH("Rejected",L158))),"Failed",
        V158="SADAD",
            _xlfn.IFS(
                ISNUMBER(SEARCH("Expatriate",L158)),"Expat Fees",
                TRUE,"Online Payment"
            ),
        V158="Payroll","Payroll",
        V158="Cash","Deposit",
        TRUE,"-"
    ),
    "-"
)</f>
        <v>External FI</v>
      </c>
      <c r="X158" s="25" t="str" cm="1">
        <f t="array" ref="X158">_xlfn.IFNA(
    _xlfn.IFS(
        V158="-","Low",
        W158="-","Low",
        TRUE,"High"
    ),
    "-"
)</f>
        <v>High</v>
      </c>
      <c r="Y158" s="25" t="str">
        <f t="shared" si="8"/>
        <v>-</v>
      </c>
      <c r="Z158" s="25" t="str" cm="1">
        <f t="array" ref="Z158">_xlfn.IFNA(
    _xlfn.IFS(
        ISNUMBER(SEARCH("Abdul Latif Jameel",M158)),"Lender",
        ISNUMBER(SEARCH("Abdullah Abdulkarim Al Sudais",M158)),"Accounting",
        ISNUMBER(SEARCH("Abdullah Fahad for Accounting",M158)),"Accounting",
        ISNUMBER(SEARCH("Abdullah Rashid Shaikh",M158)),"Shareholder",
        ISNUMBER(SEARCH("Advanced Equipments",M158)),"Equipment Rental",
        ISNUMBER(SEARCH("Al Banuk Sana",M158)),"Telecom Company",
        ISNUMBER(SEARCH("Al Khaleefa Factory",M158)),"Manufacturer",
        ISNUMBER(SEARCH("Al Saadeh Trading",M158)),"Trading Company",
        ISNUMBER(SEARCH("Al Zaehaan",M158)),"Trading Company",
        ISNUMBER(SEARCH("Ali Abdullah K Al Darwish",M158)),"Airlines",
        ISNUMBER(SEARCH("Bupa Arabia",M158)),"Health Insurance",
        ISNUMBER(SEARCH("Dar Fahoosaat",M158)),"Consultant",
        ISNUMBER(SEARCH("General Authority of Zakat",M158)),"Tax Collection",
        ISNUMBER(SEARCH("Gulf Voyager",M158)),"Travel Agency",
        ISNUMBER(SEARCH("Hopeway Trading",M158)),"Trading Company",
        ISNUMBER(SEARCH("Interhealth Medical",M158)),"Medical Services",
        ISNUMBER(SEARCH("Ishaar",M158)),"Online Payment Service",
        ISNUMBER(SEARCH("ISO Arabia",M158)),"Certification",
        ISNUMBER(SEARCH("Khalid Saad Al Otaibi",M158)),"Trading Company",
        ISNUMBER(SEARCH("MERAS for Decoration",M158)),"Decor Company",
        ISNUMBER(SEARCH("Middle East Customs Clearance",M158)),"Customs",
        ISNUMBER(SEARCH("Ministry of Human Resources",M158)),"Government",
        ISNUMBER(SEARCH("My Business Services",M158)),"Service Provider",
        ISNUMBER(SEARCH("National Water Company",M158)),"Water Company",
        ISNUMBER(SEARCH("Rania Contracting",M158)),"Contracting",
        ISNUMBER(SEARCH("Rashid Ali Sheikh",M158)),"Shareholder",
        ISNUMBER(SEARCH("Sahab United Motors",M158)),"Car Show Room",
        ISNUMBER(SEARCH("Saud Mohammed Al Tamimi",M158)),"Shareholder",
        ISNUMBER(SEARCH("Saud Mohammed Tamimi",M158)),"Shareholder",
        ISNUMBER(SEARCH("Saudi Electric Company",M158)),"Electricity Company",
        ISNUMBER(SEARCH("Saudi Vetonit",M158)),"Building Materials",
        ISNUMBER(SEARCH("Shomoul Eng",M158)),"Safety",
        ISNUMBER(SEARCH("STC",M158)),"Telecom Company",
        ISNUMBER(SEARCH("The General Organization for Social Insurance",M158)),"Social Insurance Agency",
        ISNUMBER(SEARCH("TUV Rheinland",M158)),"Certification",
        ISNUMBER(SEARCH("Al Arabia Ceramic",M158)),"Building Materials",
        ISNUMBER(SEARCH("National Company for Building and Marketing",M158)),"Parent Company",
        ISNUMBER(SEARCH("Athraa Holding",M158)),"Holding Company",
        ISNUMBER(SEARCH("Al Rasan",M158)),"Contracting",
        ISNUMBER(SEARCH("Raboua Al Haid",M158)),"Trading Company",
        ISNUMBER(SEARCH("Al Jazeera Paint",M158)),"Manufacturer",
        ISNUMBER(SEARCH("Rania Works Contracting",M158)),"Contracting",
        ISNUMBER(SEARCH("Bandar Jarallah",M158)),"Trading Establishment",
        ISNUMBER(SEARCH("RS Infratec Saudi",M158)),"Same Company",
        ISNUMBER(SEARCH("Payroll",M158)),"Bank",
        ISNUMBER(SEARCH("Expatriate",M158)),"Government",
        ISNUMBER(SEARCH("Unknown Sender",M158)),"Unknown",
        TRUE,"Unknown"
    ),
    "-"
)</f>
        <v>Parent Company</v>
      </c>
      <c r="AA158" s="25" t="str" cm="1">
        <f t="array" ref="AA158">_xlfn.IFNA(
    _xlfn.IFS(
        Z158="Lender","Financing",
        Z158="Accounting","Accounting",
        Z158="Shareholder","Individual",
        Z158="Equipment Rental","Equipment Rental",
        Z158="Telecom Company","Telecom",
        Z158="Manufacturer","Manufacturer",
        Z158="Trading Company","Trading And Transport",
        Z158="Trading Establishment","Trading",
        Z158="Airlines","Airlines",
        Z158="Health Insurance","Insurance",
        Z158="Consultant","Consultant",
        Z158="Tax Collection","Government",
        Z158="Travel Agency","Travel Agency",
        Z158="Medical Services","Medical Center",
        Z158="Online Payment Service","Payment Facilitator",
        Z158="Certification","Safety",
        Z158="Decor Company","Design",
        Z158="Customs","Customs",
        Z158="Government","Government",
        Z158="Service Provider","Service Provider",
        Z158="Water Company","Water Company",
        Z158="Contracting","Contracting",
        Z158="Car Show Room","Car Trader",
        Z158="Electricity Company","Electricity Company",
        Z158="Building Materials","Building Materials",
        Z158="Safety","Safety",
        Z158="Social Insurance Agency","Government Fund",
        Z158="Parent Company","Holding Company",
        Z158="Holding Company","Holding Company",
        Z158="Same Company","Construction",
        Z158="Bank","Bank",
        Z158="Unknown","Unknown",
        TRUE,"-"
    ),
    "-"
)</f>
        <v>Holding Company</v>
      </c>
      <c r="AB158" s="25" t="str">
        <f t="shared" si="9"/>
        <v>-</v>
      </c>
      <c r="AC158" s="25" t="str" cm="1">
        <f t="array" ref="AC158">_xlfn.IFNA(
    _xlfn.IFS(
        Z158="Shareholder","Shareholder",
        Z158="Same Company","Same Company",
        Z158="Bank","Bank",
        Z158="Government","Government",
        Z158="Social Insurance Agency","Government",
        Z158="Parent Company","Customer",
        Z158="Lender","Lender",
        Z158="Unknown","Unknown",
        ISNUMBER(SEARCH("Abdullah Abdulkarim",M158)),"Service Provider",
        ISNUMBER(SEARCH("Abdullah Fahad",M158)),"Service Provider",
        ISNUMBER(SEARCH("Advanced Equipments",M158)),"Supplier",
        ISNUMBER(SEARCH("Al Banuk Sana",M158)),"Supplier",
        ISNUMBER(SEARCH("Al Khaleefa Factory",M158)),"Supplier",
        ISNUMBER(SEARCH("Al Saadeh Trading",M158)),"Supplier",
        ISNUMBER(SEARCH("Al Zaehaan",M158)),"Supplier",
        ISNUMBER(SEARCH("Ali Abdullah K Al Darwish",M158)),"Service Provider",
        ISNUMBER(SEARCH("Bupa Arabia",M158)),"Insurance Company",
        ISNUMBER(SEARCH("Dar Fahoosaat",M158)),"Service Provider",
        ISNUMBER(SEARCH("General Authority of Zakat",M158)),"Tax Authority",
        ISNUMBER(SEARCH("Gulf Voyager",M158)),"Service Provider",
        ISNUMBER(SEARCH("Hopeway Trading",M158)),"Supplier",
        ISNUMBER(SEARCH("Interhealth Medical",M158)),"Customer",
        ISNUMBER(SEARCH("Ishaar",M158)),"Service Provider",
        ISNUMBER(SEARCH("ISO Arabia",M158)),"Service Provider",
        ISNUMBER(SEARCH("Khalid Saad Al Otaibi",M158)),"Supplier",
        ISNUMBER(SEARCH("MERAS for Decoration",M158)),"Supplier",
        ISNUMBER(SEARCH("Middle East Customs Clearance",M158)),"Service Provider",
        ISNUMBER(SEARCH("Ministry of Human Resources",M158)),"Regulatory Agency",
        ISNUMBER(SEARCH("My Business Services",M158)),"Service Provider",
        ISNUMBER(SEARCH("National Water Company",M158)),"Utility Provider",
        ISNUMBER(SEARCH("Rania Contracting",M158)),"Supplier",
        ISNUMBER(SEARCH("Sahab United Motors",M158)),"Supplier",
        ISNUMBER(SEARCH("Saudi Electric Company",M158)),"Utility Provider",
        ISNUMBER(SEARCH("Saudi Vetonit",M158)),"Supplier",
        ISNUMBER(SEARCH("Shomoul Eng",M158)),"Service Provider",
        ISNUMBER(SEARCH("STC",M158)),"Utility Provider",
        ISNUMBER(SEARCH("The General Organization for Social Insurance",M158)),"Social Insurance Agency",
        ISNUMBER(SEARCH("TUV Rheinland",M158)),"Service Provider",
        ISNUMBER(SEARCH("Al Arabia Ceramic",M158)),"Supplier",
        ISNUMBER(SEARCH("National Company for Building",M158)),"Customer",
        ISNUMBER(SEARCH("Athraa Holding",M158)),"Customer",
        ISNUMBER(SEARCH("Al Rasan",M158)),"Supplier",
        ISNUMBER(SEARCH("Raboua Al Haid",M158)),"Customer",
        ISNUMBER(SEARCH("Al Jazeera Paint",M158)),"Supplier",
        ISNUMBER(SEARCH("Rania Works Contracting",M158)),"Supplier",
        ISNUMBER(SEARCH("Bandar Jarallah",M158)),"Supplier",
        TRUE,"Supplier"
    ),
    "-"
)</f>
        <v>Customer</v>
      </c>
      <c r="AD158" s="25" t="str" cm="1">
        <f t="array" ref="AD158">_xlfn.IFNA(
    _xlfn.IFS(
        AC158="Same Company","High",
        AC158="Shareholder","High",
        AC158="Government","High",
        AC158="Bank","High",
        AC158="Lender","High",
        AC158="Unknown","Low",
        AC158="-","Low",
        TRUE,"Medium"
    ),
    "-"
)</f>
        <v>Medium</v>
      </c>
      <c r="AE158" s="25" t="str">
        <f t="shared" si="10"/>
        <v>-</v>
      </c>
      <c r="AF158" s="25" t="str" cm="1">
        <f t="array" ref="AF158">_xlfn.IFNA(
    _xlfn.IFS(
        K158="Credit",
            _xlfn.IFS(
                OR(ISNUMBER(SEARCH("Rejected",L158)),ISNUMBER(SEARCH("Returned",L158))),"Other Income",
                TRUE,"Revenue"
            ),
        K158="Debit",
            _xlfn.IFS(
                ISNUMBER(SEARCH("Payroll",L158)),"OPEX",
                ISNUMBER(SEARCH("Expatriate",L158)),"OPEX",
                ISNUMBER(SEARCH("Zakat",M158)),"ZATCA",
                ISNUMBER(SEARCH("General Organization for Social Insurance",M158)),"OPEX",
                ISNUMBER(SEARCH("Saudi Electric",M158)),"OPEX",
                ISNUMBER(SEARCH("STC",M158)),"OPEX",
                ISNUMBER(SEARCH("National Water",M158)),"OPEX",
                ISNUMBER(SEARCH("Bupa",M158)),"OPEX",
                ISNUMBER(SEARCH("Abdullah Abdulkarim",M158)),"OPEX",
                ISNUMBER(SEARCH("Abdullah Fahad",M158)),"OPEX",
                ISNUMBER(SEARCH("ISO Arabia",M158)),"OPEX",
                ISNUMBER(SEARCH("Gulf Voyager",M158)),"OPEX",
                ISNUMBER(SEARCH("Ministry",M158)),"OPEX",
                ISNUMBER(SEARCH("General Authority of Zakat",M158)),"ZATCA",
                ISNUMBER(SEARCH("Rejected",L158)),"Other Income",
                TRUE,"COGS"
            ),
        TRUE,"-"
    ),
    "-"
)</f>
        <v>Revenue</v>
      </c>
      <c r="AG158" s="25" t="str" cm="1">
        <f t="array" ref="AG158">_xlfn.IFNA(
    _xlfn.IFS(
        ISNUMBER(SEARCH("Payroll",L158)),"Payroll",
        ISNUMBER(SEARCH("Expatriate",L158)),"Government Fees",
        ISNUMBER(SEARCH("Zakat",M158)),"Zakat",
        ISNUMBER(SEARCH("Social Insurance",M158)),"Social Insurance",
        ISNUMBER(SEARCH("Saudi Electric",M158)),"Electricity",
        ISNUMBER(SEARCH("STC",M158)),"Telecom",
        ISNUMBER(SEARCH("National Water",M158)),"Water",
        ISNUMBER(SEARCH("Bupa",M158)),"Insurance",
        ISNUMBER(SEARCH("Gulf Voyager",M158)),"Travel",
        ISNUMBER(SEARCH("Ministry",M158)),"Government Fees",
        ISNUMBER(SEARCH("Abdullah Abdulkarim",M158)),"Consulting",
        ISNUMBER(SEARCH("Abdullah Fahad",M158)),"Accounting",
        ISNUMBER(SEARCH("ISO Arabia",M158)),"Consulting",
        ISNUMBER(SEARCH("Rejected",L158)),"Refund",
        AF158="COGS","Inventory Purchase",
        AF158="Revenue","Revenue",
        AF158="OPEX","Other",
        AF158="ZATCA","Zakat",
        TRUE,"-"
    ),
    "-"
)</f>
        <v>Revenue</v>
      </c>
      <c r="AH158" s="25" t="str" cm="1">
        <f t="array" ref="AH158">_xlfn.IFNA(
    _xlfn.IFS(
        AF158="-","Low",
        AF158="Other","Low",
        TRUE,"Medium"
    ),
    "-"
)</f>
        <v>Medium</v>
      </c>
      <c r="AI158" s="25" t="str">
        <f t="shared" si="11"/>
        <v>-</v>
      </c>
    </row>
    <row r="159" spans="1:35" x14ac:dyDescent="0.25">
      <c r="A159" s="10">
        <v>59</v>
      </c>
      <c r="B159" s="10" t="s">
        <v>35</v>
      </c>
      <c r="C159" s="10" t="s">
        <v>36</v>
      </c>
      <c r="D159" s="10" t="s">
        <v>37</v>
      </c>
      <c r="E159" s="10" t="s">
        <v>38</v>
      </c>
      <c r="F159" s="11" t="s">
        <v>39</v>
      </c>
      <c r="G159" s="11" t="s">
        <v>40</v>
      </c>
      <c r="H159" s="12">
        <v>44965</v>
      </c>
      <c r="I159" s="20">
        <v>154998.28</v>
      </c>
      <c r="J159" s="20">
        <v>100000</v>
      </c>
      <c r="K159" s="10" t="s">
        <v>116</v>
      </c>
      <c r="L159" s="9" t="s">
        <v>230</v>
      </c>
      <c r="M159" s="9" t="s">
        <v>231</v>
      </c>
      <c r="N159" s="9" t="s">
        <v>232</v>
      </c>
      <c r="O159" s="9" t="s">
        <v>233</v>
      </c>
      <c r="P159" s="15">
        <v>44965</v>
      </c>
      <c r="Q159" s="9" t="s">
        <v>251</v>
      </c>
      <c r="R159" s="16">
        <v>100000</v>
      </c>
      <c r="U159" s="9" t="s">
        <v>55</v>
      </c>
      <c r="V159" s="24" t="str" cm="1">
        <f t="array" ref="V159">_xlfn.IFNA(
    _xlfn.IFS(
        ISNUMBER(SEARCH("Fast Outgoing Transfer",L159)),"Transfer",
        ISNUMBER(SEARCH("Incoming Fast Transfer",L159)),"Transfer",
        ISNUMBER(SEARCH("Outgoing International Transfer",L159)),"Transfer",
        ISNUMBER(SEARCH("Bill Payment",L159)),"SADAD",
        ISNUMBER(SEARCH("Payroll",L159)),"Payroll",
        ISNUMBER(SEARCH("Cash Deposit",L159)),"Cash",
        ISNUMBER(SEARCH("Internal Transfer",L159)),"Transfer",
        ISNUMBER(SEARCH("Expatriate Services Payment",L159)),"SADAD",
        ISNUMBER(SEARCH("Rejected",L159)),"Transfer"
    ),
    "-"
)</f>
        <v>Transfer</v>
      </c>
      <c r="W159" s="25" t="str" cm="1">
        <f t="array" ref="W159">_xlfn.IFNA(
    _xlfn.IFS(
        AND(V159="Transfer",ISNUMBER(SEARCH("RIYAD BANK",L159))),"External FI",
        AND(V159="Transfer",ISNUMBER(SEARCH("Al Ahli",L159))),"External FI",
        AND(V159="Transfer",ISNUMBER(SEARCH("CIB via",L159))),"Local Transfer",
        AND(V159="Transfer",ISNUMBER(SEARCH("CIB)",L159))),"Local Transfer",
        AND(V159="Transfer",ISNUMBER(SEARCH("SMRT",L159))),"Local Transfer",
        AND(V159="Transfer",ISNUMBER(SEARCH("Al Murabba",L159))),"Local Transfer",
        AND(V159="Transfer",ISNUMBER(SEARCH("Internal Transfer",L159))),"Same FI",
        AND(V159="Transfer",ISNUMBER(SEARCH("Rejected",L159))),"Failed",
        V159="SADAD",
            _xlfn.IFS(
                ISNUMBER(SEARCH("Expatriate",L159)),"Expat Fees",
                TRUE,"Online Payment"
            ),
        V159="Payroll","Payroll",
        V159="Cash","Deposit",
        TRUE,"-"
    ),
    "-"
)</f>
        <v>External FI</v>
      </c>
      <c r="X159" s="25" t="str" cm="1">
        <f t="array" ref="X159">_xlfn.IFNA(
    _xlfn.IFS(
        V159="-","Low",
        W159="-","Low",
        TRUE,"High"
    ),
    "-"
)</f>
        <v>High</v>
      </c>
      <c r="Y159" s="25" t="str">
        <f t="shared" si="8"/>
        <v>-</v>
      </c>
      <c r="Z159" s="25" t="str" cm="1">
        <f t="array" ref="Z159">_xlfn.IFNA(
    _xlfn.IFS(
        ISNUMBER(SEARCH("Abdul Latif Jameel",M159)),"Lender",
        ISNUMBER(SEARCH("Abdullah Abdulkarim Al Sudais",M159)),"Accounting",
        ISNUMBER(SEARCH("Abdullah Fahad for Accounting",M159)),"Accounting",
        ISNUMBER(SEARCH("Abdullah Rashid Shaikh",M159)),"Shareholder",
        ISNUMBER(SEARCH("Advanced Equipments",M159)),"Equipment Rental",
        ISNUMBER(SEARCH("Al Banuk Sana",M159)),"Telecom Company",
        ISNUMBER(SEARCH("Al Khaleefa Factory",M159)),"Manufacturer",
        ISNUMBER(SEARCH("Al Saadeh Trading",M159)),"Trading Company",
        ISNUMBER(SEARCH("Al Zaehaan",M159)),"Trading Company",
        ISNUMBER(SEARCH("Ali Abdullah K Al Darwish",M159)),"Airlines",
        ISNUMBER(SEARCH("Bupa Arabia",M159)),"Health Insurance",
        ISNUMBER(SEARCH("Dar Fahoosaat",M159)),"Consultant",
        ISNUMBER(SEARCH("General Authority of Zakat",M159)),"Tax Collection",
        ISNUMBER(SEARCH("Gulf Voyager",M159)),"Travel Agency",
        ISNUMBER(SEARCH("Hopeway Trading",M159)),"Trading Company",
        ISNUMBER(SEARCH("Interhealth Medical",M159)),"Medical Services",
        ISNUMBER(SEARCH("Ishaar",M159)),"Online Payment Service",
        ISNUMBER(SEARCH("ISO Arabia",M159)),"Certification",
        ISNUMBER(SEARCH("Khalid Saad Al Otaibi",M159)),"Trading Company",
        ISNUMBER(SEARCH("MERAS for Decoration",M159)),"Decor Company",
        ISNUMBER(SEARCH("Middle East Customs Clearance",M159)),"Customs",
        ISNUMBER(SEARCH("Ministry of Human Resources",M159)),"Government",
        ISNUMBER(SEARCH("My Business Services",M159)),"Service Provider",
        ISNUMBER(SEARCH("National Water Company",M159)),"Water Company",
        ISNUMBER(SEARCH("Rania Contracting",M159)),"Contracting",
        ISNUMBER(SEARCH("Rashid Ali Sheikh",M159)),"Shareholder",
        ISNUMBER(SEARCH("Sahab United Motors",M159)),"Car Show Room",
        ISNUMBER(SEARCH("Saud Mohammed Al Tamimi",M159)),"Shareholder",
        ISNUMBER(SEARCH("Saud Mohammed Tamimi",M159)),"Shareholder",
        ISNUMBER(SEARCH("Saudi Electric Company",M159)),"Electricity Company",
        ISNUMBER(SEARCH("Saudi Vetonit",M159)),"Building Materials",
        ISNUMBER(SEARCH("Shomoul Eng",M159)),"Safety",
        ISNUMBER(SEARCH("STC",M159)),"Telecom Company",
        ISNUMBER(SEARCH("The General Organization for Social Insurance",M159)),"Social Insurance Agency",
        ISNUMBER(SEARCH("TUV Rheinland",M159)),"Certification",
        ISNUMBER(SEARCH("Al Arabia Ceramic",M159)),"Building Materials",
        ISNUMBER(SEARCH("National Company for Building and Marketing",M159)),"Parent Company",
        ISNUMBER(SEARCH("Athraa Holding",M159)),"Holding Company",
        ISNUMBER(SEARCH("Al Rasan",M159)),"Contracting",
        ISNUMBER(SEARCH("Raboua Al Haid",M159)),"Trading Company",
        ISNUMBER(SEARCH("Al Jazeera Paint",M159)),"Manufacturer",
        ISNUMBER(SEARCH("Rania Works Contracting",M159)),"Contracting",
        ISNUMBER(SEARCH("Bandar Jarallah",M159)),"Trading Establishment",
        ISNUMBER(SEARCH("RS Infratec Saudi",M159)),"Same Company",
        ISNUMBER(SEARCH("Payroll",M159)),"Bank",
        ISNUMBER(SEARCH("Expatriate",M159)),"Government",
        ISNUMBER(SEARCH("Unknown Sender",M159)),"Unknown",
        TRUE,"Unknown"
    ),
    "-"
)</f>
        <v>Parent Company</v>
      </c>
      <c r="AA159" s="25" t="str" cm="1">
        <f t="array" ref="AA159">_xlfn.IFNA(
    _xlfn.IFS(
        Z159="Lender","Financing",
        Z159="Accounting","Accounting",
        Z159="Shareholder","Individual",
        Z159="Equipment Rental","Equipment Rental",
        Z159="Telecom Company","Telecom",
        Z159="Manufacturer","Manufacturer",
        Z159="Trading Company","Trading And Transport",
        Z159="Trading Establishment","Trading",
        Z159="Airlines","Airlines",
        Z159="Health Insurance","Insurance",
        Z159="Consultant","Consultant",
        Z159="Tax Collection","Government",
        Z159="Travel Agency","Travel Agency",
        Z159="Medical Services","Medical Center",
        Z159="Online Payment Service","Payment Facilitator",
        Z159="Certification","Safety",
        Z159="Decor Company","Design",
        Z159="Customs","Customs",
        Z159="Government","Government",
        Z159="Service Provider","Service Provider",
        Z159="Water Company","Water Company",
        Z159="Contracting","Contracting",
        Z159="Car Show Room","Car Trader",
        Z159="Electricity Company","Electricity Company",
        Z159="Building Materials","Building Materials",
        Z159="Safety","Safety",
        Z159="Social Insurance Agency","Government Fund",
        Z159="Parent Company","Holding Company",
        Z159="Holding Company","Holding Company",
        Z159="Same Company","Construction",
        Z159="Bank","Bank",
        Z159="Unknown","Unknown",
        TRUE,"-"
    ),
    "-"
)</f>
        <v>Holding Company</v>
      </c>
      <c r="AB159" s="25" t="str">
        <f t="shared" si="9"/>
        <v>-</v>
      </c>
      <c r="AC159" s="25" t="str" cm="1">
        <f t="array" ref="AC159">_xlfn.IFNA(
    _xlfn.IFS(
        Z159="Shareholder","Shareholder",
        Z159="Same Company","Same Company",
        Z159="Bank","Bank",
        Z159="Government","Government",
        Z159="Social Insurance Agency","Government",
        Z159="Parent Company","Customer",
        Z159="Lender","Lender",
        Z159="Unknown","Unknown",
        ISNUMBER(SEARCH("Abdullah Abdulkarim",M159)),"Service Provider",
        ISNUMBER(SEARCH("Abdullah Fahad",M159)),"Service Provider",
        ISNUMBER(SEARCH("Advanced Equipments",M159)),"Supplier",
        ISNUMBER(SEARCH("Al Banuk Sana",M159)),"Supplier",
        ISNUMBER(SEARCH("Al Khaleefa Factory",M159)),"Supplier",
        ISNUMBER(SEARCH("Al Saadeh Trading",M159)),"Supplier",
        ISNUMBER(SEARCH("Al Zaehaan",M159)),"Supplier",
        ISNUMBER(SEARCH("Ali Abdullah K Al Darwish",M159)),"Service Provider",
        ISNUMBER(SEARCH("Bupa Arabia",M159)),"Insurance Company",
        ISNUMBER(SEARCH("Dar Fahoosaat",M159)),"Service Provider",
        ISNUMBER(SEARCH("General Authority of Zakat",M159)),"Tax Authority",
        ISNUMBER(SEARCH("Gulf Voyager",M159)),"Service Provider",
        ISNUMBER(SEARCH("Hopeway Trading",M159)),"Supplier",
        ISNUMBER(SEARCH("Interhealth Medical",M159)),"Customer",
        ISNUMBER(SEARCH("Ishaar",M159)),"Service Provider",
        ISNUMBER(SEARCH("ISO Arabia",M159)),"Service Provider",
        ISNUMBER(SEARCH("Khalid Saad Al Otaibi",M159)),"Supplier",
        ISNUMBER(SEARCH("MERAS for Decoration",M159)),"Supplier",
        ISNUMBER(SEARCH("Middle East Customs Clearance",M159)),"Service Provider",
        ISNUMBER(SEARCH("Ministry of Human Resources",M159)),"Regulatory Agency",
        ISNUMBER(SEARCH("My Business Services",M159)),"Service Provider",
        ISNUMBER(SEARCH("National Water Company",M159)),"Utility Provider",
        ISNUMBER(SEARCH("Rania Contracting",M159)),"Supplier",
        ISNUMBER(SEARCH("Sahab United Motors",M159)),"Supplier",
        ISNUMBER(SEARCH("Saudi Electric Company",M159)),"Utility Provider",
        ISNUMBER(SEARCH("Saudi Vetonit",M159)),"Supplier",
        ISNUMBER(SEARCH("Shomoul Eng",M159)),"Service Provider",
        ISNUMBER(SEARCH("STC",M159)),"Utility Provider",
        ISNUMBER(SEARCH("The General Organization for Social Insurance",M159)),"Social Insurance Agency",
        ISNUMBER(SEARCH("TUV Rheinland",M159)),"Service Provider",
        ISNUMBER(SEARCH("Al Arabia Ceramic",M159)),"Supplier",
        ISNUMBER(SEARCH("National Company for Building",M159)),"Customer",
        ISNUMBER(SEARCH("Athraa Holding",M159)),"Customer",
        ISNUMBER(SEARCH("Al Rasan",M159)),"Supplier",
        ISNUMBER(SEARCH("Raboua Al Haid",M159)),"Customer",
        ISNUMBER(SEARCH("Al Jazeera Paint",M159)),"Supplier",
        ISNUMBER(SEARCH("Rania Works Contracting",M159)),"Supplier",
        ISNUMBER(SEARCH("Bandar Jarallah",M159)),"Supplier",
        TRUE,"Supplier"
    ),
    "-"
)</f>
        <v>Customer</v>
      </c>
      <c r="AD159" s="25" t="str" cm="1">
        <f t="array" ref="AD159">_xlfn.IFNA(
    _xlfn.IFS(
        AC159="Same Company","High",
        AC159="Shareholder","High",
        AC159="Government","High",
        AC159="Bank","High",
        AC159="Lender","High",
        AC159="Unknown","Low",
        AC159="-","Low",
        TRUE,"Medium"
    ),
    "-"
)</f>
        <v>Medium</v>
      </c>
      <c r="AE159" s="25" t="str">
        <f t="shared" si="10"/>
        <v>-</v>
      </c>
      <c r="AF159" s="25" t="str" cm="1">
        <f t="array" ref="AF159">_xlfn.IFNA(
    _xlfn.IFS(
        K159="Credit",
            _xlfn.IFS(
                OR(ISNUMBER(SEARCH("Rejected",L159)),ISNUMBER(SEARCH("Returned",L159))),"Other Income",
                TRUE,"Revenue"
            ),
        K159="Debit",
            _xlfn.IFS(
                ISNUMBER(SEARCH("Payroll",L159)),"OPEX",
                ISNUMBER(SEARCH("Expatriate",L159)),"OPEX",
                ISNUMBER(SEARCH("Zakat",M159)),"ZATCA",
                ISNUMBER(SEARCH("General Organization for Social Insurance",M159)),"OPEX",
                ISNUMBER(SEARCH("Saudi Electric",M159)),"OPEX",
                ISNUMBER(SEARCH("STC",M159)),"OPEX",
                ISNUMBER(SEARCH("National Water",M159)),"OPEX",
                ISNUMBER(SEARCH("Bupa",M159)),"OPEX",
                ISNUMBER(SEARCH("Abdullah Abdulkarim",M159)),"OPEX",
                ISNUMBER(SEARCH("Abdullah Fahad",M159)),"OPEX",
                ISNUMBER(SEARCH("ISO Arabia",M159)),"OPEX",
                ISNUMBER(SEARCH("Gulf Voyager",M159)),"OPEX",
                ISNUMBER(SEARCH("Ministry",M159)),"OPEX",
                ISNUMBER(SEARCH("General Authority of Zakat",M159)),"ZATCA",
                ISNUMBER(SEARCH("Rejected",L159)),"Other Income",
                TRUE,"COGS"
            ),
        TRUE,"-"
    ),
    "-"
)</f>
        <v>Revenue</v>
      </c>
      <c r="AG159" s="25" t="str" cm="1">
        <f t="array" ref="AG159">_xlfn.IFNA(
    _xlfn.IFS(
        ISNUMBER(SEARCH("Payroll",L159)),"Payroll",
        ISNUMBER(SEARCH("Expatriate",L159)),"Government Fees",
        ISNUMBER(SEARCH("Zakat",M159)),"Zakat",
        ISNUMBER(SEARCH("Social Insurance",M159)),"Social Insurance",
        ISNUMBER(SEARCH("Saudi Electric",M159)),"Electricity",
        ISNUMBER(SEARCH("STC",M159)),"Telecom",
        ISNUMBER(SEARCH("National Water",M159)),"Water",
        ISNUMBER(SEARCH("Bupa",M159)),"Insurance",
        ISNUMBER(SEARCH("Gulf Voyager",M159)),"Travel",
        ISNUMBER(SEARCH("Ministry",M159)),"Government Fees",
        ISNUMBER(SEARCH("Abdullah Abdulkarim",M159)),"Consulting",
        ISNUMBER(SEARCH("Abdullah Fahad",M159)),"Accounting",
        ISNUMBER(SEARCH("ISO Arabia",M159)),"Consulting",
        ISNUMBER(SEARCH("Rejected",L159)),"Refund",
        AF159="COGS","Inventory Purchase",
        AF159="Revenue","Revenue",
        AF159="OPEX","Other",
        AF159="ZATCA","Zakat",
        TRUE,"-"
    ),
    "-"
)</f>
        <v>Revenue</v>
      </c>
      <c r="AH159" s="25" t="str" cm="1">
        <f t="array" ref="AH159">_xlfn.IFNA(
    _xlfn.IFS(
        AF159="-","Low",
        AF159="Other","Low",
        TRUE,"Medium"
    ),
    "-"
)</f>
        <v>Medium</v>
      </c>
      <c r="AI159" s="25" t="str">
        <f t="shared" si="11"/>
        <v>-</v>
      </c>
    </row>
    <row r="160" spans="1:35" x14ac:dyDescent="0.25">
      <c r="A160" s="10">
        <v>59</v>
      </c>
      <c r="B160" s="10" t="s">
        <v>35</v>
      </c>
      <c r="C160" s="10" t="s">
        <v>36</v>
      </c>
      <c r="D160" s="10" t="s">
        <v>37</v>
      </c>
      <c r="E160" s="10" t="s">
        <v>38</v>
      </c>
      <c r="F160" s="11" t="s">
        <v>39</v>
      </c>
      <c r="G160" s="10" t="s">
        <v>40</v>
      </c>
      <c r="H160" s="12">
        <v>44977</v>
      </c>
      <c r="I160" s="20">
        <v>151772.01</v>
      </c>
      <c r="J160" s="20">
        <v>150000</v>
      </c>
      <c r="K160" s="10" t="s">
        <v>116</v>
      </c>
      <c r="L160" s="9" t="s">
        <v>230</v>
      </c>
      <c r="M160" s="9" t="s">
        <v>231</v>
      </c>
      <c r="N160" s="9" t="s">
        <v>232</v>
      </c>
      <c r="O160" s="9" t="s">
        <v>233</v>
      </c>
      <c r="P160" s="15">
        <v>44977</v>
      </c>
      <c r="Q160" s="9" t="s">
        <v>252</v>
      </c>
      <c r="R160" s="16">
        <v>150000</v>
      </c>
      <c r="U160" s="9" t="s">
        <v>55</v>
      </c>
      <c r="V160" s="24" t="str" cm="1">
        <f t="array" ref="V160">_xlfn.IFNA(
    _xlfn.IFS(
        ISNUMBER(SEARCH("Fast Outgoing Transfer",L160)),"Transfer",
        ISNUMBER(SEARCH("Incoming Fast Transfer",L160)),"Transfer",
        ISNUMBER(SEARCH("Outgoing International Transfer",L160)),"Transfer",
        ISNUMBER(SEARCH("Bill Payment",L160)),"SADAD",
        ISNUMBER(SEARCH("Payroll",L160)),"Payroll",
        ISNUMBER(SEARCH("Cash Deposit",L160)),"Cash",
        ISNUMBER(SEARCH("Internal Transfer",L160)),"Transfer",
        ISNUMBER(SEARCH("Expatriate Services Payment",L160)),"SADAD",
        ISNUMBER(SEARCH("Rejected",L160)),"Transfer"
    ),
    "-"
)</f>
        <v>Transfer</v>
      </c>
      <c r="W160" s="25" t="str" cm="1">
        <f t="array" ref="W160">_xlfn.IFNA(
    _xlfn.IFS(
        AND(V160="Transfer",ISNUMBER(SEARCH("RIYAD BANK",L160))),"External FI",
        AND(V160="Transfer",ISNUMBER(SEARCH("Al Ahli",L160))),"External FI",
        AND(V160="Transfer",ISNUMBER(SEARCH("CIB via",L160))),"Local Transfer",
        AND(V160="Transfer",ISNUMBER(SEARCH("CIB)",L160))),"Local Transfer",
        AND(V160="Transfer",ISNUMBER(SEARCH("SMRT",L160))),"Local Transfer",
        AND(V160="Transfer",ISNUMBER(SEARCH("Al Murabba",L160))),"Local Transfer",
        AND(V160="Transfer",ISNUMBER(SEARCH("Internal Transfer",L160))),"Same FI",
        AND(V160="Transfer",ISNUMBER(SEARCH("Rejected",L160))),"Failed",
        V160="SADAD",
            _xlfn.IFS(
                ISNUMBER(SEARCH("Expatriate",L160)),"Expat Fees",
                TRUE,"Online Payment"
            ),
        V160="Payroll","Payroll",
        V160="Cash","Deposit",
        TRUE,"-"
    ),
    "-"
)</f>
        <v>External FI</v>
      </c>
      <c r="X160" s="25" t="str" cm="1">
        <f t="array" ref="X160">_xlfn.IFNA(
    _xlfn.IFS(
        V160="-","Low",
        W160="-","Low",
        TRUE,"High"
    ),
    "-"
)</f>
        <v>High</v>
      </c>
      <c r="Y160" s="25" t="str">
        <f t="shared" si="8"/>
        <v>-</v>
      </c>
      <c r="Z160" s="25" t="str" cm="1">
        <f t="array" ref="Z160">_xlfn.IFNA(
    _xlfn.IFS(
        ISNUMBER(SEARCH("Abdul Latif Jameel",M160)),"Lender",
        ISNUMBER(SEARCH("Abdullah Abdulkarim Al Sudais",M160)),"Accounting",
        ISNUMBER(SEARCH("Abdullah Fahad for Accounting",M160)),"Accounting",
        ISNUMBER(SEARCH("Abdullah Rashid Shaikh",M160)),"Shareholder",
        ISNUMBER(SEARCH("Advanced Equipments",M160)),"Equipment Rental",
        ISNUMBER(SEARCH("Al Banuk Sana",M160)),"Telecom Company",
        ISNUMBER(SEARCH("Al Khaleefa Factory",M160)),"Manufacturer",
        ISNUMBER(SEARCH("Al Saadeh Trading",M160)),"Trading Company",
        ISNUMBER(SEARCH("Al Zaehaan",M160)),"Trading Company",
        ISNUMBER(SEARCH("Ali Abdullah K Al Darwish",M160)),"Airlines",
        ISNUMBER(SEARCH("Bupa Arabia",M160)),"Health Insurance",
        ISNUMBER(SEARCH("Dar Fahoosaat",M160)),"Consultant",
        ISNUMBER(SEARCH("General Authority of Zakat",M160)),"Tax Collection",
        ISNUMBER(SEARCH("Gulf Voyager",M160)),"Travel Agency",
        ISNUMBER(SEARCH("Hopeway Trading",M160)),"Trading Company",
        ISNUMBER(SEARCH("Interhealth Medical",M160)),"Medical Services",
        ISNUMBER(SEARCH("Ishaar",M160)),"Online Payment Service",
        ISNUMBER(SEARCH("ISO Arabia",M160)),"Certification",
        ISNUMBER(SEARCH("Khalid Saad Al Otaibi",M160)),"Trading Company",
        ISNUMBER(SEARCH("MERAS for Decoration",M160)),"Decor Company",
        ISNUMBER(SEARCH("Middle East Customs Clearance",M160)),"Customs",
        ISNUMBER(SEARCH("Ministry of Human Resources",M160)),"Government",
        ISNUMBER(SEARCH("My Business Services",M160)),"Service Provider",
        ISNUMBER(SEARCH("National Water Company",M160)),"Water Company",
        ISNUMBER(SEARCH("Rania Contracting",M160)),"Contracting",
        ISNUMBER(SEARCH("Rashid Ali Sheikh",M160)),"Shareholder",
        ISNUMBER(SEARCH("Sahab United Motors",M160)),"Car Show Room",
        ISNUMBER(SEARCH("Saud Mohammed Al Tamimi",M160)),"Shareholder",
        ISNUMBER(SEARCH("Saud Mohammed Tamimi",M160)),"Shareholder",
        ISNUMBER(SEARCH("Saudi Electric Company",M160)),"Electricity Company",
        ISNUMBER(SEARCH("Saudi Vetonit",M160)),"Building Materials",
        ISNUMBER(SEARCH("Shomoul Eng",M160)),"Safety",
        ISNUMBER(SEARCH("STC",M160)),"Telecom Company",
        ISNUMBER(SEARCH("The General Organization for Social Insurance",M160)),"Social Insurance Agency",
        ISNUMBER(SEARCH("TUV Rheinland",M160)),"Certification",
        ISNUMBER(SEARCH("Al Arabia Ceramic",M160)),"Building Materials",
        ISNUMBER(SEARCH("National Company for Building and Marketing",M160)),"Parent Company",
        ISNUMBER(SEARCH("Athraa Holding",M160)),"Holding Company",
        ISNUMBER(SEARCH("Al Rasan",M160)),"Contracting",
        ISNUMBER(SEARCH("Raboua Al Haid",M160)),"Trading Company",
        ISNUMBER(SEARCH("Al Jazeera Paint",M160)),"Manufacturer",
        ISNUMBER(SEARCH("Rania Works Contracting",M160)),"Contracting",
        ISNUMBER(SEARCH("Bandar Jarallah",M160)),"Trading Establishment",
        ISNUMBER(SEARCH("RS Infratec Saudi",M160)),"Same Company",
        ISNUMBER(SEARCH("Payroll",M160)),"Bank",
        ISNUMBER(SEARCH("Expatriate",M160)),"Government",
        ISNUMBER(SEARCH("Unknown Sender",M160)),"Unknown",
        TRUE,"Unknown"
    ),
    "-"
)</f>
        <v>Parent Company</v>
      </c>
      <c r="AA160" s="25" t="str" cm="1">
        <f t="array" ref="AA160">_xlfn.IFNA(
    _xlfn.IFS(
        Z160="Lender","Financing",
        Z160="Accounting","Accounting",
        Z160="Shareholder","Individual",
        Z160="Equipment Rental","Equipment Rental",
        Z160="Telecom Company","Telecom",
        Z160="Manufacturer","Manufacturer",
        Z160="Trading Company","Trading And Transport",
        Z160="Trading Establishment","Trading",
        Z160="Airlines","Airlines",
        Z160="Health Insurance","Insurance",
        Z160="Consultant","Consultant",
        Z160="Tax Collection","Government",
        Z160="Travel Agency","Travel Agency",
        Z160="Medical Services","Medical Center",
        Z160="Online Payment Service","Payment Facilitator",
        Z160="Certification","Safety",
        Z160="Decor Company","Design",
        Z160="Customs","Customs",
        Z160="Government","Government",
        Z160="Service Provider","Service Provider",
        Z160="Water Company","Water Company",
        Z160="Contracting","Contracting",
        Z160="Car Show Room","Car Trader",
        Z160="Electricity Company","Electricity Company",
        Z160="Building Materials","Building Materials",
        Z160="Safety","Safety",
        Z160="Social Insurance Agency","Government Fund",
        Z160="Parent Company","Holding Company",
        Z160="Holding Company","Holding Company",
        Z160="Same Company","Construction",
        Z160="Bank","Bank",
        Z160="Unknown","Unknown",
        TRUE,"-"
    ),
    "-"
)</f>
        <v>Holding Company</v>
      </c>
      <c r="AB160" s="25" t="str">
        <f t="shared" si="9"/>
        <v>-</v>
      </c>
      <c r="AC160" s="25" t="str" cm="1">
        <f t="array" ref="AC160">_xlfn.IFNA(
    _xlfn.IFS(
        Z160="Shareholder","Shareholder",
        Z160="Same Company","Same Company",
        Z160="Bank","Bank",
        Z160="Government","Government",
        Z160="Social Insurance Agency","Government",
        Z160="Parent Company","Customer",
        Z160="Lender","Lender",
        Z160="Unknown","Unknown",
        ISNUMBER(SEARCH("Abdullah Abdulkarim",M160)),"Service Provider",
        ISNUMBER(SEARCH("Abdullah Fahad",M160)),"Service Provider",
        ISNUMBER(SEARCH("Advanced Equipments",M160)),"Supplier",
        ISNUMBER(SEARCH("Al Banuk Sana",M160)),"Supplier",
        ISNUMBER(SEARCH("Al Khaleefa Factory",M160)),"Supplier",
        ISNUMBER(SEARCH("Al Saadeh Trading",M160)),"Supplier",
        ISNUMBER(SEARCH("Al Zaehaan",M160)),"Supplier",
        ISNUMBER(SEARCH("Ali Abdullah K Al Darwish",M160)),"Service Provider",
        ISNUMBER(SEARCH("Bupa Arabia",M160)),"Insurance Company",
        ISNUMBER(SEARCH("Dar Fahoosaat",M160)),"Service Provider",
        ISNUMBER(SEARCH("General Authority of Zakat",M160)),"Tax Authority",
        ISNUMBER(SEARCH("Gulf Voyager",M160)),"Service Provider",
        ISNUMBER(SEARCH("Hopeway Trading",M160)),"Supplier",
        ISNUMBER(SEARCH("Interhealth Medical",M160)),"Customer",
        ISNUMBER(SEARCH("Ishaar",M160)),"Service Provider",
        ISNUMBER(SEARCH("ISO Arabia",M160)),"Service Provider",
        ISNUMBER(SEARCH("Khalid Saad Al Otaibi",M160)),"Supplier",
        ISNUMBER(SEARCH("MERAS for Decoration",M160)),"Supplier",
        ISNUMBER(SEARCH("Middle East Customs Clearance",M160)),"Service Provider",
        ISNUMBER(SEARCH("Ministry of Human Resources",M160)),"Regulatory Agency",
        ISNUMBER(SEARCH("My Business Services",M160)),"Service Provider",
        ISNUMBER(SEARCH("National Water Company",M160)),"Utility Provider",
        ISNUMBER(SEARCH("Rania Contracting",M160)),"Supplier",
        ISNUMBER(SEARCH("Sahab United Motors",M160)),"Supplier",
        ISNUMBER(SEARCH("Saudi Electric Company",M160)),"Utility Provider",
        ISNUMBER(SEARCH("Saudi Vetonit",M160)),"Supplier",
        ISNUMBER(SEARCH("Shomoul Eng",M160)),"Service Provider",
        ISNUMBER(SEARCH("STC",M160)),"Utility Provider",
        ISNUMBER(SEARCH("The General Organization for Social Insurance",M160)),"Social Insurance Agency",
        ISNUMBER(SEARCH("TUV Rheinland",M160)),"Service Provider",
        ISNUMBER(SEARCH("Al Arabia Ceramic",M160)),"Supplier",
        ISNUMBER(SEARCH("National Company for Building",M160)),"Customer",
        ISNUMBER(SEARCH("Athraa Holding",M160)),"Customer",
        ISNUMBER(SEARCH("Al Rasan",M160)),"Supplier",
        ISNUMBER(SEARCH("Raboua Al Haid",M160)),"Customer",
        ISNUMBER(SEARCH("Al Jazeera Paint",M160)),"Supplier",
        ISNUMBER(SEARCH("Rania Works Contracting",M160)),"Supplier",
        ISNUMBER(SEARCH("Bandar Jarallah",M160)),"Supplier",
        TRUE,"Supplier"
    ),
    "-"
)</f>
        <v>Customer</v>
      </c>
      <c r="AD160" s="25" t="str" cm="1">
        <f t="array" ref="AD160">_xlfn.IFNA(
    _xlfn.IFS(
        AC160="Same Company","High",
        AC160="Shareholder","High",
        AC160="Government","High",
        AC160="Bank","High",
        AC160="Lender","High",
        AC160="Unknown","Low",
        AC160="-","Low",
        TRUE,"Medium"
    ),
    "-"
)</f>
        <v>Medium</v>
      </c>
      <c r="AE160" s="25" t="str">
        <f t="shared" si="10"/>
        <v>-</v>
      </c>
      <c r="AF160" s="25" t="str" cm="1">
        <f t="array" ref="AF160">_xlfn.IFNA(
    _xlfn.IFS(
        K160="Credit",
            _xlfn.IFS(
                OR(ISNUMBER(SEARCH("Rejected",L160)),ISNUMBER(SEARCH("Returned",L160))),"Other Income",
                TRUE,"Revenue"
            ),
        K160="Debit",
            _xlfn.IFS(
                ISNUMBER(SEARCH("Payroll",L160)),"OPEX",
                ISNUMBER(SEARCH("Expatriate",L160)),"OPEX",
                ISNUMBER(SEARCH("Zakat",M160)),"ZATCA",
                ISNUMBER(SEARCH("General Organization for Social Insurance",M160)),"OPEX",
                ISNUMBER(SEARCH("Saudi Electric",M160)),"OPEX",
                ISNUMBER(SEARCH("STC",M160)),"OPEX",
                ISNUMBER(SEARCH("National Water",M160)),"OPEX",
                ISNUMBER(SEARCH("Bupa",M160)),"OPEX",
                ISNUMBER(SEARCH("Abdullah Abdulkarim",M160)),"OPEX",
                ISNUMBER(SEARCH("Abdullah Fahad",M160)),"OPEX",
                ISNUMBER(SEARCH("ISO Arabia",M160)),"OPEX",
                ISNUMBER(SEARCH("Gulf Voyager",M160)),"OPEX",
                ISNUMBER(SEARCH("Ministry",M160)),"OPEX",
                ISNUMBER(SEARCH("General Authority of Zakat",M160)),"ZATCA",
                ISNUMBER(SEARCH("Rejected",L160)),"Other Income",
                TRUE,"COGS"
            ),
        TRUE,"-"
    ),
    "-"
)</f>
        <v>Revenue</v>
      </c>
      <c r="AG160" s="25" t="str" cm="1">
        <f t="array" ref="AG160">_xlfn.IFNA(
    _xlfn.IFS(
        ISNUMBER(SEARCH("Payroll",L160)),"Payroll",
        ISNUMBER(SEARCH("Expatriate",L160)),"Government Fees",
        ISNUMBER(SEARCH("Zakat",M160)),"Zakat",
        ISNUMBER(SEARCH("Social Insurance",M160)),"Social Insurance",
        ISNUMBER(SEARCH("Saudi Electric",M160)),"Electricity",
        ISNUMBER(SEARCH("STC",M160)),"Telecom",
        ISNUMBER(SEARCH("National Water",M160)),"Water",
        ISNUMBER(SEARCH("Bupa",M160)),"Insurance",
        ISNUMBER(SEARCH("Gulf Voyager",M160)),"Travel",
        ISNUMBER(SEARCH("Ministry",M160)),"Government Fees",
        ISNUMBER(SEARCH("Abdullah Abdulkarim",M160)),"Consulting",
        ISNUMBER(SEARCH("Abdullah Fahad",M160)),"Accounting",
        ISNUMBER(SEARCH("ISO Arabia",M160)),"Consulting",
        ISNUMBER(SEARCH("Rejected",L160)),"Refund",
        AF160="COGS","Inventory Purchase",
        AF160="Revenue","Revenue",
        AF160="OPEX","Other",
        AF160="ZATCA","Zakat",
        TRUE,"-"
    ),
    "-"
)</f>
        <v>Revenue</v>
      </c>
      <c r="AH160" s="25" t="str" cm="1">
        <f t="array" ref="AH160">_xlfn.IFNA(
    _xlfn.IFS(
        AF160="-","Low",
        AF160="Other","Low",
        TRUE,"Medium"
    ),
    "-"
)</f>
        <v>Medium</v>
      </c>
      <c r="AI160" s="25" t="str">
        <f t="shared" si="11"/>
        <v>-</v>
      </c>
    </row>
    <row r="161" spans="1:35" x14ac:dyDescent="0.25">
      <c r="A161" s="10">
        <v>59</v>
      </c>
      <c r="B161" s="10" t="s">
        <v>35</v>
      </c>
      <c r="C161" s="10" t="s">
        <v>36</v>
      </c>
      <c r="D161" s="10" t="s">
        <v>37</v>
      </c>
      <c r="E161" s="10" t="s">
        <v>38</v>
      </c>
      <c r="F161" s="11" t="s">
        <v>39</v>
      </c>
      <c r="G161" s="11" t="s">
        <v>40</v>
      </c>
      <c r="H161" s="12">
        <v>44978</v>
      </c>
      <c r="I161" s="20">
        <v>176454.01</v>
      </c>
      <c r="J161" s="20">
        <v>150000</v>
      </c>
      <c r="K161" s="10" t="s">
        <v>116</v>
      </c>
      <c r="L161" s="9" t="s">
        <v>224</v>
      </c>
      <c r="M161" s="9" t="s">
        <v>231</v>
      </c>
      <c r="O161" s="9" t="s">
        <v>226</v>
      </c>
      <c r="P161" s="15">
        <v>44978</v>
      </c>
      <c r="Q161" s="9" t="s">
        <v>253</v>
      </c>
      <c r="R161" s="16">
        <v>150000</v>
      </c>
      <c r="U161" s="9" t="s">
        <v>55</v>
      </c>
      <c r="V161" s="24" t="str" cm="1">
        <f t="array" ref="V161">_xlfn.IFNA(
    _xlfn.IFS(
        ISNUMBER(SEARCH("Fast Outgoing Transfer",L161)),"Transfer",
        ISNUMBER(SEARCH("Incoming Fast Transfer",L161)),"Transfer",
        ISNUMBER(SEARCH("Outgoing International Transfer",L161)),"Transfer",
        ISNUMBER(SEARCH("Bill Payment",L161)),"SADAD",
        ISNUMBER(SEARCH("Payroll",L161)),"Payroll",
        ISNUMBER(SEARCH("Cash Deposit",L161)),"Cash",
        ISNUMBER(SEARCH("Internal Transfer",L161)),"Transfer",
        ISNUMBER(SEARCH("Expatriate Services Payment",L161)),"SADAD",
        ISNUMBER(SEARCH("Rejected",L161)),"Transfer"
    ),
    "-"
)</f>
        <v>Transfer</v>
      </c>
      <c r="W161" s="25" t="str" cm="1">
        <f t="array" ref="W161">_xlfn.IFNA(
    _xlfn.IFS(
        AND(V161="Transfer",ISNUMBER(SEARCH("RIYAD BANK",L161))),"External FI",
        AND(V161="Transfer",ISNUMBER(SEARCH("Al Ahli",L161))),"External FI",
        AND(V161="Transfer",ISNUMBER(SEARCH("CIB via",L161))),"Local Transfer",
        AND(V161="Transfer",ISNUMBER(SEARCH("CIB)",L161))),"Local Transfer",
        AND(V161="Transfer",ISNUMBER(SEARCH("SMRT",L161))),"Local Transfer",
        AND(V161="Transfer",ISNUMBER(SEARCH("Al Murabba",L161))),"Local Transfer",
        AND(V161="Transfer",ISNUMBER(SEARCH("Internal Transfer",L161))),"Same FI",
        AND(V161="Transfer",ISNUMBER(SEARCH("Rejected",L161))),"Failed",
        V161="SADAD",
            _xlfn.IFS(
                ISNUMBER(SEARCH("Expatriate",L161)),"Expat Fees",
                TRUE,"Online Payment"
            ),
        V161="Payroll","Payroll",
        V161="Cash","Deposit",
        TRUE,"-"
    ),
    "-"
)</f>
        <v>Local Transfer</v>
      </c>
      <c r="X161" s="25" t="str" cm="1">
        <f t="array" ref="X161">_xlfn.IFNA(
    _xlfn.IFS(
        V161="-","Low",
        W161="-","Low",
        TRUE,"High"
    ),
    "-"
)</f>
        <v>High</v>
      </c>
      <c r="Y161" s="25" t="str">
        <f t="shared" si="8"/>
        <v>-</v>
      </c>
      <c r="Z161" s="25" t="str" cm="1">
        <f t="array" ref="Z161">_xlfn.IFNA(
    _xlfn.IFS(
        ISNUMBER(SEARCH("Abdul Latif Jameel",M161)),"Lender",
        ISNUMBER(SEARCH("Abdullah Abdulkarim Al Sudais",M161)),"Accounting",
        ISNUMBER(SEARCH("Abdullah Fahad for Accounting",M161)),"Accounting",
        ISNUMBER(SEARCH("Abdullah Rashid Shaikh",M161)),"Shareholder",
        ISNUMBER(SEARCH("Advanced Equipments",M161)),"Equipment Rental",
        ISNUMBER(SEARCH("Al Banuk Sana",M161)),"Telecom Company",
        ISNUMBER(SEARCH("Al Khaleefa Factory",M161)),"Manufacturer",
        ISNUMBER(SEARCH("Al Saadeh Trading",M161)),"Trading Company",
        ISNUMBER(SEARCH("Al Zaehaan",M161)),"Trading Company",
        ISNUMBER(SEARCH("Ali Abdullah K Al Darwish",M161)),"Airlines",
        ISNUMBER(SEARCH("Bupa Arabia",M161)),"Health Insurance",
        ISNUMBER(SEARCH("Dar Fahoosaat",M161)),"Consultant",
        ISNUMBER(SEARCH("General Authority of Zakat",M161)),"Tax Collection",
        ISNUMBER(SEARCH("Gulf Voyager",M161)),"Travel Agency",
        ISNUMBER(SEARCH("Hopeway Trading",M161)),"Trading Company",
        ISNUMBER(SEARCH("Interhealth Medical",M161)),"Medical Services",
        ISNUMBER(SEARCH("Ishaar",M161)),"Online Payment Service",
        ISNUMBER(SEARCH("ISO Arabia",M161)),"Certification",
        ISNUMBER(SEARCH("Khalid Saad Al Otaibi",M161)),"Trading Company",
        ISNUMBER(SEARCH("MERAS for Decoration",M161)),"Decor Company",
        ISNUMBER(SEARCH("Middle East Customs Clearance",M161)),"Customs",
        ISNUMBER(SEARCH("Ministry of Human Resources",M161)),"Government",
        ISNUMBER(SEARCH("My Business Services",M161)),"Service Provider",
        ISNUMBER(SEARCH("National Water Company",M161)),"Water Company",
        ISNUMBER(SEARCH("Rania Contracting",M161)),"Contracting",
        ISNUMBER(SEARCH("Rashid Ali Sheikh",M161)),"Shareholder",
        ISNUMBER(SEARCH("Sahab United Motors",M161)),"Car Show Room",
        ISNUMBER(SEARCH("Saud Mohammed Al Tamimi",M161)),"Shareholder",
        ISNUMBER(SEARCH("Saud Mohammed Tamimi",M161)),"Shareholder",
        ISNUMBER(SEARCH("Saudi Electric Company",M161)),"Electricity Company",
        ISNUMBER(SEARCH("Saudi Vetonit",M161)),"Building Materials",
        ISNUMBER(SEARCH("Shomoul Eng",M161)),"Safety",
        ISNUMBER(SEARCH("STC",M161)),"Telecom Company",
        ISNUMBER(SEARCH("The General Organization for Social Insurance",M161)),"Social Insurance Agency",
        ISNUMBER(SEARCH("TUV Rheinland",M161)),"Certification",
        ISNUMBER(SEARCH("Al Arabia Ceramic",M161)),"Building Materials",
        ISNUMBER(SEARCH("National Company for Building and Marketing",M161)),"Parent Company",
        ISNUMBER(SEARCH("Athraa Holding",M161)),"Holding Company",
        ISNUMBER(SEARCH("Al Rasan",M161)),"Contracting",
        ISNUMBER(SEARCH("Raboua Al Haid",M161)),"Trading Company",
        ISNUMBER(SEARCH("Al Jazeera Paint",M161)),"Manufacturer",
        ISNUMBER(SEARCH("Rania Works Contracting",M161)),"Contracting",
        ISNUMBER(SEARCH("Bandar Jarallah",M161)),"Trading Establishment",
        ISNUMBER(SEARCH("RS Infratec Saudi",M161)),"Same Company",
        ISNUMBER(SEARCH("Payroll",M161)),"Bank",
        ISNUMBER(SEARCH("Expatriate",M161)),"Government",
        ISNUMBER(SEARCH("Unknown Sender",M161)),"Unknown",
        TRUE,"Unknown"
    ),
    "-"
)</f>
        <v>Parent Company</v>
      </c>
      <c r="AA161" s="25" t="str" cm="1">
        <f t="array" ref="AA161">_xlfn.IFNA(
    _xlfn.IFS(
        Z161="Lender","Financing",
        Z161="Accounting","Accounting",
        Z161="Shareholder","Individual",
        Z161="Equipment Rental","Equipment Rental",
        Z161="Telecom Company","Telecom",
        Z161="Manufacturer","Manufacturer",
        Z161="Trading Company","Trading And Transport",
        Z161="Trading Establishment","Trading",
        Z161="Airlines","Airlines",
        Z161="Health Insurance","Insurance",
        Z161="Consultant","Consultant",
        Z161="Tax Collection","Government",
        Z161="Travel Agency","Travel Agency",
        Z161="Medical Services","Medical Center",
        Z161="Online Payment Service","Payment Facilitator",
        Z161="Certification","Safety",
        Z161="Decor Company","Design",
        Z161="Customs","Customs",
        Z161="Government","Government",
        Z161="Service Provider","Service Provider",
        Z161="Water Company","Water Company",
        Z161="Contracting","Contracting",
        Z161="Car Show Room","Car Trader",
        Z161="Electricity Company","Electricity Company",
        Z161="Building Materials","Building Materials",
        Z161="Safety","Safety",
        Z161="Social Insurance Agency","Government Fund",
        Z161="Parent Company","Holding Company",
        Z161="Holding Company","Holding Company",
        Z161="Same Company","Construction",
        Z161="Bank","Bank",
        Z161="Unknown","Unknown",
        TRUE,"-"
    ),
    "-"
)</f>
        <v>Holding Company</v>
      </c>
      <c r="AB161" s="25" t="str">
        <f t="shared" si="9"/>
        <v>-</v>
      </c>
      <c r="AC161" s="25" t="str" cm="1">
        <f t="array" ref="AC161">_xlfn.IFNA(
    _xlfn.IFS(
        Z161="Shareholder","Shareholder",
        Z161="Same Company","Same Company",
        Z161="Bank","Bank",
        Z161="Government","Government",
        Z161="Social Insurance Agency","Government",
        Z161="Parent Company","Customer",
        Z161="Lender","Lender",
        Z161="Unknown","Unknown",
        ISNUMBER(SEARCH("Abdullah Abdulkarim",M161)),"Service Provider",
        ISNUMBER(SEARCH("Abdullah Fahad",M161)),"Service Provider",
        ISNUMBER(SEARCH("Advanced Equipments",M161)),"Supplier",
        ISNUMBER(SEARCH("Al Banuk Sana",M161)),"Supplier",
        ISNUMBER(SEARCH("Al Khaleefa Factory",M161)),"Supplier",
        ISNUMBER(SEARCH("Al Saadeh Trading",M161)),"Supplier",
        ISNUMBER(SEARCH("Al Zaehaan",M161)),"Supplier",
        ISNUMBER(SEARCH("Ali Abdullah K Al Darwish",M161)),"Service Provider",
        ISNUMBER(SEARCH("Bupa Arabia",M161)),"Insurance Company",
        ISNUMBER(SEARCH("Dar Fahoosaat",M161)),"Service Provider",
        ISNUMBER(SEARCH("General Authority of Zakat",M161)),"Tax Authority",
        ISNUMBER(SEARCH("Gulf Voyager",M161)),"Service Provider",
        ISNUMBER(SEARCH("Hopeway Trading",M161)),"Supplier",
        ISNUMBER(SEARCH("Interhealth Medical",M161)),"Customer",
        ISNUMBER(SEARCH("Ishaar",M161)),"Service Provider",
        ISNUMBER(SEARCH("ISO Arabia",M161)),"Service Provider",
        ISNUMBER(SEARCH("Khalid Saad Al Otaibi",M161)),"Supplier",
        ISNUMBER(SEARCH("MERAS for Decoration",M161)),"Supplier",
        ISNUMBER(SEARCH("Middle East Customs Clearance",M161)),"Service Provider",
        ISNUMBER(SEARCH("Ministry of Human Resources",M161)),"Regulatory Agency",
        ISNUMBER(SEARCH("My Business Services",M161)),"Service Provider",
        ISNUMBER(SEARCH("National Water Company",M161)),"Utility Provider",
        ISNUMBER(SEARCH("Rania Contracting",M161)),"Supplier",
        ISNUMBER(SEARCH("Sahab United Motors",M161)),"Supplier",
        ISNUMBER(SEARCH("Saudi Electric Company",M161)),"Utility Provider",
        ISNUMBER(SEARCH("Saudi Vetonit",M161)),"Supplier",
        ISNUMBER(SEARCH("Shomoul Eng",M161)),"Service Provider",
        ISNUMBER(SEARCH("STC",M161)),"Utility Provider",
        ISNUMBER(SEARCH("The General Organization for Social Insurance",M161)),"Social Insurance Agency",
        ISNUMBER(SEARCH("TUV Rheinland",M161)),"Service Provider",
        ISNUMBER(SEARCH("Al Arabia Ceramic",M161)),"Supplier",
        ISNUMBER(SEARCH("National Company for Building",M161)),"Customer",
        ISNUMBER(SEARCH("Athraa Holding",M161)),"Customer",
        ISNUMBER(SEARCH("Al Rasan",M161)),"Supplier",
        ISNUMBER(SEARCH("Raboua Al Haid",M161)),"Customer",
        ISNUMBER(SEARCH("Al Jazeera Paint",M161)),"Supplier",
        ISNUMBER(SEARCH("Rania Works Contracting",M161)),"Supplier",
        ISNUMBER(SEARCH("Bandar Jarallah",M161)),"Supplier",
        TRUE,"Supplier"
    ),
    "-"
)</f>
        <v>Customer</v>
      </c>
      <c r="AD161" s="25" t="str" cm="1">
        <f t="array" ref="AD161">_xlfn.IFNA(
    _xlfn.IFS(
        AC161="Same Company","High",
        AC161="Shareholder","High",
        AC161="Government","High",
        AC161="Bank","High",
        AC161="Lender","High",
        AC161="Unknown","Low",
        AC161="-","Low",
        TRUE,"Medium"
    ),
    "-"
)</f>
        <v>Medium</v>
      </c>
      <c r="AE161" s="25" t="str">
        <f t="shared" si="10"/>
        <v>-</v>
      </c>
      <c r="AF161" s="25" t="str" cm="1">
        <f t="array" ref="AF161">_xlfn.IFNA(
    _xlfn.IFS(
        K161="Credit",
            _xlfn.IFS(
                OR(ISNUMBER(SEARCH("Rejected",L161)),ISNUMBER(SEARCH("Returned",L161))),"Other Income",
                TRUE,"Revenue"
            ),
        K161="Debit",
            _xlfn.IFS(
                ISNUMBER(SEARCH("Payroll",L161)),"OPEX",
                ISNUMBER(SEARCH("Expatriate",L161)),"OPEX",
                ISNUMBER(SEARCH("Zakat",M161)),"ZATCA",
                ISNUMBER(SEARCH("General Organization for Social Insurance",M161)),"OPEX",
                ISNUMBER(SEARCH("Saudi Electric",M161)),"OPEX",
                ISNUMBER(SEARCH("STC",M161)),"OPEX",
                ISNUMBER(SEARCH("National Water",M161)),"OPEX",
                ISNUMBER(SEARCH("Bupa",M161)),"OPEX",
                ISNUMBER(SEARCH("Abdullah Abdulkarim",M161)),"OPEX",
                ISNUMBER(SEARCH("Abdullah Fahad",M161)),"OPEX",
                ISNUMBER(SEARCH("ISO Arabia",M161)),"OPEX",
                ISNUMBER(SEARCH("Gulf Voyager",M161)),"OPEX",
                ISNUMBER(SEARCH("Ministry",M161)),"OPEX",
                ISNUMBER(SEARCH("General Authority of Zakat",M161)),"ZATCA",
                ISNUMBER(SEARCH("Rejected",L161)),"Other Income",
                TRUE,"COGS"
            ),
        TRUE,"-"
    ),
    "-"
)</f>
        <v>Revenue</v>
      </c>
      <c r="AG161" s="25" t="str" cm="1">
        <f t="array" ref="AG161">_xlfn.IFNA(
    _xlfn.IFS(
        ISNUMBER(SEARCH("Payroll",L161)),"Payroll",
        ISNUMBER(SEARCH("Expatriate",L161)),"Government Fees",
        ISNUMBER(SEARCH("Zakat",M161)),"Zakat",
        ISNUMBER(SEARCH("Social Insurance",M161)),"Social Insurance",
        ISNUMBER(SEARCH("Saudi Electric",M161)),"Electricity",
        ISNUMBER(SEARCH("STC",M161)),"Telecom",
        ISNUMBER(SEARCH("National Water",M161)),"Water",
        ISNUMBER(SEARCH("Bupa",M161)),"Insurance",
        ISNUMBER(SEARCH("Gulf Voyager",M161)),"Travel",
        ISNUMBER(SEARCH("Ministry",M161)),"Government Fees",
        ISNUMBER(SEARCH("Abdullah Abdulkarim",M161)),"Consulting",
        ISNUMBER(SEARCH("Abdullah Fahad",M161)),"Accounting",
        ISNUMBER(SEARCH("ISO Arabia",M161)),"Consulting",
        ISNUMBER(SEARCH("Rejected",L161)),"Refund",
        AF161="COGS","Inventory Purchase",
        AF161="Revenue","Revenue",
        AF161="OPEX","Other",
        AF161="ZATCA","Zakat",
        TRUE,"-"
    ),
    "-"
)</f>
        <v>Revenue</v>
      </c>
      <c r="AH161" s="25" t="str" cm="1">
        <f t="array" ref="AH161">_xlfn.IFNA(
    _xlfn.IFS(
        AF161="-","Low",
        AF161="Other","Low",
        TRUE,"Medium"
    ),
    "-"
)</f>
        <v>Medium</v>
      </c>
      <c r="AI161" s="25" t="str">
        <f t="shared" si="11"/>
        <v>-</v>
      </c>
    </row>
    <row r="162" spans="1:35" x14ac:dyDescent="0.25">
      <c r="A162" s="10">
        <v>59</v>
      </c>
      <c r="B162" s="10" t="s">
        <v>35</v>
      </c>
      <c r="C162" s="10" t="s">
        <v>36</v>
      </c>
      <c r="D162" s="10" t="s">
        <v>37</v>
      </c>
      <c r="E162" s="10" t="s">
        <v>38</v>
      </c>
      <c r="F162" s="11" t="s">
        <v>39</v>
      </c>
      <c r="G162" s="11" t="s">
        <v>40</v>
      </c>
      <c r="H162" s="12">
        <v>44980</v>
      </c>
      <c r="I162" s="20">
        <v>104582.31</v>
      </c>
      <c r="J162" s="20">
        <v>100000</v>
      </c>
      <c r="K162" s="10" t="s">
        <v>116</v>
      </c>
      <c r="L162" s="9" t="s">
        <v>224</v>
      </c>
      <c r="M162" s="9" t="s">
        <v>231</v>
      </c>
      <c r="O162" s="9" t="s">
        <v>226</v>
      </c>
      <c r="P162" s="15">
        <v>44980</v>
      </c>
      <c r="Q162" s="9" t="s">
        <v>254</v>
      </c>
      <c r="R162" s="16">
        <v>100000</v>
      </c>
      <c r="U162" s="9" t="s">
        <v>55</v>
      </c>
      <c r="V162" s="24" t="str" cm="1">
        <f t="array" ref="V162">_xlfn.IFNA(
    _xlfn.IFS(
        ISNUMBER(SEARCH("Fast Outgoing Transfer",L162)),"Transfer",
        ISNUMBER(SEARCH("Incoming Fast Transfer",L162)),"Transfer",
        ISNUMBER(SEARCH("Outgoing International Transfer",L162)),"Transfer",
        ISNUMBER(SEARCH("Bill Payment",L162)),"SADAD",
        ISNUMBER(SEARCH("Payroll",L162)),"Payroll",
        ISNUMBER(SEARCH("Cash Deposit",L162)),"Cash",
        ISNUMBER(SEARCH("Internal Transfer",L162)),"Transfer",
        ISNUMBER(SEARCH("Expatriate Services Payment",L162)),"SADAD",
        ISNUMBER(SEARCH("Rejected",L162)),"Transfer"
    ),
    "-"
)</f>
        <v>Transfer</v>
      </c>
      <c r="W162" s="25" t="str" cm="1">
        <f t="array" ref="W162">_xlfn.IFNA(
    _xlfn.IFS(
        AND(V162="Transfer",ISNUMBER(SEARCH("RIYAD BANK",L162))),"External FI",
        AND(V162="Transfer",ISNUMBER(SEARCH("Al Ahli",L162))),"External FI",
        AND(V162="Transfer",ISNUMBER(SEARCH("CIB via",L162))),"Local Transfer",
        AND(V162="Transfer",ISNUMBER(SEARCH("CIB)",L162))),"Local Transfer",
        AND(V162="Transfer",ISNUMBER(SEARCH("SMRT",L162))),"Local Transfer",
        AND(V162="Transfer",ISNUMBER(SEARCH("Al Murabba",L162))),"Local Transfer",
        AND(V162="Transfer",ISNUMBER(SEARCH("Internal Transfer",L162))),"Same FI",
        AND(V162="Transfer",ISNUMBER(SEARCH("Rejected",L162))),"Failed",
        V162="SADAD",
            _xlfn.IFS(
                ISNUMBER(SEARCH("Expatriate",L162)),"Expat Fees",
                TRUE,"Online Payment"
            ),
        V162="Payroll","Payroll",
        V162="Cash","Deposit",
        TRUE,"-"
    ),
    "-"
)</f>
        <v>Local Transfer</v>
      </c>
      <c r="X162" s="25" t="str" cm="1">
        <f t="array" ref="X162">_xlfn.IFNA(
    _xlfn.IFS(
        V162="-","Low",
        W162="-","Low",
        TRUE,"High"
    ),
    "-"
)</f>
        <v>High</v>
      </c>
      <c r="Y162" s="25" t="str">
        <f t="shared" si="8"/>
        <v>-</v>
      </c>
      <c r="Z162" s="25" t="str" cm="1">
        <f t="array" ref="Z162">_xlfn.IFNA(
    _xlfn.IFS(
        ISNUMBER(SEARCH("Abdul Latif Jameel",M162)),"Lender",
        ISNUMBER(SEARCH("Abdullah Abdulkarim Al Sudais",M162)),"Accounting",
        ISNUMBER(SEARCH("Abdullah Fahad for Accounting",M162)),"Accounting",
        ISNUMBER(SEARCH("Abdullah Rashid Shaikh",M162)),"Shareholder",
        ISNUMBER(SEARCH("Advanced Equipments",M162)),"Equipment Rental",
        ISNUMBER(SEARCH("Al Banuk Sana",M162)),"Telecom Company",
        ISNUMBER(SEARCH("Al Khaleefa Factory",M162)),"Manufacturer",
        ISNUMBER(SEARCH("Al Saadeh Trading",M162)),"Trading Company",
        ISNUMBER(SEARCH("Al Zaehaan",M162)),"Trading Company",
        ISNUMBER(SEARCH("Ali Abdullah K Al Darwish",M162)),"Airlines",
        ISNUMBER(SEARCH("Bupa Arabia",M162)),"Health Insurance",
        ISNUMBER(SEARCH("Dar Fahoosaat",M162)),"Consultant",
        ISNUMBER(SEARCH("General Authority of Zakat",M162)),"Tax Collection",
        ISNUMBER(SEARCH("Gulf Voyager",M162)),"Travel Agency",
        ISNUMBER(SEARCH("Hopeway Trading",M162)),"Trading Company",
        ISNUMBER(SEARCH("Interhealth Medical",M162)),"Medical Services",
        ISNUMBER(SEARCH("Ishaar",M162)),"Online Payment Service",
        ISNUMBER(SEARCH("ISO Arabia",M162)),"Certification",
        ISNUMBER(SEARCH("Khalid Saad Al Otaibi",M162)),"Trading Company",
        ISNUMBER(SEARCH("MERAS for Decoration",M162)),"Decor Company",
        ISNUMBER(SEARCH("Middle East Customs Clearance",M162)),"Customs",
        ISNUMBER(SEARCH("Ministry of Human Resources",M162)),"Government",
        ISNUMBER(SEARCH("My Business Services",M162)),"Service Provider",
        ISNUMBER(SEARCH("National Water Company",M162)),"Water Company",
        ISNUMBER(SEARCH("Rania Contracting",M162)),"Contracting",
        ISNUMBER(SEARCH("Rashid Ali Sheikh",M162)),"Shareholder",
        ISNUMBER(SEARCH("Sahab United Motors",M162)),"Car Show Room",
        ISNUMBER(SEARCH("Saud Mohammed Al Tamimi",M162)),"Shareholder",
        ISNUMBER(SEARCH("Saud Mohammed Tamimi",M162)),"Shareholder",
        ISNUMBER(SEARCH("Saudi Electric Company",M162)),"Electricity Company",
        ISNUMBER(SEARCH("Saudi Vetonit",M162)),"Building Materials",
        ISNUMBER(SEARCH("Shomoul Eng",M162)),"Safety",
        ISNUMBER(SEARCH("STC",M162)),"Telecom Company",
        ISNUMBER(SEARCH("The General Organization for Social Insurance",M162)),"Social Insurance Agency",
        ISNUMBER(SEARCH("TUV Rheinland",M162)),"Certification",
        ISNUMBER(SEARCH("Al Arabia Ceramic",M162)),"Building Materials",
        ISNUMBER(SEARCH("National Company for Building and Marketing",M162)),"Parent Company",
        ISNUMBER(SEARCH("Athraa Holding",M162)),"Holding Company",
        ISNUMBER(SEARCH("Al Rasan",M162)),"Contracting",
        ISNUMBER(SEARCH("Raboua Al Haid",M162)),"Trading Company",
        ISNUMBER(SEARCH("Al Jazeera Paint",M162)),"Manufacturer",
        ISNUMBER(SEARCH("Rania Works Contracting",M162)),"Contracting",
        ISNUMBER(SEARCH("Bandar Jarallah",M162)),"Trading Establishment",
        ISNUMBER(SEARCH("RS Infratec Saudi",M162)),"Same Company",
        ISNUMBER(SEARCH("Payroll",M162)),"Bank",
        ISNUMBER(SEARCH("Expatriate",M162)),"Government",
        ISNUMBER(SEARCH("Unknown Sender",M162)),"Unknown",
        TRUE,"Unknown"
    ),
    "-"
)</f>
        <v>Parent Company</v>
      </c>
      <c r="AA162" s="25" t="str" cm="1">
        <f t="array" ref="AA162">_xlfn.IFNA(
    _xlfn.IFS(
        Z162="Lender","Financing",
        Z162="Accounting","Accounting",
        Z162="Shareholder","Individual",
        Z162="Equipment Rental","Equipment Rental",
        Z162="Telecom Company","Telecom",
        Z162="Manufacturer","Manufacturer",
        Z162="Trading Company","Trading And Transport",
        Z162="Trading Establishment","Trading",
        Z162="Airlines","Airlines",
        Z162="Health Insurance","Insurance",
        Z162="Consultant","Consultant",
        Z162="Tax Collection","Government",
        Z162="Travel Agency","Travel Agency",
        Z162="Medical Services","Medical Center",
        Z162="Online Payment Service","Payment Facilitator",
        Z162="Certification","Safety",
        Z162="Decor Company","Design",
        Z162="Customs","Customs",
        Z162="Government","Government",
        Z162="Service Provider","Service Provider",
        Z162="Water Company","Water Company",
        Z162="Contracting","Contracting",
        Z162="Car Show Room","Car Trader",
        Z162="Electricity Company","Electricity Company",
        Z162="Building Materials","Building Materials",
        Z162="Safety","Safety",
        Z162="Social Insurance Agency","Government Fund",
        Z162="Parent Company","Holding Company",
        Z162="Holding Company","Holding Company",
        Z162="Same Company","Construction",
        Z162="Bank","Bank",
        Z162="Unknown","Unknown",
        TRUE,"-"
    ),
    "-"
)</f>
        <v>Holding Company</v>
      </c>
      <c r="AB162" s="25" t="str">
        <f t="shared" si="9"/>
        <v>-</v>
      </c>
      <c r="AC162" s="25" t="str" cm="1">
        <f t="array" ref="AC162">_xlfn.IFNA(
    _xlfn.IFS(
        Z162="Shareholder","Shareholder",
        Z162="Same Company","Same Company",
        Z162="Bank","Bank",
        Z162="Government","Government",
        Z162="Social Insurance Agency","Government",
        Z162="Parent Company","Customer",
        Z162="Lender","Lender",
        Z162="Unknown","Unknown",
        ISNUMBER(SEARCH("Abdullah Abdulkarim",M162)),"Service Provider",
        ISNUMBER(SEARCH("Abdullah Fahad",M162)),"Service Provider",
        ISNUMBER(SEARCH("Advanced Equipments",M162)),"Supplier",
        ISNUMBER(SEARCH("Al Banuk Sana",M162)),"Supplier",
        ISNUMBER(SEARCH("Al Khaleefa Factory",M162)),"Supplier",
        ISNUMBER(SEARCH("Al Saadeh Trading",M162)),"Supplier",
        ISNUMBER(SEARCH("Al Zaehaan",M162)),"Supplier",
        ISNUMBER(SEARCH("Ali Abdullah K Al Darwish",M162)),"Service Provider",
        ISNUMBER(SEARCH("Bupa Arabia",M162)),"Insurance Company",
        ISNUMBER(SEARCH("Dar Fahoosaat",M162)),"Service Provider",
        ISNUMBER(SEARCH("General Authority of Zakat",M162)),"Tax Authority",
        ISNUMBER(SEARCH("Gulf Voyager",M162)),"Service Provider",
        ISNUMBER(SEARCH("Hopeway Trading",M162)),"Supplier",
        ISNUMBER(SEARCH("Interhealth Medical",M162)),"Customer",
        ISNUMBER(SEARCH("Ishaar",M162)),"Service Provider",
        ISNUMBER(SEARCH("ISO Arabia",M162)),"Service Provider",
        ISNUMBER(SEARCH("Khalid Saad Al Otaibi",M162)),"Supplier",
        ISNUMBER(SEARCH("MERAS for Decoration",M162)),"Supplier",
        ISNUMBER(SEARCH("Middle East Customs Clearance",M162)),"Service Provider",
        ISNUMBER(SEARCH("Ministry of Human Resources",M162)),"Regulatory Agency",
        ISNUMBER(SEARCH("My Business Services",M162)),"Service Provider",
        ISNUMBER(SEARCH("National Water Company",M162)),"Utility Provider",
        ISNUMBER(SEARCH("Rania Contracting",M162)),"Supplier",
        ISNUMBER(SEARCH("Sahab United Motors",M162)),"Supplier",
        ISNUMBER(SEARCH("Saudi Electric Company",M162)),"Utility Provider",
        ISNUMBER(SEARCH("Saudi Vetonit",M162)),"Supplier",
        ISNUMBER(SEARCH("Shomoul Eng",M162)),"Service Provider",
        ISNUMBER(SEARCH("STC",M162)),"Utility Provider",
        ISNUMBER(SEARCH("The General Organization for Social Insurance",M162)),"Social Insurance Agency",
        ISNUMBER(SEARCH("TUV Rheinland",M162)),"Service Provider",
        ISNUMBER(SEARCH("Al Arabia Ceramic",M162)),"Supplier",
        ISNUMBER(SEARCH("National Company for Building",M162)),"Customer",
        ISNUMBER(SEARCH("Athraa Holding",M162)),"Customer",
        ISNUMBER(SEARCH("Al Rasan",M162)),"Supplier",
        ISNUMBER(SEARCH("Raboua Al Haid",M162)),"Customer",
        ISNUMBER(SEARCH("Al Jazeera Paint",M162)),"Supplier",
        ISNUMBER(SEARCH("Rania Works Contracting",M162)),"Supplier",
        ISNUMBER(SEARCH("Bandar Jarallah",M162)),"Supplier",
        TRUE,"Supplier"
    ),
    "-"
)</f>
        <v>Customer</v>
      </c>
      <c r="AD162" s="25" t="str" cm="1">
        <f t="array" ref="AD162">_xlfn.IFNA(
    _xlfn.IFS(
        AC162="Same Company","High",
        AC162="Shareholder","High",
        AC162="Government","High",
        AC162="Bank","High",
        AC162="Lender","High",
        AC162="Unknown","Low",
        AC162="-","Low",
        TRUE,"Medium"
    ),
    "-"
)</f>
        <v>Medium</v>
      </c>
      <c r="AE162" s="25" t="str">
        <f t="shared" si="10"/>
        <v>-</v>
      </c>
      <c r="AF162" s="25" t="str" cm="1">
        <f t="array" ref="AF162">_xlfn.IFNA(
    _xlfn.IFS(
        K162="Credit",
            _xlfn.IFS(
                OR(ISNUMBER(SEARCH("Rejected",L162)),ISNUMBER(SEARCH("Returned",L162))),"Other Income",
                TRUE,"Revenue"
            ),
        K162="Debit",
            _xlfn.IFS(
                ISNUMBER(SEARCH("Payroll",L162)),"OPEX",
                ISNUMBER(SEARCH("Expatriate",L162)),"OPEX",
                ISNUMBER(SEARCH("Zakat",M162)),"ZATCA",
                ISNUMBER(SEARCH("General Organization for Social Insurance",M162)),"OPEX",
                ISNUMBER(SEARCH("Saudi Electric",M162)),"OPEX",
                ISNUMBER(SEARCH("STC",M162)),"OPEX",
                ISNUMBER(SEARCH("National Water",M162)),"OPEX",
                ISNUMBER(SEARCH("Bupa",M162)),"OPEX",
                ISNUMBER(SEARCH("Abdullah Abdulkarim",M162)),"OPEX",
                ISNUMBER(SEARCH("Abdullah Fahad",M162)),"OPEX",
                ISNUMBER(SEARCH("ISO Arabia",M162)),"OPEX",
                ISNUMBER(SEARCH("Gulf Voyager",M162)),"OPEX",
                ISNUMBER(SEARCH("Ministry",M162)),"OPEX",
                ISNUMBER(SEARCH("General Authority of Zakat",M162)),"ZATCA",
                ISNUMBER(SEARCH("Rejected",L162)),"Other Income",
                TRUE,"COGS"
            ),
        TRUE,"-"
    ),
    "-"
)</f>
        <v>Revenue</v>
      </c>
      <c r="AG162" s="25" t="str" cm="1">
        <f t="array" ref="AG162">_xlfn.IFNA(
    _xlfn.IFS(
        ISNUMBER(SEARCH("Payroll",L162)),"Payroll",
        ISNUMBER(SEARCH("Expatriate",L162)),"Government Fees",
        ISNUMBER(SEARCH("Zakat",M162)),"Zakat",
        ISNUMBER(SEARCH("Social Insurance",M162)),"Social Insurance",
        ISNUMBER(SEARCH("Saudi Electric",M162)),"Electricity",
        ISNUMBER(SEARCH("STC",M162)),"Telecom",
        ISNUMBER(SEARCH("National Water",M162)),"Water",
        ISNUMBER(SEARCH("Bupa",M162)),"Insurance",
        ISNUMBER(SEARCH("Gulf Voyager",M162)),"Travel",
        ISNUMBER(SEARCH("Ministry",M162)),"Government Fees",
        ISNUMBER(SEARCH("Abdullah Abdulkarim",M162)),"Consulting",
        ISNUMBER(SEARCH("Abdullah Fahad",M162)),"Accounting",
        ISNUMBER(SEARCH("ISO Arabia",M162)),"Consulting",
        ISNUMBER(SEARCH("Rejected",L162)),"Refund",
        AF162="COGS","Inventory Purchase",
        AF162="Revenue","Revenue",
        AF162="OPEX","Other",
        AF162="ZATCA","Zakat",
        TRUE,"-"
    ),
    "-"
)</f>
        <v>Revenue</v>
      </c>
      <c r="AH162" s="25" t="str" cm="1">
        <f t="array" ref="AH162">_xlfn.IFNA(
    _xlfn.IFS(
        AF162="-","Low",
        AF162="Other","Low",
        TRUE,"Medium"
    ),
    "-"
)</f>
        <v>Medium</v>
      </c>
      <c r="AI162" s="25" t="str">
        <f t="shared" si="11"/>
        <v>-</v>
      </c>
    </row>
    <row r="163" spans="1:35" x14ac:dyDescent="0.25">
      <c r="A163" s="10">
        <v>59</v>
      </c>
      <c r="B163" s="10" t="s">
        <v>35</v>
      </c>
      <c r="C163" s="10" t="s">
        <v>36</v>
      </c>
      <c r="D163" s="10" t="s">
        <v>37</v>
      </c>
      <c r="E163" s="10" t="s">
        <v>38</v>
      </c>
      <c r="F163" s="11" t="s">
        <v>39</v>
      </c>
      <c r="G163" s="11" t="s">
        <v>40</v>
      </c>
      <c r="H163" s="12">
        <v>44985</v>
      </c>
      <c r="I163" s="20">
        <v>311522.78000000003</v>
      </c>
      <c r="J163" s="20">
        <v>150000</v>
      </c>
      <c r="K163" s="10" t="s">
        <v>116</v>
      </c>
      <c r="L163" s="9" t="s">
        <v>230</v>
      </c>
      <c r="M163" s="9" t="s">
        <v>231</v>
      </c>
      <c r="N163" s="9" t="s">
        <v>232</v>
      </c>
      <c r="O163" s="9" t="s">
        <v>233</v>
      </c>
      <c r="P163" s="15">
        <v>44985</v>
      </c>
      <c r="Q163" s="9" t="s">
        <v>255</v>
      </c>
      <c r="R163" s="16">
        <v>150000</v>
      </c>
      <c r="U163" s="9" t="s">
        <v>55</v>
      </c>
      <c r="V163" s="24" t="str" cm="1">
        <f t="array" ref="V163">_xlfn.IFNA(
    _xlfn.IFS(
        ISNUMBER(SEARCH("Fast Outgoing Transfer",L163)),"Transfer",
        ISNUMBER(SEARCH("Incoming Fast Transfer",L163)),"Transfer",
        ISNUMBER(SEARCH("Outgoing International Transfer",L163)),"Transfer",
        ISNUMBER(SEARCH("Bill Payment",L163)),"SADAD",
        ISNUMBER(SEARCH("Payroll",L163)),"Payroll",
        ISNUMBER(SEARCH("Cash Deposit",L163)),"Cash",
        ISNUMBER(SEARCH("Internal Transfer",L163)),"Transfer",
        ISNUMBER(SEARCH("Expatriate Services Payment",L163)),"SADAD",
        ISNUMBER(SEARCH("Rejected",L163)),"Transfer"
    ),
    "-"
)</f>
        <v>Transfer</v>
      </c>
      <c r="W163" s="25" t="str" cm="1">
        <f t="array" ref="W163">_xlfn.IFNA(
    _xlfn.IFS(
        AND(V163="Transfer",ISNUMBER(SEARCH("RIYAD BANK",L163))),"External FI",
        AND(V163="Transfer",ISNUMBER(SEARCH("Al Ahli",L163))),"External FI",
        AND(V163="Transfer",ISNUMBER(SEARCH("CIB via",L163))),"Local Transfer",
        AND(V163="Transfer",ISNUMBER(SEARCH("CIB)",L163))),"Local Transfer",
        AND(V163="Transfer",ISNUMBER(SEARCH("SMRT",L163))),"Local Transfer",
        AND(V163="Transfer",ISNUMBER(SEARCH("Al Murabba",L163))),"Local Transfer",
        AND(V163="Transfer",ISNUMBER(SEARCH("Internal Transfer",L163))),"Same FI",
        AND(V163="Transfer",ISNUMBER(SEARCH("Rejected",L163))),"Failed",
        V163="SADAD",
            _xlfn.IFS(
                ISNUMBER(SEARCH("Expatriate",L163)),"Expat Fees",
                TRUE,"Online Payment"
            ),
        V163="Payroll","Payroll",
        V163="Cash","Deposit",
        TRUE,"-"
    ),
    "-"
)</f>
        <v>External FI</v>
      </c>
      <c r="X163" s="25" t="str" cm="1">
        <f t="array" ref="X163">_xlfn.IFNA(
    _xlfn.IFS(
        V163="-","Low",
        W163="-","Low",
        TRUE,"High"
    ),
    "-"
)</f>
        <v>High</v>
      </c>
      <c r="Y163" s="25" t="str">
        <f t="shared" si="8"/>
        <v>-</v>
      </c>
      <c r="Z163" s="25" t="str" cm="1">
        <f t="array" ref="Z163">_xlfn.IFNA(
    _xlfn.IFS(
        ISNUMBER(SEARCH("Abdul Latif Jameel",M163)),"Lender",
        ISNUMBER(SEARCH("Abdullah Abdulkarim Al Sudais",M163)),"Accounting",
        ISNUMBER(SEARCH("Abdullah Fahad for Accounting",M163)),"Accounting",
        ISNUMBER(SEARCH("Abdullah Rashid Shaikh",M163)),"Shareholder",
        ISNUMBER(SEARCH("Advanced Equipments",M163)),"Equipment Rental",
        ISNUMBER(SEARCH("Al Banuk Sana",M163)),"Telecom Company",
        ISNUMBER(SEARCH("Al Khaleefa Factory",M163)),"Manufacturer",
        ISNUMBER(SEARCH("Al Saadeh Trading",M163)),"Trading Company",
        ISNUMBER(SEARCH("Al Zaehaan",M163)),"Trading Company",
        ISNUMBER(SEARCH("Ali Abdullah K Al Darwish",M163)),"Airlines",
        ISNUMBER(SEARCH("Bupa Arabia",M163)),"Health Insurance",
        ISNUMBER(SEARCH("Dar Fahoosaat",M163)),"Consultant",
        ISNUMBER(SEARCH("General Authority of Zakat",M163)),"Tax Collection",
        ISNUMBER(SEARCH("Gulf Voyager",M163)),"Travel Agency",
        ISNUMBER(SEARCH("Hopeway Trading",M163)),"Trading Company",
        ISNUMBER(SEARCH("Interhealth Medical",M163)),"Medical Services",
        ISNUMBER(SEARCH("Ishaar",M163)),"Online Payment Service",
        ISNUMBER(SEARCH("ISO Arabia",M163)),"Certification",
        ISNUMBER(SEARCH("Khalid Saad Al Otaibi",M163)),"Trading Company",
        ISNUMBER(SEARCH("MERAS for Decoration",M163)),"Decor Company",
        ISNUMBER(SEARCH("Middle East Customs Clearance",M163)),"Customs",
        ISNUMBER(SEARCH("Ministry of Human Resources",M163)),"Government",
        ISNUMBER(SEARCH("My Business Services",M163)),"Service Provider",
        ISNUMBER(SEARCH("National Water Company",M163)),"Water Company",
        ISNUMBER(SEARCH("Rania Contracting",M163)),"Contracting",
        ISNUMBER(SEARCH("Rashid Ali Sheikh",M163)),"Shareholder",
        ISNUMBER(SEARCH("Sahab United Motors",M163)),"Car Show Room",
        ISNUMBER(SEARCH("Saud Mohammed Al Tamimi",M163)),"Shareholder",
        ISNUMBER(SEARCH("Saud Mohammed Tamimi",M163)),"Shareholder",
        ISNUMBER(SEARCH("Saudi Electric Company",M163)),"Electricity Company",
        ISNUMBER(SEARCH("Saudi Vetonit",M163)),"Building Materials",
        ISNUMBER(SEARCH("Shomoul Eng",M163)),"Safety",
        ISNUMBER(SEARCH("STC",M163)),"Telecom Company",
        ISNUMBER(SEARCH("The General Organization for Social Insurance",M163)),"Social Insurance Agency",
        ISNUMBER(SEARCH("TUV Rheinland",M163)),"Certification",
        ISNUMBER(SEARCH("Al Arabia Ceramic",M163)),"Building Materials",
        ISNUMBER(SEARCH("National Company for Building and Marketing",M163)),"Parent Company",
        ISNUMBER(SEARCH("Athraa Holding",M163)),"Holding Company",
        ISNUMBER(SEARCH("Al Rasan",M163)),"Contracting",
        ISNUMBER(SEARCH("Raboua Al Haid",M163)),"Trading Company",
        ISNUMBER(SEARCH("Al Jazeera Paint",M163)),"Manufacturer",
        ISNUMBER(SEARCH("Rania Works Contracting",M163)),"Contracting",
        ISNUMBER(SEARCH("Bandar Jarallah",M163)),"Trading Establishment",
        ISNUMBER(SEARCH("RS Infratec Saudi",M163)),"Same Company",
        ISNUMBER(SEARCH("Payroll",M163)),"Bank",
        ISNUMBER(SEARCH("Expatriate",M163)),"Government",
        ISNUMBER(SEARCH("Unknown Sender",M163)),"Unknown",
        TRUE,"Unknown"
    ),
    "-"
)</f>
        <v>Parent Company</v>
      </c>
      <c r="AA163" s="25" t="str" cm="1">
        <f t="array" ref="AA163">_xlfn.IFNA(
    _xlfn.IFS(
        Z163="Lender","Financing",
        Z163="Accounting","Accounting",
        Z163="Shareholder","Individual",
        Z163="Equipment Rental","Equipment Rental",
        Z163="Telecom Company","Telecom",
        Z163="Manufacturer","Manufacturer",
        Z163="Trading Company","Trading And Transport",
        Z163="Trading Establishment","Trading",
        Z163="Airlines","Airlines",
        Z163="Health Insurance","Insurance",
        Z163="Consultant","Consultant",
        Z163="Tax Collection","Government",
        Z163="Travel Agency","Travel Agency",
        Z163="Medical Services","Medical Center",
        Z163="Online Payment Service","Payment Facilitator",
        Z163="Certification","Safety",
        Z163="Decor Company","Design",
        Z163="Customs","Customs",
        Z163="Government","Government",
        Z163="Service Provider","Service Provider",
        Z163="Water Company","Water Company",
        Z163="Contracting","Contracting",
        Z163="Car Show Room","Car Trader",
        Z163="Electricity Company","Electricity Company",
        Z163="Building Materials","Building Materials",
        Z163="Safety","Safety",
        Z163="Social Insurance Agency","Government Fund",
        Z163="Parent Company","Holding Company",
        Z163="Holding Company","Holding Company",
        Z163="Same Company","Construction",
        Z163="Bank","Bank",
        Z163="Unknown","Unknown",
        TRUE,"-"
    ),
    "-"
)</f>
        <v>Holding Company</v>
      </c>
      <c r="AB163" s="25" t="str">
        <f t="shared" si="9"/>
        <v>-</v>
      </c>
      <c r="AC163" s="25" t="str" cm="1">
        <f t="array" ref="AC163">_xlfn.IFNA(
    _xlfn.IFS(
        Z163="Shareholder","Shareholder",
        Z163="Same Company","Same Company",
        Z163="Bank","Bank",
        Z163="Government","Government",
        Z163="Social Insurance Agency","Government",
        Z163="Parent Company","Customer",
        Z163="Lender","Lender",
        Z163="Unknown","Unknown",
        ISNUMBER(SEARCH("Abdullah Abdulkarim",M163)),"Service Provider",
        ISNUMBER(SEARCH("Abdullah Fahad",M163)),"Service Provider",
        ISNUMBER(SEARCH("Advanced Equipments",M163)),"Supplier",
        ISNUMBER(SEARCH("Al Banuk Sana",M163)),"Supplier",
        ISNUMBER(SEARCH("Al Khaleefa Factory",M163)),"Supplier",
        ISNUMBER(SEARCH("Al Saadeh Trading",M163)),"Supplier",
        ISNUMBER(SEARCH("Al Zaehaan",M163)),"Supplier",
        ISNUMBER(SEARCH("Ali Abdullah K Al Darwish",M163)),"Service Provider",
        ISNUMBER(SEARCH("Bupa Arabia",M163)),"Insurance Company",
        ISNUMBER(SEARCH("Dar Fahoosaat",M163)),"Service Provider",
        ISNUMBER(SEARCH("General Authority of Zakat",M163)),"Tax Authority",
        ISNUMBER(SEARCH("Gulf Voyager",M163)),"Service Provider",
        ISNUMBER(SEARCH("Hopeway Trading",M163)),"Supplier",
        ISNUMBER(SEARCH("Interhealth Medical",M163)),"Customer",
        ISNUMBER(SEARCH("Ishaar",M163)),"Service Provider",
        ISNUMBER(SEARCH("ISO Arabia",M163)),"Service Provider",
        ISNUMBER(SEARCH("Khalid Saad Al Otaibi",M163)),"Supplier",
        ISNUMBER(SEARCH("MERAS for Decoration",M163)),"Supplier",
        ISNUMBER(SEARCH("Middle East Customs Clearance",M163)),"Service Provider",
        ISNUMBER(SEARCH("Ministry of Human Resources",M163)),"Regulatory Agency",
        ISNUMBER(SEARCH("My Business Services",M163)),"Service Provider",
        ISNUMBER(SEARCH("National Water Company",M163)),"Utility Provider",
        ISNUMBER(SEARCH("Rania Contracting",M163)),"Supplier",
        ISNUMBER(SEARCH("Sahab United Motors",M163)),"Supplier",
        ISNUMBER(SEARCH("Saudi Electric Company",M163)),"Utility Provider",
        ISNUMBER(SEARCH("Saudi Vetonit",M163)),"Supplier",
        ISNUMBER(SEARCH("Shomoul Eng",M163)),"Service Provider",
        ISNUMBER(SEARCH("STC",M163)),"Utility Provider",
        ISNUMBER(SEARCH("The General Organization for Social Insurance",M163)),"Social Insurance Agency",
        ISNUMBER(SEARCH("TUV Rheinland",M163)),"Service Provider",
        ISNUMBER(SEARCH("Al Arabia Ceramic",M163)),"Supplier",
        ISNUMBER(SEARCH("National Company for Building",M163)),"Customer",
        ISNUMBER(SEARCH("Athraa Holding",M163)),"Customer",
        ISNUMBER(SEARCH("Al Rasan",M163)),"Supplier",
        ISNUMBER(SEARCH("Raboua Al Haid",M163)),"Customer",
        ISNUMBER(SEARCH("Al Jazeera Paint",M163)),"Supplier",
        ISNUMBER(SEARCH("Rania Works Contracting",M163)),"Supplier",
        ISNUMBER(SEARCH("Bandar Jarallah",M163)),"Supplier",
        TRUE,"Supplier"
    ),
    "-"
)</f>
        <v>Customer</v>
      </c>
      <c r="AD163" s="25" t="str" cm="1">
        <f t="array" ref="AD163">_xlfn.IFNA(
    _xlfn.IFS(
        AC163="Same Company","High",
        AC163="Shareholder","High",
        AC163="Government","High",
        AC163="Bank","High",
        AC163="Lender","High",
        AC163="Unknown","Low",
        AC163="-","Low",
        TRUE,"Medium"
    ),
    "-"
)</f>
        <v>Medium</v>
      </c>
      <c r="AE163" s="25" t="str">
        <f t="shared" si="10"/>
        <v>-</v>
      </c>
      <c r="AF163" s="25" t="str" cm="1">
        <f t="array" ref="AF163">_xlfn.IFNA(
    _xlfn.IFS(
        K163="Credit",
            _xlfn.IFS(
                OR(ISNUMBER(SEARCH("Rejected",L163)),ISNUMBER(SEARCH("Returned",L163))),"Other Income",
                TRUE,"Revenue"
            ),
        K163="Debit",
            _xlfn.IFS(
                ISNUMBER(SEARCH("Payroll",L163)),"OPEX",
                ISNUMBER(SEARCH("Expatriate",L163)),"OPEX",
                ISNUMBER(SEARCH("Zakat",M163)),"ZATCA",
                ISNUMBER(SEARCH("General Organization for Social Insurance",M163)),"OPEX",
                ISNUMBER(SEARCH("Saudi Electric",M163)),"OPEX",
                ISNUMBER(SEARCH("STC",M163)),"OPEX",
                ISNUMBER(SEARCH("National Water",M163)),"OPEX",
                ISNUMBER(SEARCH("Bupa",M163)),"OPEX",
                ISNUMBER(SEARCH("Abdullah Abdulkarim",M163)),"OPEX",
                ISNUMBER(SEARCH("Abdullah Fahad",M163)),"OPEX",
                ISNUMBER(SEARCH("ISO Arabia",M163)),"OPEX",
                ISNUMBER(SEARCH("Gulf Voyager",M163)),"OPEX",
                ISNUMBER(SEARCH("Ministry",M163)),"OPEX",
                ISNUMBER(SEARCH("General Authority of Zakat",M163)),"ZATCA",
                ISNUMBER(SEARCH("Rejected",L163)),"Other Income",
                TRUE,"COGS"
            ),
        TRUE,"-"
    ),
    "-"
)</f>
        <v>Revenue</v>
      </c>
      <c r="AG163" s="25" t="str" cm="1">
        <f t="array" ref="AG163">_xlfn.IFNA(
    _xlfn.IFS(
        ISNUMBER(SEARCH("Payroll",L163)),"Payroll",
        ISNUMBER(SEARCH("Expatriate",L163)),"Government Fees",
        ISNUMBER(SEARCH("Zakat",M163)),"Zakat",
        ISNUMBER(SEARCH("Social Insurance",M163)),"Social Insurance",
        ISNUMBER(SEARCH("Saudi Electric",M163)),"Electricity",
        ISNUMBER(SEARCH("STC",M163)),"Telecom",
        ISNUMBER(SEARCH("National Water",M163)),"Water",
        ISNUMBER(SEARCH("Bupa",M163)),"Insurance",
        ISNUMBER(SEARCH("Gulf Voyager",M163)),"Travel",
        ISNUMBER(SEARCH("Ministry",M163)),"Government Fees",
        ISNUMBER(SEARCH("Abdullah Abdulkarim",M163)),"Consulting",
        ISNUMBER(SEARCH("Abdullah Fahad",M163)),"Accounting",
        ISNUMBER(SEARCH("ISO Arabia",M163)),"Consulting",
        ISNUMBER(SEARCH("Rejected",L163)),"Refund",
        AF163="COGS","Inventory Purchase",
        AF163="Revenue","Revenue",
        AF163="OPEX","Other",
        AF163="ZATCA","Zakat",
        TRUE,"-"
    ),
    "-"
)</f>
        <v>Revenue</v>
      </c>
      <c r="AH163" s="25" t="str" cm="1">
        <f t="array" ref="AH163">_xlfn.IFNA(
    _xlfn.IFS(
        AF163="-","Low",
        AF163="Other","Low",
        TRUE,"Medium"
    ),
    "-"
)</f>
        <v>Medium</v>
      </c>
      <c r="AI163" s="25" t="str">
        <f t="shared" si="11"/>
        <v>-</v>
      </c>
    </row>
    <row r="164" spans="1:35" x14ac:dyDescent="0.25">
      <c r="A164" s="10">
        <v>59</v>
      </c>
      <c r="B164" s="10" t="s">
        <v>35</v>
      </c>
      <c r="C164" s="10" t="s">
        <v>36</v>
      </c>
      <c r="D164" s="10" t="s">
        <v>37</v>
      </c>
      <c r="E164" s="10" t="s">
        <v>38</v>
      </c>
      <c r="F164" s="11" t="s">
        <v>39</v>
      </c>
      <c r="G164" s="11" t="s">
        <v>40</v>
      </c>
      <c r="H164" s="12">
        <v>44985</v>
      </c>
      <c r="I164" s="20">
        <v>161522.78</v>
      </c>
      <c r="J164" s="20">
        <v>150000</v>
      </c>
      <c r="K164" s="10" t="s">
        <v>116</v>
      </c>
      <c r="L164" s="9" t="s">
        <v>230</v>
      </c>
      <c r="M164" s="9" t="s">
        <v>231</v>
      </c>
      <c r="N164" s="9" t="s">
        <v>232</v>
      </c>
      <c r="O164" s="9" t="s">
        <v>233</v>
      </c>
      <c r="P164" s="15">
        <v>44985</v>
      </c>
      <c r="Q164" s="9" t="s">
        <v>256</v>
      </c>
      <c r="R164" s="16">
        <v>150000</v>
      </c>
      <c r="U164" s="9" t="s">
        <v>55</v>
      </c>
      <c r="V164" s="24" t="str" cm="1">
        <f t="array" ref="V164">_xlfn.IFNA(
    _xlfn.IFS(
        ISNUMBER(SEARCH("Fast Outgoing Transfer",L164)),"Transfer",
        ISNUMBER(SEARCH("Incoming Fast Transfer",L164)),"Transfer",
        ISNUMBER(SEARCH("Outgoing International Transfer",L164)),"Transfer",
        ISNUMBER(SEARCH("Bill Payment",L164)),"SADAD",
        ISNUMBER(SEARCH("Payroll",L164)),"Payroll",
        ISNUMBER(SEARCH("Cash Deposit",L164)),"Cash",
        ISNUMBER(SEARCH("Internal Transfer",L164)),"Transfer",
        ISNUMBER(SEARCH("Expatriate Services Payment",L164)),"SADAD",
        ISNUMBER(SEARCH("Rejected",L164)),"Transfer"
    ),
    "-"
)</f>
        <v>Transfer</v>
      </c>
      <c r="W164" s="25" t="str" cm="1">
        <f t="array" ref="W164">_xlfn.IFNA(
    _xlfn.IFS(
        AND(V164="Transfer",ISNUMBER(SEARCH("RIYAD BANK",L164))),"External FI",
        AND(V164="Transfer",ISNUMBER(SEARCH("Al Ahli",L164))),"External FI",
        AND(V164="Transfer",ISNUMBER(SEARCH("CIB via",L164))),"Local Transfer",
        AND(V164="Transfer",ISNUMBER(SEARCH("CIB)",L164))),"Local Transfer",
        AND(V164="Transfer",ISNUMBER(SEARCH("SMRT",L164))),"Local Transfer",
        AND(V164="Transfer",ISNUMBER(SEARCH("Al Murabba",L164))),"Local Transfer",
        AND(V164="Transfer",ISNUMBER(SEARCH("Internal Transfer",L164))),"Same FI",
        AND(V164="Transfer",ISNUMBER(SEARCH("Rejected",L164))),"Failed",
        V164="SADAD",
            _xlfn.IFS(
                ISNUMBER(SEARCH("Expatriate",L164)),"Expat Fees",
                TRUE,"Online Payment"
            ),
        V164="Payroll","Payroll",
        V164="Cash","Deposit",
        TRUE,"-"
    ),
    "-"
)</f>
        <v>External FI</v>
      </c>
      <c r="X164" s="25" t="str" cm="1">
        <f t="array" ref="X164">_xlfn.IFNA(
    _xlfn.IFS(
        V164="-","Low",
        W164="-","Low",
        TRUE,"High"
    ),
    "-"
)</f>
        <v>High</v>
      </c>
      <c r="Y164" s="25" t="str">
        <f t="shared" si="8"/>
        <v>-</v>
      </c>
      <c r="Z164" s="25" t="str" cm="1">
        <f t="array" ref="Z164">_xlfn.IFNA(
    _xlfn.IFS(
        ISNUMBER(SEARCH("Abdul Latif Jameel",M164)),"Lender",
        ISNUMBER(SEARCH("Abdullah Abdulkarim Al Sudais",M164)),"Accounting",
        ISNUMBER(SEARCH("Abdullah Fahad for Accounting",M164)),"Accounting",
        ISNUMBER(SEARCH("Abdullah Rashid Shaikh",M164)),"Shareholder",
        ISNUMBER(SEARCH("Advanced Equipments",M164)),"Equipment Rental",
        ISNUMBER(SEARCH("Al Banuk Sana",M164)),"Telecom Company",
        ISNUMBER(SEARCH("Al Khaleefa Factory",M164)),"Manufacturer",
        ISNUMBER(SEARCH("Al Saadeh Trading",M164)),"Trading Company",
        ISNUMBER(SEARCH("Al Zaehaan",M164)),"Trading Company",
        ISNUMBER(SEARCH("Ali Abdullah K Al Darwish",M164)),"Airlines",
        ISNUMBER(SEARCH("Bupa Arabia",M164)),"Health Insurance",
        ISNUMBER(SEARCH("Dar Fahoosaat",M164)),"Consultant",
        ISNUMBER(SEARCH("General Authority of Zakat",M164)),"Tax Collection",
        ISNUMBER(SEARCH("Gulf Voyager",M164)),"Travel Agency",
        ISNUMBER(SEARCH("Hopeway Trading",M164)),"Trading Company",
        ISNUMBER(SEARCH("Interhealth Medical",M164)),"Medical Services",
        ISNUMBER(SEARCH("Ishaar",M164)),"Online Payment Service",
        ISNUMBER(SEARCH("ISO Arabia",M164)),"Certification",
        ISNUMBER(SEARCH("Khalid Saad Al Otaibi",M164)),"Trading Company",
        ISNUMBER(SEARCH("MERAS for Decoration",M164)),"Decor Company",
        ISNUMBER(SEARCH("Middle East Customs Clearance",M164)),"Customs",
        ISNUMBER(SEARCH("Ministry of Human Resources",M164)),"Government",
        ISNUMBER(SEARCH("My Business Services",M164)),"Service Provider",
        ISNUMBER(SEARCH("National Water Company",M164)),"Water Company",
        ISNUMBER(SEARCH("Rania Contracting",M164)),"Contracting",
        ISNUMBER(SEARCH("Rashid Ali Sheikh",M164)),"Shareholder",
        ISNUMBER(SEARCH("Sahab United Motors",M164)),"Car Show Room",
        ISNUMBER(SEARCH("Saud Mohammed Al Tamimi",M164)),"Shareholder",
        ISNUMBER(SEARCH("Saud Mohammed Tamimi",M164)),"Shareholder",
        ISNUMBER(SEARCH("Saudi Electric Company",M164)),"Electricity Company",
        ISNUMBER(SEARCH("Saudi Vetonit",M164)),"Building Materials",
        ISNUMBER(SEARCH("Shomoul Eng",M164)),"Safety",
        ISNUMBER(SEARCH("STC",M164)),"Telecom Company",
        ISNUMBER(SEARCH("The General Organization for Social Insurance",M164)),"Social Insurance Agency",
        ISNUMBER(SEARCH("TUV Rheinland",M164)),"Certification",
        ISNUMBER(SEARCH("Al Arabia Ceramic",M164)),"Building Materials",
        ISNUMBER(SEARCH("National Company for Building and Marketing",M164)),"Parent Company",
        ISNUMBER(SEARCH("Athraa Holding",M164)),"Holding Company",
        ISNUMBER(SEARCH("Al Rasan",M164)),"Contracting",
        ISNUMBER(SEARCH("Raboua Al Haid",M164)),"Trading Company",
        ISNUMBER(SEARCH("Al Jazeera Paint",M164)),"Manufacturer",
        ISNUMBER(SEARCH("Rania Works Contracting",M164)),"Contracting",
        ISNUMBER(SEARCH("Bandar Jarallah",M164)),"Trading Establishment",
        ISNUMBER(SEARCH("RS Infratec Saudi",M164)),"Same Company",
        ISNUMBER(SEARCH("Payroll",M164)),"Bank",
        ISNUMBER(SEARCH("Expatriate",M164)),"Government",
        ISNUMBER(SEARCH("Unknown Sender",M164)),"Unknown",
        TRUE,"Unknown"
    ),
    "-"
)</f>
        <v>Parent Company</v>
      </c>
      <c r="AA164" s="25" t="str" cm="1">
        <f t="array" ref="AA164">_xlfn.IFNA(
    _xlfn.IFS(
        Z164="Lender","Financing",
        Z164="Accounting","Accounting",
        Z164="Shareholder","Individual",
        Z164="Equipment Rental","Equipment Rental",
        Z164="Telecom Company","Telecom",
        Z164="Manufacturer","Manufacturer",
        Z164="Trading Company","Trading And Transport",
        Z164="Trading Establishment","Trading",
        Z164="Airlines","Airlines",
        Z164="Health Insurance","Insurance",
        Z164="Consultant","Consultant",
        Z164="Tax Collection","Government",
        Z164="Travel Agency","Travel Agency",
        Z164="Medical Services","Medical Center",
        Z164="Online Payment Service","Payment Facilitator",
        Z164="Certification","Safety",
        Z164="Decor Company","Design",
        Z164="Customs","Customs",
        Z164="Government","Government",
        Z164="Service Provider","Service Provider",
        Z164="Water Company","Water Company",
        Z164="Contracting","Contracting",
        Z164="Car Show Room","Car Trader",
        Z164="Electricity Company","Electricity Company",
        Z164="Building Materials","Building Materials",
        Z164="Safety","Safety",
        Z164="Social Insurance Agency","Government Fund",
        Z164="Parent Company","Holding Company",
        Z164="Holding Company","Holding Company",
        Z164="Same Company","Construction",
        Z164="Bank","Bank",
        Z164="Unknown","Unknown",
        TRUE,"-"
    ),
    "-"
)</f>
        <v>Holding Company</v>
      </c>
      <c r="AB164" s="25" t="str">
        <f t="shared" si="9"/>
        <v>-</v>
      </c>
      <c r="AC164" s="25" t="str" cm="1">
        <f t="array" ref="AC164">_xlfn.IFNA(
    _xlfn.IFS(
        Z164="Shareholder","Shareholder",
        Z164="Same Company","Same Company",
        Z164="Bank","Bank",
        Z164="Government","Government",
        Z164="Social Insurance Agency","Government",
        Z164="Parent Company","Customer",
        Z164="Lender","Lender",
        Z164="Unknown","Unknown",
        ISNUMBER(SEARCH("Abdullah Abdulkarim",M164)),"Service Provider",
        ISNUMBER(SEARCH("Abdullah Fahad",M164)),"Service Provider",
        ISNUMBER(SEARCH("Advanced Equipments",M164)),"Supplier",
        ISNUMBER(SEARCH("Al Banuk Sana",M164)),"Supplier",
        ISNUMBER(SEARCH("Al Khaleefa Factory",M164)),"Supplier",
        ISNUMBER(SEARCH("Al Saadeh Trading",M164)),"Supplier",
        ISNUMBER(SEARCH("Al Zaehaan",M164)),"Supplier",
        ISNUMBER(SEARCH("Ali Abdullah K Al Darwish",M164)),"Service Provider",
        ISNUMBER(SEARCH("Bupa Arabia",M164)),"Insurance Company",
        ISNUMBER(SEARCH("Dar Fahoosaat",M164)),"Service Provider",
        ISNUMBER(SEARCH("General Authority of Zakat",M164)),"Tax Authority",
        ISNUMBER(SEARCH("Gulf Voyager",M164)),"Service Provider",
        ISNUMBER(SEARCH("Hopeway Trading",M164)),"Supplier",
        ISNUMBER(SEARCH("Interhealth Medical",M164)),"Customer",
        ISNUMBER(SEARCH("Ishaar",M164)),"Service Provider",
        ISNUMBER(SEARCH("ISO Arabia",M164)),"Service Provider",
        ISNUMBER(SEARCH("Khalid Saad Al Otaibi",M164)),"Supplier",
        ISNUMBER(SEARCH("MERAS for Decoration",M164)),"Supplier",
        ISNUMBER(SEARCH("Middle East Customs Clearance",M164)),"Service Provider",
        ISNUMBER(SEARCH("Ministry of Human Resources",M164)),"Regulatory Agency",
        ISNUMBER(SEARCH("My Business Services",M164)),"Service Provider",
        ISNUMBER(SEARCH("National Water Company",M164)),"Utility Provider",
        ISNUMBER(SEARCH("Rania Contracting",M164)),"Supplier",
        ISNUMBER(SEARCH("Sahab United Motors",M164)),"Supplier",
        ISNUMBER(SEARCH("Saudi Electric Company",M164)),"Utility Provider",
        ISNUMBER(SEARCH("Saudi Vetonit",M164)),"Supplier",
        ISNUMBER(SEARCH("Shomoul Eng",M164)),"Service Provider",
        ISNUMBER(SEARCH("STC",M164)),"Utility Provider",
        ISNUMBER(SEARCH("The General Organization for Social Insurance",M164)),"Social Insurance Agency",
        ISNUMBER(SEARCH("TUV Rheinland",M164)),"Service Provider",
        ISNUMBER(SEARCH("Al Arabia Ceramic",M164)),"Supplier",
        ISNUMBER(SEARCH("National Company for Building",M164)),"Customer",
        ISNUMBER(SEARCH("Athraa Holding",M164)),"Customer",
        ISNUMBER(SEARCH("Al Rasan",M164)),"Supplier",
        ISNUMBER(SEARCH("Raboua Al Haid",M164)),"Customer",
        ISNUMBER(SEARCH("Al Jazeera Paint",M164)),"Supplier",
        ISNUMBER(SEARCH("Rania Works Contracting",M164)),"Supplier",
        ISNUMBER(SEARCH("Bandar Jarallah",M164)),"Supplier",
        TRUE,"Supplier"
    ),
    "-"
)</f>
        <v>Customer</v>
      </c>
      <c r="AD164" s="25" t="str" cm="1">
        <f t="array" ref="AD164">_xlfn.IFNA(
    _xlfn.IFS(
        AC164="Same Company","High",
        AC164="Shareholder","High",
        AC164="Government","High",
        AC164="Bank","High",
        AC164="Lender","High",
        AC164="Unknown","Low",
        AC164="-","Low",
        TRUE,"Medium"
    ),
    "-"
)</f>
        <v>Medium</v>
      </c>
      <c r="AE164" s="25" t="str">
        <f t="shared" si="10"/>
        <v>-</v>
      </c>
      <c r="AF164" s="25" t="str" cm="1">
        <f t="array" ref="AF164">_xlfn.IFNA(
    _xlfn.IFS(
        K164="Credit",
            _xlfn.IFS(
                OR(ISNUMBER(SEARCH("Rejected",L164)),ISNUMBER(SEARCH("Returned",L164))),"Other Income",
                TRUE,"Revenue"
            ),
        K164="Debit",
            _xlfn.IFS(
                ISNUMBER(SEARCH("Payroll",L164)),"OPEX",
                ISNUMBER(SEARCH("Expatriate",L164)),"OPEX",
                ISNUMBER(SEARCH("Zakat",M164)),"ZATCA",
                ISNUMBER(SEARCH("General Organization for Social Insurance",M164)),"OPEX",
                ISNUMBER(SEARCH("Saudi Electric",M164)),"OPEX",
                ISNUMBER(SEARCH("STC",M164)),"OPEX",
                ISNUMBER(SEARCH("National Water",M164)),"OPEX",
                ISNUMBER(SEARCH("Bupa",M164)),"OPEX",
                ISNUMBER(SEARCH("Abdullah Abdulkarim",M164)),"OPEX",
                ISNUMBER(SEARCH("Abdullah Fahad",M164)),"OPEX",
                ISNUMBER(SEARCH("ISO Arabia",M164)),"OPEX",
                ISNUMBER(SEARCH("Gulf Voyager",M164)),"OPEX",
                ISNUMBER(SEARCH("Ministry",M164)),"OPEX",
                ISNUMBER(SEARCH("General Authority of Zakat",M164)),"ZATCA",
                ISNUMBER(SEARCH("Rejected",L164)),"Other Income",
                TRUE,"COGS"
            ),
        TRUE,"-"
    ),
    "-"
)</f>
        <v>Revenue</v>
      </c>
      <c r="AG164" s="25" t="str" cm="1">
        <f t="array" ref="AG164">_xlfn.IFNA(
    _xlfn.IFS(
        ISNUMBER(SEARCH("Payroll",L164)),"Payroll",
        ISNUMBER(SEARCH("Expatriate",L164)),"Government Fees",
        ISNUMBER(SEARCH("Zakat",M164)),"Zakat",
        ISNUMBER(SEARCH("Social Insurance",M164)),"Social Insurance",
        ISNUMBER(SEARCH("Saudi Electric",M164)),"Electricity",
        ISNUMBER(SEARCH("STC",M164)),"Telecom",
        ISNUMBER(SEARCH("National Water",M164)),"Water",
        ISNUMBER(SEARCH("Bupa",M164)),"Insurance",
        ISNUMBER(SEARCH("Gulf Voyager",M164)),"Travel",
        ISNUMBER(SEARCH("Ministry",M164)),"Government Fees",
        ISNUMBER(SEARCH("Abdullah Abdulkarim",M164)),"Consulting",
        ISNUMBER(SEARCH("Abdullah Fahad",M164)),"Accounting",
        ISNUMBER(SEARCH("ISO Arabia",M164)),"Consulting",
        ISNUMBER(SEARCH("Rejected",L164)),"Refund",
        AF164="COGS","Inventory Purchase",
        AF164="Revenue","Revenue",
        AF164="OPEX","Other",
        AF164="ZATCA","Zakat",
        TRUE,"-"
    ),
    "-"
)</f>
        <v>Revenue</v>
      </c>
      <c r="AH164" s="25" t="str" cm="1">
        <f t="array" ref="AH164">_xlfn.IFNA(
    _xlfn.IFS(
        AF164="-","Low",
        AF164="Other","Low",
        TRUE,"Medium"
    ),
    "-"
)</f>
        <v>Medium</v>
      </c>
      <c r="AI164" s="25" t="str">
        <f t="shared" si="11"/>
        <v>-</v>
      </c>
    </row>
    <row r="165" spans="1:35" x14ac:dyDescent="0.25">
      <c r="A165" s="10">
        <v>59</v>
      </c>
      <c r="B165" s="10" t="s">
        <v>35</v>
      </c>
      <c r="C165" s="10" t="s">
        <v>36</v>
      </c>
      <c r="D165" s="10" t="s">
        <v>37</v>
      </c>
      <c r="E165" s="10" t="s">
        <v>38</v>
      </c>
      <c r="F165" s="11" t="s">
        <v>39</v>
      </c>
      <c r="G165" s="11" t="s">
        <v>40</v>
      </c>
      <c r="H165" s="12">
        <v>44986</v>
      </c>
      <c r="I165" s="20">
        <v>708383.26</v>
      </c>
      <c r="J165" s="20">
        <v>200000</v>
      </c>
      <c r="K165" s="10" t="s">
        <v>116</v>
      </c>
      <c r="L165" s="9" t="s">
        <v>230</v>
      </c>
      <c r="M165" s="9" t="s">
        <v>231</v>
      </c>
      <c r="N165" s="9" t="s">
        <v>232</v>
      </c>
      <c r="O165" s="9" t="s">
        <v>233</v>
      </c>
      <c r="P165" s="15">
        <v>44986</v>
      </c>
      <c r="Q165" s="9" t="s">
        <v>257</v>
      </c>
      <c r="R165" s="16">
        <v>200000</v>
      </c>
      <c r="U165" s="9" t="s">
        <v>55</v>
      </c>
      <c r="V165" s="24" t="str" cm="1">
        <f t="array" ref="V165">_xlfn.IFNA(
    _xlfn.IFS(
        ISNUMBER(SEARCH("Fast Outgoing Transfer",L165)),"Transfer",
        ISNUMBER(SEARCH("Incoming Fast Transfer",L165)),"Transfer",
        ISNUMBER(SEARCH("Outgoing International Transfer",L165)),"Transfer",
        ISNUMBER(SEARCH("Bill Payment",L165)),"SADAD",
        ISNUMBER(SEARCH("Payroll",L165)),"Payroll",
        ISNUMBER(SEARCH("Cash Deposit",L165)),"Cash",
        ISNUMBER(SEARCH("Internal Transfer",L165)),"Transfer",
        ISNUMBER(SEARCH("Expatriate Services Payment",L165)),"SADAD",
        ISNUMBER(SEARCH("Rejected",L165)),"Transfer"
    ),
    "-"
)</f>
        <v>Transfer</v>
      </c>
      <c r="W165" s="25" t="str" cm="1">
        <f t="array" ref="W165">_xlfn.IFNA(
    _xlfn.IFS(
        AND(V165="Transfer",ISNUMBER(SEARCH("RIYAD BANK",L165))),"External FI",
        AND(V165="Transfer",ISNUMBER(SEARCH("Al Ahli",L165))),"External FI",
        AND(V165="Transfer",ISNUMBER(SEARCH("CIB via",L165))),"Local Transfer",
        AND(V165="Transfer",ISNUMBER(SEARCH("CIB)",L165))),"Local Transfer",
        AND(V165="Transfer",ISNUMBER(SEARCH("SMRT",L165))),"Local Transfer",
        AND(V165="Transfer",ISNUMBER(SEARCH("Al Murabba",L165))),"Local Transfer",
        AND(V165="Transfer",ISNUMBER(SEARCH("Internal Transfer",L165))),"Same FI",
        AND(V165="Transfer",ISNUMBER(SEARCH("Rejected",L165))),"Failed",
        V165="SADAD",
            _xlfn.IFS(
                ISNUMBER(SEARCH("Expatriate",L165)),"Expat Fees",
                TRUE,"Online Payment"
            ),
        V165="Payroll","Payroll",
        V165="Cash","Deposit",
        TRUE,"-"
    ),
    "-"
)</f>
        <v>External FI</v>
      </c>
      <c r="X165" s="25" t="str" cm="1">
        <f t="array" ref="X165">_xlfn.IFNA(
    _xlfn.IFS(
        V165="-","Low",
        W165="-","Low",
        TRUE,"High"
    ),
    "-"
)</f>
        <v>High</v>
      </c>
      <c r="Y165" s="25" t="str">
        <f t="shared" si="8"/>
        <v>-</v>
      </c>
      <c r="Z165" s="25" t="str" cm="1">
        <f t="array" ref="Z165">_xlfn.IFNA(
    _xlfn.IFS(
        ISNUMBER(SEARCH("Abdul Latif Jameel",M165)),"Lender",
        ISNUMBER(SEARCH("Abdullah Abdulkarim Al Sudais",M165)),"Accounting",
        ISNUMBER(SEARCH("Abdullah Fahad for Accounting",M165)),"Accounting",
        ISNUMBER(SEARCH("Abdullah Rashid Shaikh",M165)),"Shareholder",
        ISNUMBER(SEARCH("Advanced Equipments",M165)),"Equipment Rental",
        ISNUMBER(SEARCH("Al Banuk Sana",M165)),"Telecom Company",
        ISNUMBER(SEARCH("Al Khaleefa Factory",M165)),"Manufacturer",
        ISNUMBER(SEARCH("Al Saadeh Trading",M165)),"Trading Company",
        ISNUMBER(SEARCH("Al Zaehaan",M165)),"Trading Company",
        ISNUMBER(SEARCH("Ali Abdullah K Al Darwish",M165)),"Airlines",
        ISNUMBER(SEARCH("Bupa Arabia",M165)),"Health Insurance",
        ISNUMBER(SEARCH("Dar Fahoosaat",M165)),"Consultant",
        ISNUMBER(SEARCH("General Authority of Zakat",M165)),"Tax Collection",
        ISNUMBER(SEARCH("Gulf Voyager",M165)),"Travel Agency",
        ISNUMBER(SEARCH("Hopeway Trading",M165)),"Trading Company",
        ISNUMBER(SEARCH("Interhealth Medical",M165)),"Medical Services",
        ISNUMBER(SEARCH("Ishaar",M165)),"Online Payment Service",
        ISNUMBER(SEARCH("ISO Arabia",M165)),"Certification",
        ISNUMBER(SEARCH("Khalid Saad Al Otaibi",M165)),"Trading Company",
        ISNUMBER(SEARCH("MERAS for Decoration",M165)),"Decor Company",
        ISNUMBER(SEARCH("Middle East Customs Clearance",M165)),"Customs",
        ISNUMBER(SEARCH("Ministry of Human Resources",M165)),"Government",
        ISNUMBER(SEARCH("My Business Services",M165)),"Service Provider",
        ISNUMBER(SEARCH("National Water Company",M165)),"Water Company",
        ISNUMBER(SEARCH("Rania Contracting",M165)),"Contracting",
        ISNUMBER(SEARCH("Rashid Ali Sheikh",M165)),"Shareholder",
        ISNUMBER(SEARCH("Sahab United Motors",M165)),"Car Show Room",
        ISNUMBER(SEARCH("Saud Mohammed Al Tamimi",M165)),"Shareholder",
        ISNUMBER(SEARCH("Saud Mohammed Tamimi",M165)),"Shareholder",
        ISNUMBER(SEARCH("Saudi Electric Company",M165)),"Electricity Company",
        ISNUMBER(SEARCH("Saudi Vetonit",M165)),"Building Materials",
        ISNUMBER(SEARCH("Shomoul Eng",M165)),"Safety",
        ISNUMBER(SEARCH("STC",M165)),"Telecom Company",
        ISNUMBER(SEARCH("The General Organization for Social Insurance",M165)),"Social Insurance Agency",
        ISNUMBER(SEARCH("TUV Rheinland",M165)),"Certification",
        ISNUMBER(SEARCH("Al Arabia Ceramic",M165)),"Building Materials",
        ISNUMBER(SEARCH("National Company for Building and Marketing",M165)),"Parent Company",
        ISNUMBER(SEARCH("Athraa Holding",M165)),"Holding Company",
        ISNUMBER(SEARCH("Al Rasan",M165)),"Contracting",
        ISNUMBER(SEARCH("Raboua Al Haid",M165)),"Trading Company",
        ISNUMBER(SEARCH("Al Jazeera Paint",M165)),"Manufacturer",
        ISNUMBER(SEARCH("Rania Works Contracting",M165)),"Contracting",
        ISNUMBER(SEARCH("Bandar Jarallah",M165)),"Trading Establishment",
        ISNUMBER(SEARCH("RS Infratec Saudi",M165)),"Same Company",
        ISNUMBER(SEARCH("Payroll",M165)),"Bank",
        ISNUMBER(SEARCH("Expatriate",M165)),"Government",
        ISNUMBER(SEARCH("Unknown Sender",M165)),"Unknown",
        TRUE,"Unknown"
    ),
    "-"
)</f>
        <v>Parent Company</v>
      </c>
      <c r="AA165" s="25" t="str" cm="1">
        <f t="array" ref="AA165">_xlfn.IFNA(
    _xlfn.IFS(
        Z165="Lender","Financing",
        Z165="Accounting","Accounting",
        Z165="Shareholder","Individual",
        Z165="Equipment Rental","Equipment Rental",
        Z165="Telecom Company","Telecom",
        Z165="Manufacturer","Manufacturer",
        Z165="Trading Company","Trading And Transport",
        Z165="Trading Establishment","Trading",
        Z165="Airlines","Airlines",
        Z165="Health Insurance","Insurance",
        Z165="Consultant","Consultant",
        Z165="Tax Collection","Government",
        Z165="Travel Agency","Travel Agency",
        Z165="Medical Services","Medical Center",
        Z165="Online Payment Service","Payment Facilitator",
        Z165="Certification","Safety",
        Z165="Decor Company","Design",
        Z165="Customs","Customs",
        Z165="Government","Government",
        Z165="Service Provider","Service Provider",
        Z165="Water Company","Water Company",
        Z165="Contracting","Contracting",
        Z165="Car Show Room","Car Trader",
        Z165="Electricity Company","Electricity Company",
        Z165="Building Materials","Building Materials",
        Z165="Safety","Safety",
        Z165="Social Insurance Agency","Government Fund",
        Z165="Parent Company","Holding Company",
        Z165="Holding Company","Holding Company",
        Z165="Same Company","Construction",
        Z165="Bank","Bank",
        Z165="Unknown","Unknown",
        TRUE,"-"
    ),
    "-"
)</f>
        <v>Holding Company</v>
      </c>
      <c r="AB165" s="25" t="str">
        <f t="shared" si="9"/>
        <v>-</v>
      </c>
      <c r="AC165" s="25" t="str" cm="1">
        <f t="array" ref="AC165">_xlfn.IFNA(
    _xlfn.IFS(
        Z165="Shareholder","Shareholder",
        Z165="Same Company","Same Company",
        Z165="Bank","Bank",
        Z165="Government","Government",
        Z165="Social Insurance Agency","Government",
        Z165="Parent Company","Customer",
        Z165="Lender","Lender",
        Z165="Unknown","Unknown",
        ISNUMBER(SEARCH("Abdullah Abdulkarim",M165)),"Service Provider",
        ISNUMBER(SEARCH("Abdullah Fahad",M165)),"Service Provider",
        ISNUMBER(SEARCH("Advanced Equipments",M165)),"Supplier",
        ISNUMBER(SEARCH("Al Banuk Sana",M165)),"Supplier",
        ISNUMBER(SEARCH("Al Khaleefa Factory",M165)),"Supplier",
        ISNUMBER(SEARCH("Al Saadeh Trading",M165)),"Supplier",
        ISNUMBER(SEARCH("Al Zaehaan",M165)),"Supplier",
        ISNUMBER(SEARCH("Ali Abdullah K Al Darwish",M165)),"Service Provider",
        ISNUMBER(SEARCH("Bupa Arabia",M165)),"Insurance Company",
        ISNUMBER(SEARCH("Dar Fahoosaat",M165)),"Service Provider",
        ISNUMBER(SEARCH("General Authority of Zakat",M165)),"Tax Authority",
        ISNUMBER(SEARCH("Gulf Voyager",M165)),"Service Provider",
        ISNUMBER(SEARCH("Hopeway Trading",M165)),"Supplier",
        ISNUMBER(SEARCH("Interhealth Medical",M165)),"Customer",
        ISNUMBER(SEARCH("Ishaar",M165)),"Service Provider",
        ISNUMBER(SEARCH("ISO Arabia",M165)),"Service Provider",
        ISNUMBER(SEARCH("Khalid Saad Al Otaibi",M165)),"Supplier",
        ISNUMBER(SEARCH("MERAS for Decoration",M165)),"Supplier",
        ISNUMBER(SEARCH("Middle East Customs Clearance",M165)),"Service Provider",
        ISNUMBER(SEARCH("Ministry of Human Resources",M165)),"Regulatory Agency",
        ISNUMBER(SEARCH("My Business Services",M165)),"Service Provider",
        ISNUMBER(SEARCH("National Water Company",M165)),"Utility Provider",
        ISNUMBER(SEARCH("Rania Contracting",M165)),"Supplier",
        ISNUMBER(SEARCH("Sahab United Motors",M165)),"Supplier",
        ISNUMBER(SEARCH("Saudi Electric Company",M165)),"Utility Provider",
        ISNUMBER(SEARCH("Saudi Vetonit",M165)),"Supplier",
        ISNUMBER(SEARCH("Shomoul Eng",M165)),"Service Provider",
        ISNUMBER(SEARCH("STC",M165)),"Utility Provider",
        ISNUMBER(SEARCH("The General Organization for Social Insurance",M165)),"Social Insurance Agency",
        ISNUMBER(SEARCH("TUV Rheinland",M165)),"Service Provider",
        ISNUMBER(SEARCH("Al Arabia Ceramic",M165)),"Supplier",
        ISNUMBER(SEARCH("National Company for Building",M165)),"Customer",
        ISNUMBER(SEARCH("Athraa Holding",M165)),"Customer",
        ISNUMBER(SEARCH("Al Rasan",M165)),"Supplier",
        ISNUMBER(SEARCH("Raboua Al Haid",M165)),"Customer",
        ISNUMBER(SEARCH("Al Jazeera Paint",M165)),"Supplier",
        ISNUMBER(SEARCH("Rania Works Contracting",M165)),"Supplier",
        ISNUMBER(SEARCH("Bandar Jarallah",M165)),"Supplier",
        TRUE,"Supplier"
    ),
    "-"
)</f>
        <v>Customer</v>
      </c>
      <c r="AD165" s="25" t="str" cm="1">
        <f t="array" ref="AD165">_xlfn.IFNA(
    _xlfn.IFS(
        AC165="Same Company","High",
        AC165="Shareholder","High",
        AC165="Government","High",
        AC165="Bank","High",
        AC165="Lender","High",
        AC165="Unknown","Low",
        AC165="-","Low",
        TRUE,"Medium"
    ),
    "-"
)</f>
        <v>Medium</v>
      </c>
      <c r="AE165" s="25" t="str">
        <f t="shared" si="10"/>
        <v>-</v>
      </c>
      <c r="AF165" s="25" t="str" cm="1">
        <f t="array" ref="AF165">_xlfn.IFNA(
    _xlfn.IFS(
        K165="Credit",
            _xlfn.IFS(
                OR(ISNUMBER(SEARCH("Rejected",L165)),ISNUMBER(SEARCH("Returned",L165))),"Other Income",
                TRUE,"Revenue"
            ),
        K165="Debit",
            _xlfn.IFS(
                ISNUMBER(SEARCH("Payroll",L165)),"OPEX",
                ISNUMBER(SEARCH("Expatriate",L165)),"OPEX",
                ISNUMBER(SEARCH("Zakat",M165)),"ZATCA",
                ISNUMBER(SEARCH("General Organization for Social Insurance",M165)),"OPEX",
                ISNUMBER(SEARCH("Saudi Electric",M165)),"OPEX",
                ISNUMBER(SEARCH("STC",M165)),"OPEX",
                ISNUMBER(SEARCH("National Water",M165)),"OPEX",
                ISNUMBER(SEARCH("Bupa",M165)),"OPEX",
                ISNUMBER(SEARCH("Abdullah Abdulkarim",M165)),"OPEX",
                ISNUMBER(SEARCH("Abdullah Fahad",M165)),"OPEX",
                ISNUMBER(SEARCH("ISO Arabia",M165)),"OPEX",
                ISNUMBER(SEARCH("Gulf Voyager",M165)),"OPEX",
                ISNUMBER(SEARCH("Ministry",M165)),"OPEX",
                ISNUMBER(SEARCH("General Authority of Zakat",M165)),"ZATCA",
                ISNUMBER(SEARCH("Rejected",L165)),"Other Income",
                TRUE,"COGS"
            ),
        TRUE,"-"
    ),
    "-"
)</f>
        <v>Revenue</v>
      </c>
      <c r="AG165" s="25" t="str" cm="1">
        <f t="array" ref="AG165">_xlfn.IFNA(
    _xlfn.IFS(
        ISNUMBER(SEARCH("Payroll",L165)),"Payroll",
        ISNUMBER(SEARCH("Expatriate",L165)),"Government Fees",
        ISNUMBER(SEARCH("Zakat",M165)),"Zakat",
        ISNUMBER(SEARCH("Social Insurance",M165)),"Social Insurance",
        ISNUMBER(SEARCH("Saudi Electric",M165)),"Electricity",
        ISNUMBER(SEARCH("STC",M165)),"Telecom",
        ISNUMBER(SEARCH("National Water",M165)),"Water",
        ISNUMBER(SEARCH("Bupa",M165)),"Insurance",
        ISNUMBER(SEARCH("Gulf Voyager",M165)),"Travel",
        ISNUMBER(SEARCH("Ministry",M165)),"Government Fees",
        ISNUMBER(SEARCH("Abdullah Abdulkarim",M165)),"Consulting",
        ISNUMBER(SEARCH("Abdullah Fahad",M165)),"Accounting",
        ISNUMBER(SEARCH("ISO Arabia",M165)),"Consulting",
        ISNUMBER(SEARCH("Rejected",L165)),"Refund",
        AF165="COGS","Inventory Purchase",
        AF165="Revenue","Revenue",
        AF165="OPEX","Other",
        AF165="ZATCA","Zakat",
        TRUE,"-"
    ),
    "-"
)</f>
        <v>Revenue</v>
      </c>
      <c r="AH165" s="25" t="str" cm="1">
        <f t="array" ref="AH165">_xlfn.IFNA(
    _xlfn.IFS(
        AF165="-","Low",
        AF165="Other","Low",
        TRUE,"Medium"
    ),
    "-"
)</f>
        <v>Medium</v>
      </c>
      <c r="AI165" s="25" t="str">
        <f t="shared" si="11"/>
        <v>-</v>
      </c>
    </row>
    <row r="166" spans="1:35" x14ac:dyDescent="0.25">
      <c r="A166" s="10">
        <v>59</v>
      </c>
      <c r="B166" s="10" t="s">
        <v>35</v>
      </c>
      <c r="C166" s="10" t="s">
        <v>36</v>
      </c>
      <c r="D166" s="10" t="s">
        <v>37</v>
      </c>
      <c r="E166" s="10" t="s">
        <v>38</v>
      </c>
      <c r="F166" s="11" t="s">
        <v>39</v>
      </c>
      <c r="G166" s="11" t="s">
        <v>40</v>
      </c>
      <c r="H166" s="12">
        <v>44986</v>
      </c>
      <c r="I166" s="20">
        <v>508383.26</v>
      </c>
      <c r="J166" s="20">
        <v>400000</v>
      </c>
      <c r="K166" s="10" t="s">
        <v>116</v>
      </c>
      <c r="L166" s="9" t="s">
        <v>230</v>
      </c>
      <c r="M166" s="9" t="s">
        <v>231</v>
      </c>
      <c r="N166" s="9" t="s">
        <v>232</v>
      </c>
      <c r="O166" s="9" t="s">
        <v>233</v>
      </c>
      <c r="P166" s="15">
        <v>44986</v>
      </c>
      <c r="Q166" s="9" t="s">
        <v>258</v>
      </c>
      <c r="R166" s="16">
        <v>400000</v>
      </c>
      <c r="U166" s="9" t="s">
        <v>55</v>
      </c>
      <c r="V166" s="24" t="str" cm="1">
        <f t="array" ref="V166">_xlfn.IFNA(
    _xlfn.IFS(
        ISNUMBER(SEARCH("Fast Outgoing Transfer",L166)),"Transfer",
        ISNUMBER(SEARCH("Incoming Fast Transfer",L166)),"Transfer",
        ISNUMBER(SEARCH("Outgoing International Transfer",L166)),"Transfer",
        ISNUMBER(SEARCH("Bill Payment",L166)),"SADAD",
        ISNUMBER(SEARCH("Payroll",L166)),"Payroll",
        ISNUMBER(SEARCH("Cash Deposit",L166)),"Cash",
        ISNUMBER(SEARCH("Internal Transfer",L166)),"Transfer",
        ISNUMBER(SEARCH("Expatriate Services Payment",L166)),"SADAD",
        ISNUMBER(SEARCH("Rejected",L166)),"Transfer"
    ),
    "-"
)</f>
        <v>Transfer</v>
      </c>
      <c r="W166" s="25" t="str" cm="1">
        <f t="array" ref="W166">_xlfn.IFNA(
    _xlfn.IFS(
        AND(V166="Transfer",ISNUMBER(SEARCH("RIYAD BANK",L166))),"External FI",
        AND(V166="Transfer",ISNUMBER(SEARCH("Al Ahli",L166))),"External FI",
        AND(V166="Transfer",ISNUMBER(SEARCH("CIB via",L166))),"Local Transfer",
        AND(V166="Transfer",ISNUMBER(SEARCH("CIB)",L166))),"Local Transfer",
        AND(V166="Transfer",ISNUMBER(SEARCH("SMRT",L166))),"Local Transfer",
        AND(V166="Transfer",ISNUMBER(SEARCH("Al Murabba",L166))),"Local Transfer",
        AND(V166="Transfer",ISNUMBER(SEARCH("Internal Transfer",L166))),"Same FI",
        AND(V166="Transfer",ISNUMBER(SEARCH("Rejected",L166))),"Failed",
        V166="SADAD",
            _xlfn.IFS(
                ISNUMBER(SEARCH("Expatriate",L166)),"Expat Fees",
                TRUE,"Online Payment"
            ),
        V166="Payroll","Payroll",
        V166="Cash","Deposit",
        TRUE,"-"
    ),
    "-"
)</f>
        <v>External FI</v>
      </c>
      <c r="X166" s="25" t="str" cm="1">
        <f t="array" ref="X166">_xlfn.IFNA(
    _xlfn.IFS(
        V166="-","Low",
        W166="-","Low",
        TRUE,"High"
    ),
    "-"
)</f>
        <v>High</v>
      </c>
      <c r="Y166" s="25" t="str">
        <f t="shared" si="8"/>
        <v>-</v>
      </c>
      <c r="Z166" s="25" t="str" cm="1">
        <f t="array" ref="Z166">_xlfn.IFNA(
    _xlfn.IFS(
        ISNUMBER(SEARCH("Abdul Latif Jameel",M166)),"Lender",
        ISNUMBER(SEARCH("Abdullah Abdulkarim Al Sudais",M166)),"Accounting",
        ISNUMBER(SEARCH("Abdullah Fahad for Accounting",M166)),"Accounting",
        ISNUMBER(SEARCH("Abdullah Rashid Shaikh",M166)),"Shareholder",
        ISNUMBER(SEARCH("Advanced Equipments",M166)),"Equipment Rental",
        ISNUMBER(SEARCH("Al Banuk Sana",M166)),"Telecom Company",
        ISNUMBER(SEARCH("Al Khaleefa Factory",M166)),"Manufacturer",
        ISNUMBER(SEARCH("Al Saadeh Trading",M166)),"Trading Company",
        ISNUMBER(SEARCH("Al Zaehaan",M166)),"Trading Company",
        ISNUMBER(SEARCH("Ali Abdullah K Al Darwish",M166)),"Airlines",
        ISNUMBER(SEARCH("Bupa Arabia",M166)),"Health Insurance",
        ISNUMBER(SEARCH("Dar Fahoosaat",M166)),"Consultant",
        ISNUMBER(SEARCH("General Authority of Zakat",M166)),"Tax Collection",
        ISNUMBER(SEARCH("Gulf Voyager",M166)),"Travel Agency",
        ISNUMBER(SEARCH("Hopeway Trading",M166)),"Trading Company",
        ISNUMBER(SEARCH("Interhealth Medical",M166)),"Medical Services",
        ISNUMBER(SEARCH("Ishaar",M166)),"Online Payment Service",
        ISNUMBER(SEARCH("ISO Arabia",M166)),"Certification",
        ISNUMBER(SEARCH("Khalid Saad Al Otaibi",M166)),"Trading Company",
        ISNUMBER(SEARCH("MERAS for Decoration",M166)),"Decor Company",
        ISNUMBER(SEARCH("Middle East Customs Clearance",M166)),"Customs",
        ISNUMBER(SEARCH("Ministry of Human Resources",M166)),"Government",
        ISNUMBER(SEARCH("My Business Services",M166)),"Service Provider",
        ISNUMBER(SEARCH("National Water Company",M166)),"Water Company",
        ISNUMBER(SEARCH("Rania Contracting",M166)),"Contracting",
        ISNUMBER(SEARCH("Rashid Ali Sheikh",M166)),"Shareholder",
        ISNUMBER(SEARCH("Sahab United Motors",M166)),"Car Show Room",
        ISNUMBER(SEARCH("Saud Mohammed Al Tamimi",M166)),"Shareholder",
        ISNUMBER(SEARCH("Saud Mohammed Tamimi",M166)),"Shareholder",
        ISNUMBER(SEARCH("Saudi Electric Company",M166)),"Electricity Company",
        ISNUMBER(SEARCH("Saudi Vetonit",M166)),"Building Materials",
        ISNUMBER(SEARCH("Shomoul Eng",M166)),"Safety",
        ISNUMBER(SEARCH("STC",M166)),"Telecom Company",
        ISNUMBER(SEARCH("The General Organization for Social Insurance",M166)),"Social Insurance Agency",
        ISNUMBER(SEARCH("TUV Rheinland",M166)),"Certification",
        ISNUMBER(SEARCH("Al Arabia Ceramic",M166)),"Building Materials",
        ISNUMBER(SEARCH("National Company for Building and Marketing",M166)),"Parent Company",
        ISNUMBER(SEARCH("Athraa Holding",M166)),"Holding Company",
        ISNUMBER(SEARCH("Al Rasan",M166)),"Contracting",
        ISNUMBER(SEARCH("Raboua Al Haid",M166)),"Trading Company",
        ISNUMBER(SEARCH("Al Jazeera Paint",M166)),"Manufacturer",
        ISNUMBER(SEARCH("Rania Works Contracting",M166)),"Contracting",
        ISNUMBER(SEARCH("Bandar Jarallah",M166)),"Trading Establishment",
        ISNUMBER(SEARCH("RS Infratec Saudi",M166)),"Same Company",
        ISNUMBER(SEARCH("Payroll",M166)),"Bank",
        ISNUMBER(SEARCH("Expatriate",M166)),"Government",
        ISNUMBER(SEARCH("Unknown Sender",M166)),"Unknown",
        TRUE,"Unknown"
    ),
    "-"
)</f>
        <v>Parent Company</v>
      </c>
      <c r="AA166" s="25" t="str" cm="1">
        <f t="array" ref="AA166">_xlfn.IFNA(
    _xlfn.IFS(
        Z166="Lender","Financing",
        Z166="Accounting","Accounting",
        Z166="Shareholder","Individual",
        Z166="Equipment Rental","Equipment Rental",
        Z166="Telecom Company","Telecom",
        Z166="Manufacturer","Manufacturer",
        Z166="Trading Company","Trading And Transport",
        Z166="Trading Establishment","Trading",
        Z166="Airlines","Airlines",
        Z166="Health Insurance","Insurance",
        Z166="Consultant","Consultant",
        Z166="Tax Collection","Government",
        Z166="Travel Agency","Travel Agency",
        Z166="Medical Services","Medical Center",
        Z166="Online Payment Service","Payment Facilitator",
        Z166="Certification","Safety",
        Z166="Decor Company","Design",
        Z166="Customs","Customs",
        Z166="Government","Government",
        Z166="Service Provider","Service Provider",
        Z166="Water Company","Water Company",
        Z166="Contracting","Contracting",
        Z166="Car Show Room","Car Trader",
        Z166="Electricity Company","Electricity Company",
        Z166="Building Materials","Building Materials",
        Z166="Safety","Safety",
        Z166="Social Insurance Agency","Government Fund",
        Z166="Parent Company","Holding Company",
        Z166="Holding Company","Holding Company",
        Z166="Same Company","Construction",
        Z166="Bank","Bank",
        Z166="Unknown","Unknown",
        TRUE,"-"
    ),
    "-"
)</f>
        <v>Holding Company</v>
      </c>
      <c r="AB166" s="25" t="str">
        <f t="shared" si="9"/>
        <v>-</v>
      </c>
      <c r="AC166" s="25" t="str" cm="1">
        <f t="array" ref="AC166">_xlfn.IFNA(
    _xlfn.IFS(
        Z166="Shareholder","Shareholder",
        Z166="Same Company","Same Company",
        Z166="Bank","Bank",
        Z166="Government","Government",
        Z166="Social Insurance Agency","Government",
        Z166="Parent Company","Customer",
        Z166="Lender","Lender",
        Z166="Unknown","Unknown",
        ISNUMBER(SEARCH("Abdullah Abdulkarim",M166)),"Service Provider",
        ISNUMBER(SEARCH("Abdullah Fahad",M166)),"Service Provider",
        ISNUMBER(SEARCH("Advanced Equipments",M166)),"Supplier",
        ISNUMBER(SEARCH("Al Banuk Sana",M166)),"Supplier",
        ISNUMBER(SEARCH("Al Khaleefa Factory",M166)),"Supplier",
        ISNUMBER(SEARCH("Al Saadeh Trading",M166)),"Supplier",
        ISNUMBER(SEARCH("Al Zaehaan",M166)),"Supplier",
        ISNUMBER(SEARCH("Ali Abdullah K Al Darwish",M166)),"Service Provider",
        ISNUMBER(SEARCH("Bupa Arabia",M166)),"Insurance Company",
        ISNUMBER(SEARCH("Dar Fahoosaat",M166)),"Service Provider",
        ISNUMBER(SEARCH("General Authority of Zakat",M166)),"Tax Authority",
        ISNUMBER(SEARCH("Gulf Voyager",M166)),"Service Provider",
        ISNUMBER(SEARCH("Hopeway Trading",M166)),"Supplier",
        ISNUMBER(SEARCH("Interhealth Medical",M166)),"Customer",
        ISNUMBER(SEARCH("Ishaar",M166)),"Service Provider",
        ISNUMBER(SEARCH("ISO Arabia",M166)),"Service Provider",
        ISNUMBER(SEARCH("Khalid Saad Al Otaibi",M166)),"Supplier",
        ISNUMBER(SEARCH("MERAS for Decoration",M166)),"Supplier",
        ISNUMBER(SEARCH("Middle East Customs Clearance",M166)),"Service Provider",
        ISNUMBER(SEARCH("Ministry of Human Resources",M166)),"Regulatory Agency",
        ISNUMBER(SEARCH("My Business Services",M166)),"Service Provider",
        ISNUMBER(SEARCH("National Water Company",M166)),"Utility Provider",
        ISNUMBER(SEARCH("Rania Contracting",M166)),"Supplier",
        ISNUMBER(SEARCH("Sahab United Motors",M166)),"Supplier",
        ISNUMBER(SEARCH("Saudi Electric Company",M166)),"Utility Provider",
        ISNUMBER(SEARCH("Saudi Vetonit",M166)),"Supplier",
        ISNUMBER(SEARCH("Shomoul Eng",M166)),"Service Provider",
        ISNUMBER(SEARCH("STC",M166)),"Utility Provider",
        ISNUMBER(SEARCH("The General Organization for Social Insurance",M166)),"Social Insurance Agency",
        ISNUMBER(SEARCH("TUV Rheinland",M166)),"Service Provider",
        ISNUMBER(SEARCH("Al Arabia Ceramic",M166)),"Supplier",
        ISNUMBER(SEARCH("National Company for Building",M166)),"Customer",
        ISNUMBER(SEARCH("Athraa Holding",M166)),"Customer",
        ISNUMBER(SEARCH("Al Rasan",M166)),"Supplier",
        ISNUMBER(SEARCH("Raboua Al Haid",M166)),"Customer",
        ISNUMBER(SEARCH("Al Jazeera Paint",M166)),"Supplier",
        ISNUMBER(SEARCH("Rania Works Contracting",M166)),"Supplier",
        ISNUMBER(SEARCH("Bandar Jarallah",M166)),"Supplier",
        TRUE,"Supplier"
    ),
    "-"
)</f>
        <v>Customer</v>
      </c>
      <c r="AD166" s="25" t="str" cm="1">
        <f t="array" ref="AD166">_xlfn.IFNA(
    _xlfn.IFS(
        AC166="Same Company","High",
        AC166="Shareholder","High",
        AC166="Government","High",
        AC166="Bank","High",
        AC166="Lender","High",
        AC166="Unknown","Low",
        AC166="-","Low",
        TRUE,"Medium"
    ),
    "-"
)</f>
        <v>Medium</v>
      </c>
      <c r="AE166" s="25" t="str">
        <f t="shared" si="10"/>
        <v>-</v>
      </c>
      <c r="AF166" s="25" t="str" cm="1">
        <f t="array" ref="AF166">_xlfn.IFNA(
    _xlfn.IFS(
        K166="Credit",
            _xlfn.IFS(
                OR(ISNUMBER(SEARCH("Rejected",L166)),ISNUMBER(SEARCH("Returned",L166))),"Other Income",
                TRUE,"Revenue"
            ),
        K166="Debit",
            _xlfn.IFS(
                ISNUMBER(SEARCH("Payroll",L166)),"OPEX",
                ISNUMBER(SEARCH("Expatriate",L166)),"OPEX",
                ISNUMBER(SEARCH("Zakat",M166)),"ZATCA",
                ISNUMBER(SEARCH("General Organization for Social Insurance",M166)),"OPEX",
                ISNUMBER(SEARCH("Saudi Electric",M166)),"OPEX",
                ISNUMBER(SEARCH("STC",M166)),"OPEX",
                ISNUMBER(SEARCH("National Water",M166)),"OPEX",
                ISNUMBER(SEARCH("Bupa",M166)),"OPEX",
                ISNUMBER(SEARCH("Abdullah Abdulkarim",M166)),"OPEX",
                ISNUMBER(SEARCH("Abdullah Fahad",M166)),"OPEX",
                ISNUMBER(SEARCH("ISO Arabia",M166)),"OPEX",
                ISNUMBER(SEARCH("Gulf Voyager",M166)),"OPEX",
                ISNUMBER(SEARCH("Ministry",M166)),"OPEX",
                ISNUMBER(SEARCH("General Authority of Zakat",M166)),"ZATCA",
                ISNUMBER(SEARCH("Rejected",L166)),"Other Income",
                TRUE,"COGS"
            ),
        TRUE,"-"
    ),
    "-"
)</f>
        <v>Revenue</v>
      </c>
      <c r="AG166" s="25" t="str" cm="1">
        <f t="array" ref="AG166">_xlfn.IFNA(
    _xlfn.IFS(
        ISNUMBER(SEARCH("Payroll",L166)),"Payroll",
        ISNUMBER(SEARCH("Expatriate",L166)),"Government Fees",
        ISNUMBER(SEARCH("Zakat",M166)),"Zakat",
        ISNUMBER(SEARCH("Social Insurance",M166)),"Social Insurance",
        ISNUMBER(SEARCH("Saudi Electric",M166)),"Electricity",
        ISNUMBER(SEARCH("STC",M166)),"Telecom",
        ISNUMBER(SEARCH("National Water",M166)),"Water",
        ISNUMBER(SEARCH("Bupa",M166)),"Insurance",
        ISNUMBER(SEARCH("Gulf Voyager",M166)),"Travel",
        ISNUMBER(SEARCH("Ministry",M166)),"Government Fees",
        ISNUMBER(SEARCH("Abdullah Abdulkarim",M166)),"Consulting",
        ISNUMBER(SEARCH("Abdullah Fahad",M166)),"Accounting",
        ISNUMBER(SEARCH("ISO Arabia",M166)),"Consulting",
        ISNUMBER(SEARCH("Rejected",L166)),"Refund",
        AF166="COGS","Inventory Purchase",
        AF166="Revenue","Revenue",
        AF166="OPEX","Other",
        AF166="ZATCA","Zakat",
        TRUE,"-"
    ),
    "-"
)</f>
        <v>Revenue</v>
      </c>
      <c r="AH166" s="25" t="str" cm="1">
        <f t="array" ref="AH166">_xlfn.IFNA(
    _xlfn.IFS(
        AF166="-","Low",
        AF166="Other","Low",
        TRUE,"Medium"
    ),
    "-"
)</f>
        <v>Medium</v>
      </c>
      <c r="AI166" s="25" t="str">
        <f t="shared" si="11"/>
        <v>-</v>
      </c>
    </row>
    <row r="167" spans="1:35" x14ac:dyDescent="0.25">
      <c r="A167" s="10">
        <v>59</v>
      </c>
      <c r="B167" s="10" t="s">
        <v>35</v>
      </c>
      <c r="C167" s="10" t="s">
        <v>36</v>
      </c>
      <c r="D167" s="10" t="s">
        <v>37</v>
      </c>
      <c r="E167" s="10" t="s">
        <v>38</v>
      </c>
      <c r="F167" s="11" t="s">
        <v>39</v>
      </c>
      <c r="G167" s="11" t="s">
        <v>40</v>
      </c>
      <c r="H167" s="12">
        <v>44991</v>
      </c>
      <c r="I167" s="20">
        <v>223715.08</v>
      </c>
      <c r="J167" s="20">
        <v>200000</v>
      </c>
      <c r="K167" s="10" t="s">
        <v>116</v>
      </c>
      <c r="L167" s="9" t="s">
        <v>224</v>
      </c>
      <c r="M167" s="9" t="s">
        <v>231</v>
      </c>
      <c r="O167" s="9" t="s">
        <v>226</v>
      </c>
      <c r="P167" s="15">
        <v>44991</v>
      </c>
      <c r="Q167" s="9" t="s">
        <v>259</v>
      </c>
      <c r="R167" s="16">
        <v>200000</v>
      </c>
      <c r="U167" s="9" t="s">
        <v>55</v>
      </c>
      <c r="V167" s="24" t="str" cm="1">
        <f t="array" ref="V167">_xlfn.IFNA(
    _xlfn.IFS(
        ISNUMBER(SEARCH("Fast Outgoing Transfer",L167)),"Transfer",
        ISNUMBER(SEARCH("Incoming Fast Transfer",L167)),"Transfer",
        ISNUMBER(SEARCH("Outgoing International Transfer",L167)),"Transfer",
        ISNUMBER(SEARCH("Bill Payment",L167)),"SADAD",
        ISNUMBER(SEARCH("Payroll",L167)),"Payroll",
        ISNUMBER(SEARCH("Cash Deposit",L167)),"Cash",
        ISNUMBER(SEARCH("Internal Transfer",L167)),"Transfer",
        ISNUMBER(SEARCH("Expatriate Services Payment",L167)),"SADAD",
        ISNUMBER(SEARCH("Rejected",L167)),"Transfer"
    ),
    "-"
)</f>
        <v>Transfer</v>
      </c>
      <c r="W167" s="25" t="str" cm="1">
        <f t="array" ref="W167">_xlfn.IFNA(
    _xlfn.IFS(
        AND(V167="Transfer",ISNUMBER(SEARCH("RIYAD BANK",L167))),"External FI",
        AND(V167="Transfer",ISNUMBER(SEARCH("Al Ahli",L167))),"External FI",
        AND(V167="Transfer",ISNUMBER(SEARCH("CIB via",L167))),"Local Transfer",
        AND(V167="Transfer",ISNUMBER(SEARCH("CIB)",L167))),"Local Transfer",
        AND(V167="Transfer",ISNUMBER(SEARCH("SMRT",L167))),"Local Transfer",
        AND(V167="Transfer",ISNUMBER(SEARCH("Al Murabba",L167))),"Local Transfer",
        AND(V167="Transfer",ISNUMBER(SEARCH("Internal Transfer",L167))),"Same FI",
        AND(V167="Transfer",ISNUMBER(SEARCH("Rejected",L167))),"Failed",
        V167="SADAD",
            _xlfn.IFS(
                ISNUMBER(SEARCH("Expatriate",L167)),"Expat Fees",
                TRUE,"Online Payment"
            ),
        V167="Payroll","Payroll",
        V167="Cash","Deposit",
        TRUE,"-"
    ),
    "-"
)</f>
        <v>Local Transfer</v>
      </c>
      <c r="X167" s="25" t="str" cm="1">
        <f t="array" ref="X167">_xlfn.IFNA(
    _xlfn.IFS(
        V167="-","Low",
        W167="-","Low",
        TRUE,"High"
    ),
    "-"
)</f>
        <v>High</v>
      </c>
      <c r="Y167" s="25" t="str">
        <f t="shared" si="8"/>
        <v>-</v>
      </c>
      <c r="Z167" s="25" t="str" cm="1">
        <f t="array" ref="Z167">_xlfn.IFNA(
    _xlfn.IFS(
        ISNUMBER(SEARCH("Abdul Latif Jameel",M167)),"Lender",
        ISNUMBER(SEARCH("Abdullah Abdulkarim Al Sudais",M167)),"Accounting",
        ISNUMBER(SEARCH("Abdullah Fahad for Accounting",M167)),"Accounting",
        ISNUMBER(SEARCH("Abdullah Rashid Shaikh",M167)),"Shareholder",
        ISNUMBER(SEARCH("Advanced Equipments",M167)),"Equipment Rental",
        ISNUMBER(SEARCH("Al Banuk Sana",M167)),"Telecom Company",
        ISNUMBER(SEARCH("Al Khaleefa Factory",M167)),"Manufacturer",
        ISNUMBER(SEARCH("Al Saadeh Trading",M167)),"Trading Company",
        ISNUMBER(SEARCH("Al Zaehaan",M167)),"Trading Company",
        ISNUMBER(SEARCH("Ali Abdullah K Al Darwish",M167)),"Airlines",
        ISNUMBER(SEARCH("Bupa Arabia",M167)),"Health Insurance",
        ISNUMBER(SEARCH("Dar Fahoosaat",M167)),"Consultant",
        ISNUMBER(SEARCH("General Authority of Zakat",M167)),"Tax Collection",
        ISNUMBER(SEARCH("Gulf Voyager",M167)),"Travel Agency",
        ISNUMBER(SEARCH("Hopeway Trading",M167)),"Trading Company",
        ISNUMBER(SEARCH("Interhealth Medical",M167)),"Medical Services",
        ISNUMBER(SEARCH("Ishaar",M167)),"Online Payment Service",
        ISNUMBER(SEARCH("ISO Arabia",M167)),"Certification",
        ISNUMBER(SEARCH("Khalid Saad Al Otaibi",M167)),"Trading Company",
        ISNUMBER(SEARCH("MERAS for Decoration",M167)),"Decor Company",
        ISNUMBER(SEARCH("Middle East Customs Clearance",M167)),"Customs",
        ISNUMBER(SEARCH("Ministry of Human Resources",M167)),"Government",
        ISNUMBER(SEARCH("My Business Services",M167)),"Service Provider",
        ISNUMBER(SEARCH("National Water Company",M167)),"Water Company",
        ISNUMBER(SEARCH("Rania Contracting",M167)),"Contracting",
        ISNUMBER(SEARCH("Rashid Ali Sheikh",M167)),"Shareholder",
        ISNUMBER(SEARCH("Sahab United Motors",M167)),"Car Show Room",
        ISNUMBER(SEARCH("Saud Mohammed Al Tamimi",M167)),"Shareholder",
        ISNUMBER(SEARCH("Saud Mohammed Tamimi",M167)),"Shareholder",
        ISNUMBER(SEARCH("Saudi Electric Company",M167)),"Electricity Company",
        ISNUMBER(SEARCH("Saudi Vetonit",M167)),"Building Materials",
        ISNUMBER(SEARCH("Shomoul Eng",M167)),"Safety",
        ISNUMBER(SEARCH("STC",M167)),"Telecom Company",
        ISNUMBER(SEARCH("The General Organization for Social Insurance",M167)),"Social Insurance Agency",
        ISNUMBER(SEARCH("TUV Rheinland",M167)),"Certification",
        ISNUMBER(SEARCH("Al Arabia Ceramic",M167)),"Building Materials",
        ISNUMBER(SEARCH("National Company for Building and Marketing",M167)),"Parent Company",
        ISNUMBER(SEARCH("Athraa Holding",M167)),"Holding Company",
        ISNUMBER(SEARCH("Al Rasan",M167)),"Contracting",
        ISNUMBER(SEARCH("Raboua Al Haid",M167)),"Trading Company",
        ISNUMBER(SEARCH("Al Jazeera Paint",M167)),"Manufacturer",
        ISNUMBER(SEARCH("Rania Works Contracting",M167)),"Contracting",
        ISNUMBER(SEARCH("Bandar Jarallah",M167)),"Trading Establishment",
        ISNUMBER(SEARCH("RS Infratec Saudi",M167)),"Same Company",
        ISNUMBER(SEARCH("Payroll",M167)),"Bank",
        ISNUMBER(SEARCH("Expatriate",M167)),"Government",
        ISNUMBER(SEARCH("Unknown Sender",M167)),"Unknown",
        TRUE,"Unknown"
    ),
    "-"
)</f>
        <v>Parent Company</v>
      </c>
      <c r="AA167" s="25" t="str" cm="1">
        <f t="array" ref="AA167">_xlfn.IFNA(
    _xlfn.IFS(
        Z167="Lender","Financing",
        Z167="Accounting","Accounting",
        Z167="Shareholder","Individual",
        Z167="Equipment Rental","Equipment Rental",
        Z167="Telecom Company","Telecom",
        Z167="Manufacturer","Manufacturer",
        Z167="Trading Company","Trading And Transport",
        Z167="Trading Establishment","Trading",
        Z167="Airlines","Airlines",
        Z167="Health Insurance","Insurance",
        Z167="Consultant","Consultant",
        Z167="Tax Collection","Government",
        Z167="Travel Agency","Travel Agency",
        Z167="Medical Services","Medical Center",
        Z167="Online Payment Service","Payment Facilitator",
        Z167="Certification","Safety",
        Z167="Decor Company","Design",
        Z167="Customs","Customs",
        Z167="Government","Government",
        Z167="Service Provider","Service Provider",
        Z167="Water Company","Water Company",
        Z167="Contracting","Contracting",
        Z167="Car Show Room","Car Trader",
        Z167="Electricity Company","Electricity Company",
        Z167="Building Materials","Building Materials",
        Z167="Safety","Safety",
        Z167="Social Insurance Agency","Government Fund",
        Z167="Parent Company","Holding Company",
        Z167="Holding Company","Holding Company",
        Z167="Same Company","Construction",
        Z167="Bank","Bank",
        Z167="Unknown","Unknown",
        TRUE,"-"
    ),
    "-"
)</f>
        <v>Holding Company</v>
      </c>
      <c r="AB167" s="25" t="str">
        <f t="shared" si="9"/>
        <v>-</v>
      </c>
      <c r="AC167" s="25" t="str" cm="1">
        <f t="array" ref="AC167">_xlfn.IFNA(
    _xlfn.IFS(
        Z167="Shareholder","Shareholder",
        Z167="Same Company","Same Company",
        Z167="Bank","Bank",
        Z167="Government","Government",
        Z167="Social Insurance Agency","Government",
        Z167="Parent Company","Customer",
        Z167="Lender","Lender",
        Z167="Unknown","Unknown",
        ISNUMBER(SEARCH("Abdullah Abdulkarim",M167)),"Service Provider",
        ISNUMBER(SEARCH("Abdullah Fahad",M167)),"Service Provider",
        ISNUMBER(SEARCH("Advanced Equipments",M167)),"Supplier",
        ISNUMBER(SEARCH("Al Banuk Sana",M167)),"Supplier",
        ISNUMBER(SEARCH("Al Khaleefa Factory",M167)),"Supplier",
        ISNUMBER(SEARCH("Al Saadeh Trading",M167)),"Supplier",
        ISNUMBER(SEARCH("Al Zaehaan",M167)),"Supplier",
        ISNUMBER(SEARCH("Ali Abdullah K Al Darwish",M167)),"Service Provider",
        ISNUMBER(SEARCH("Bupa Arabia",M167)),"Insurance Company",
        ISNUMBER(SEARCH("Dar Fahoosaat",M167)),"Service Provider",
        ISNUMBER(SEARCH("General Authority of Zakat",M167)),"Tax Authority",
        ISNUMBER(SEARCH("Gulf Voyager",M167)),"Service Provider",
        ISNUMBER(SEARCH("Hopeway Trading",M167)),"Supplier",
        ISNUMBER(SEARCH("Interhealth Medical",M167)),"Customer",
        ISNUMBER(SEARCH("Ishaar",M167)),"Service Provider",
        ISNUMBER(SEARCH("ISO Arabia",M167)),"Service Provider",
        ISNUMBER(SEARCH("Khalid Saad Al Otaibi",M167)),"Supplier",
        ISNUMBER(SEARCH("MERAS for Decoration",M167)),"Supplier",
        ISNUMBER(SEARCH("Middle East Customs Clearance",M167)),"Service Provider",
        ISNUMBER(SEARCH("Ministry of Human Resources",M167)),"Regulatory Agency",
        ISNUMBER(SEARCH("My Business Services",M167)),"Service Provider",
        ISNUMBER(SEARCH("National Water Company",M167)),"Utility Provider",
        ISNUMBER(SEARCH("Rania Contracting",M167)),"Supplier",
        ISNUMBER(SEARCH("Sahab United Motors",M167)),"Supplier",
        ISNUMBER(SEARCH("Saudi Electric Company",M167)),"Utility Provider",
        ISNUMBER(SEARCH("Saudi Vetonit",M167)),"Supplier",
        ISNUMBER(SEARCH("Shomoul Eng",M167)),"Service Provider",
        ISNUMBER(SEARCH("STC",M167)),"Utility Provider",
        ISNUMBER(SEARCH("The General Organization for Social Insurance",M167)),"Social Insurance Agency",
        ISNUMBER(SEARCH("TUV Rheinland",M167)),"Service Provider",
        ISNUMBER(SEARCH("Al Arabia Ceramic",M167)),"Supplier",
        ISNUMBER(SEARCH("National Company for Building",M167)),"Customer",
        ISNUMBER(SEARCH("Athraa Holding",M167)),"Customer",
        ISNUMBER(SEARCH("Al Rasan",M167)),"Supplier",
        ISNUMBER(SEARCH("Raboua Al Haid",M167)),"Customer",
        ISNUMBER(SEARCH("Al Jazeera Paint",M167)),"Supplier",
        ISNUMBER(SEARCH("Rania Works Contracting",M167)),"Supplier",
        ISNUMBER(SEARCH("Bandar Jarallah",M167)),"Supplier",
        TRUE,"Supplier"
    ),
    "-"
)</f>
        <v>Customer</v>
      </c>
      <c r="AD167" s="25" t="str" cm="1">
        <f t="array" ref="AD167">_xlfn.IFNA(
    _xlfn.IFS(
        AC167="Same Company","High",
        AC167="Shareholder","High",
        AC167="Government","High",
        AC167="Bank","High",
        AC167="Lender","High",
        AC167="Unknown","Low",
        AC167="-","Low",
        TRUE,"Medium"
    ),
    "-"
)</f>
        <v>Medium</v>
      </c>
      <c r="AE167" s="25" t="str">
        <f t="shared" si="10"/>
        <v>-</v>
      </c>
      <c r="AF167" s="25" t="str" cm="1">
        <f t="array" ref="AF167">_xlfn.IFNA(
    _xlfn.IFS(
        K167="Credit",
            _xlfn.IFS(
                OR(ISNUMBER(SEARCH("Rejected",L167)),ISNUMBER(SEARCH("Returned",L167))),"Other Income",
                TRUE,"Revenue"
            ),
        K167="Debit",
            _xlfn.IFS(
                ISNUMBER(SEARCH("Payroll",L167)),"OPEX",
                ISNUMBER(SEARCH("Expatriate",L167)),"OPEX",
                ISNUMBER(SEARCH("Zakat",M167)),"ZATCA",
                ISNUMBER(SEARCH("General Organization for Social Insurance",M167)),"OPEX",
                ISNUMBER(SEARCH("Saudi Electric",M167)),"OPEX",
                ISNUMBER(SEARCH("STC",M167)),"OPEX",
                ISNUMBER(SEARCH("National Water",M167)),"OPEX",
                ISNUMBER(SEARCH("Bupa",M167)),"OPEX",
                ISNUMBER(SEARCH("Abdullah Abdulkarim",M167)),"OPEX",
                ISNUMBER(SEARCH("Abdullah Fahad",M167)),"OPEX",
                ISNUMBER(SEARCH("ISO Arabia",M167)),"OPEX",
                ISNUMBER(SEARCH("Gulf Voyager",M167)),"OPEX",
                ISNUMBER(SEARCH("Ministry",M167)),"OPEX",
                ISNUMBER(SEARCH("General Authority of Zakat",M167)),"ZATCA",
                ISNUMBER(SEARCH("Rejected",L167)),"Other Income",
                TRUE,"COGS"
            ),
        TRUE,"-"
    ),
    "-"
)</f>
        <v>Revenue</v>
      </c>
      <c r="AG167" s="25" t="str" cm="1">
        <f t="array" ref="AG167">_xlfn.IFNA(
    _xlfn.IFS(
        ISNUMBER(SEARCH("Payroll",L167)),"Payroll",
        ISNUMBER(SEARCH("Expatriate",L167)),"Government Fees",
        ISNUMBER(SEARCH("Zakat",M167)),"Zakat",
        ISNUMBER(SEARCH("Social Insurance",M167)),"Social Insurance",
        ISNUMBER(SEARCH("Saudi Electric",M167)),"Electricity",
        ISNUMBER(SEARCH("STC",M167)),"Telecom",
        ISNUMBER(SEARCH("National Water",M167)),"Water",
        ISNUMBER(SEARCH("Bupa",M167)),"Insurance",
        ISNUMBER(SEARCH("Gulf Voyager",M167)),"Travel",
        ISNUMBER(SEARCH("Ministry",M167)),"Government Fees",
        ISNUMBER(SEARCH("Abdullah Abdulkarim",M167)),"Consulting",
        ISNUMBER(SEARCH("Abdullah Fahad",M167)),"Accounting",
        ISNUMBER(SEARCH("ISO Arabia",M167)),"Consulting",
        ISNUMBER(SEARCH("Rejected",L167)),"Refund",
        AF167="COGS","Inventory Purchase",
        AF167="Revenue","Revenue",
        AF167="OPEX","Other",
        AF167="ZATCA","Zakat",
        TRUE,"-"
    ),
    "-"
)</f>
        <v>Revenue</v>
      </c>
      <c r="AH167" s="25" t="str" cm="1">
        <f t="array" ref="AH167">_xlfn.IFNA(
    _xlfn.IFS(
        AF167="-","Low",
        AF167="Other","Low",
        TRUE,"Medium"
    ),
    "-"
)</f>
        <v>Medium</v>
      </c>
      <c r="AI167" s="25" t="str">
        <f t="shared" si="11"/>
        <v>-</v>
      </c>
    </row>
    <row r="168" spans="1:35" x14ac:dyDescent="0.25">
      <c r="A168" s="10">
        <v>59</v>
      </c>
      <c r="B168" s="10" t="s">
        <v>35</v>
      </c>
      <c r="C168" s="10" t="s">
        <v>36</v>
      </c>
      <c r="D168" s="10" t="s">
        <v>37</v>
      </c>
      <c r="E168" s="10" t="s">
        <v>38</v>
      </c>
      <c r="F168" s="11" t="s">
        <v>39</v>
      </c>
      <c r="G168" s="10" t="s">
        <v>40</v>
      </c>
      <c r="H168" s="12">
        <v>44994</v>
      </c>
      <c r="I168" s="20">
        <v>300745.42</v>
      </c>
      <c r="J168" s="20">
        <v>300000</v>
      </c>
      <c r="K168" s="10" t="s">
        <v>116</v>
      </c>
      <c r="L168" s="9" t="s">
        <v>230</v>
      </c>
      <c r="M168" s="9" t="s">
        <v>231</v>
      </c>
      <c r="N168" s="9" t="s">
        <v>232</v>
      </c>
      <c r="O168" s="9" t="s">
        <v>233</v>
      </c>
      <c r="P168" s="15">
        <v>44994</v>
      </c>
      <c r="Q168" s="9" t="s">
        <v>260</v>
      </c>
      <c r="R168" s="16">
        <v>300000</v>
      </c>
      <c r="U168" s="9" t="s">
        <v>55</v>
      </c>
      <c r="V168" s="24" t="str" cm="1">
        <f t="array" ref="V168">_xlfn.IFNA(
    _xlfn.IFS(
        ISNUMBER(SEARCH("Fast Outgoing Transfer",L168)),"Transfer",
        ISNUMBER(SEARCH("Incoming Fast Transfer",L168)),"Transfer",
        ISNUMBER(SEARCH("Outgoing International Transfer",L168)),"Transfer",
        ISNUMBER(SEARCH("Bill Payment",L168)),"SADAD",
        ISNUMBER(SEARCH("Payroll",L168)),"Payroll",
        ISNUMBER(SEARCH("Cash Deposit",L168)),"Cash",
        ISNUMBER(SEARCH("Internal Transfer",L168)),"Transfer",
        ISNUMBER(SEARCH("Expatriate Services Payment",L168)),"SADAD",
        ISNUMBER(SEARCH("Rejected",L168)),"Transfer"
    ),
    "-"
)</f>
        <v>Transfer</v>
      </c>
      <c r="W168" s="25" t="str" cm="1">
        <f t="array" ref="W168">_xlfn.IFNA(
    _xlfn.IFS(
        AND(V168="Transfer",ISNUMBER(SEARCH("RIYAD BANK",L168))),"External FI",
        AND(V168="Transfer",ISNUMBER(SEARCH("Al Ahli",L168))),"External FI",
        AND(V168="Transfer",ISNUMBER(SEARCH("CIB via",L168))),"Local Transfer",
        AND(V168="Transfer",ISNUMBER(SEARCH("CIB)",L168))),"Local Transfer",
        AND(V168="Transfer",ISNUMBER(SEARCH("SMRT",L168))),"Local Transfer",
        AND(V168="Transfer",ISNUMBER(SEARCH("Al Murabba",L168))),"Local Transfer",
        AND(V168="Transfer",ISNUMBER(SEARCH("Internal Transfer",L168))),"Same FI",
        AND(V168="Transfer",ISNUMBER(SEARCH("Rejected",L168))),"Failed",
        V168="SADAD",
            _xlfn.IFS(
                ISNUMBER(SEARCH("Expatriate",L168)),"Expat Fees",
                TRUE,"Online Payment"
            ),
        V168="Payroll","Payroll",
        V168="Cash","Deposit",
        TRUE,"-"
    ),
    "-"
)</f>
        <v>External FI</v>
      </c>
      <c r="X168" s="25" t="str" cm="1">
        <f t="array" ref="X168">_xlfn.IFNA(
    _xlfn.IFS(
        V168="-","Low",
        W168="-","Low",
        TRUE,"High"
    ),
    "-"
)</f>
        <v>High</v>
      </c>
      <c r="Y168" s="25" t="str">
        <f t="shared" si="8"/>
        <v>-</v>
      </c>
      <c r="Z168" s="25" t="str" cm="1">
        <f t="array" ref="Z168">_xlfn.IFNA(
    _xlfn.IFS(
        ISNUMBER(SEARCH("Abdul Latif Jameel",M168)),"Lender",
        ISNUMBER(SEARCH("Abdullah Abdulkarim Al Sudais",M168)),"Accounting",
        ISNUMBER(SEARCH("Abdullah Fahad for Accounting",M168)),"Accounting",
        ISNUMBER(SEARCH("Abdullah Rashid Shaikh",M168)),"Shareholder",
        ISNUMBER(SEARCH("Advanced Equipments",M168)),"Equipment Rental",
        ISNUMBER(SEARCH("Al Banuk Sana",M168)),"Telecom Company",
        ISNUMBER(SEARCH("Al Khaleefa Factory",M168)),"Manufacturer",
        ISNUMBER(SEARCH("Al Saadeh Trading",M168)),"Trading Company",
        ISNUMBER(SEARCH("Al Zaehaan",M168)),"Trading Company",
        ISNUMBER(SEARCH("Ali Abdullah K Al Darwish",M168)),"Airlines",
        ISNUMBER(SEARCH("Bupa Arabia",M168)),"Health Insurance",
        ISNUMBER(SEARCH("Dar Fahoosaat",M168)),"Consultant",
        ISNUMBER(SEARCH("General Authority of Zakat",M168)),"Tax Collection",
        ISNUMBER(SEARCH("Gulf Voyager",M168)),"Travel Agency",
        ISNUMBER(SEARCH("Hopeway Trading",M168)),"Trading Company",
        ISNUMBER(SEARCH("Interhealth Medical",M168)),"Medical Services",
        ISNUMBER(SEARCH("Ishaar",M168)),"Online Payment Service",
        ISNUMBER(SEARCH("ISO Arabia",M168)),"Certification",
        ISNUMBER(SEARCH("Khalid Saad Al Otaibi",M168)),"Trading Company",
        ISNUMBER(SEARCH("MERAS for Decoration",M168)),"Decor Company",
        ISNUMBER(SEARCH("Middle East Customs Clearance",M168)),"Customs",
        ISNUMBER(SEARCH("Ministry of Human Resources",M168)),"Government",
        ISNUMBER(SEARCH("My Business Services",M168)),"Service Provider",
        ISNUMBER(SEARCH("National Water Company",M168)),"Water Company",
        ISNUMBER(SEARCH("Rania Contracting",M168)),"Contracting",
        ISNUMBER(SEARCH("Rashid Ali Sheikh",M168)),"Shareholder",
        ISNUMBER(SEARCH("Sahab United Motors",M168)),"Car Show Room",
        ISNUMBER(SEARCH("Saud Mohammed Al Tamimi",M168)),"Shareholder",
        ISNUMBER(SEARCH("Saud Mohammed Tamimi",M168)),"Shareholder",
        ISNUMBER(SEARCH("Saudi Electric Company",M168)),"Electricity Company",
        ISNUMBER(SEARCH("Saudi Vetonit",M168)),"Building Materials",
        ISNUMBER(SEARCH("Shomoul Eng",M168)),"Safety",
        ISNUMBER(SEARCH("STC",M168)),"Telecom Company",
        ISNUMBER(SEARCH("The General Organization for Social Insurance",M168)),"Social Insurance Agency",
        ISNUMBER(SEARCH("TUV Rheinland",M168)),"Certification",
        ISNUMBER(SEARCH("Al Arabia Ceramic",M168)),"Building Materials",
        ISNUMBER(SEARCH("National Company for Building and Marketing",M168)),"Parent Company",
        ISNUMBER(SEARCH("Athraa Holding",M168)),"Holding Company",
        ISNUMBER(SEARCH("Al Rasan",M168)),"Contracting",
        ISNUMBER(SEARCH("Raboua Al Haid",M168)),"Trading Company",
        ISNUMBER(SEARCH("Al Jazeera Paint",M168)),"Manufacturer",
        ISNUMBER(SEARCH("Rania Works Contracting",M168)),"Contracting",
        ISNUMBER(SEARCH("Bandar Jarallah",M168)),"Trading Establishment",
        ISNUMBER(SEARCH("RS Infratec Saudi",M168)),"Same Company",
        ISNUMBER(SEARCH("Payroll",M168)),"Bank",
        ISNUMBER(SEARCH("Expatriate",M168)),"Government",
        ISNUMBER(SEARCH("Unknown Sender",M168)),"Unknown",
        TRUE,"Unknown"
    ),
    "-"
)</f>
        <v>Parent Company</v>
      </c>
      <c r="AA168" s="25" t="str" cm="1">
        <f t="array" ref="AA168">_xlfn.IFNA(
    _xlfn.IFS(
        Z168="Lender","Financing",
        Z168="Accounting","Accounting",
        Z168="Shareholder","Individual",
        Z168="Equipment Rental","Equipment Rental",
        Z168="Telecom Company","Telecom",
        Z168="Manufacturer","Manufacturer",
        Z168="Trading Company","Trading And Transport",
        Z168="Trading Establishment","Trading",
        Z168="Airlines","Airlines",
        Z168="Health Insurance","Insurance",
        Z168="Consultant","Consultant",
        Z168="Tax Collection","Government",
        Z168="Travel Agency","Travel Agency",
        Z168="Medical Services","Medical Center",
        Z168="Online Payment Service","Payment Facilitator",
        Z168="Certification","Safety",
        Z168="Decor Company","Design",
        Z168="Customs","Customs",
        Z168="Government","Government",
        Z168="Service Provider","Service Provider",
        Z168="Water Company","Water Company",
        Z168="Contracting","Contracting",
        Z168="Car Show Room","Car Trader",
        Z168="Electricity Company","Electricity Company",
        Z168="Building Materials","Building Materials",
        Z168="Safety","Safety",
        Z168="Social Insurance Agency","Government Fund",
        Z168="Parent Company","Holding Company",
        Z168="Holding Company","Holding Company",
        Z168="Same Company","Construction",
        Z168="Bank","Bank",
        Z168="Unknown","Unknown",
        TRUE,"-"
    ),
    "-"
)</f>
        <v>Holding Company</v>
      </c>
      <c r="AB168" s="25" t="str">
        <f t="shared" si="9"/>
        <v>-</v>
      </c>
      <c r="AC168" s="25" t="str" cm="1">
        <f t="array" ref="AC168">_xlfn.IFNA(
    _xlfn.IFS(
        Z168="Shareholder","Shareholder",
        Z168="Same Company","Same Company",
        Z168="Bank","Bank",
        Z168="Government","Government",
        Z168="Social Insurance Agency","Government",
        Z168="Parent Company","Customer",
        Z168="Lender","Lender",
        Z168="Unknown","Unknown",
        ISNUMBER(SEARCH("Abdullah Abdulkarim",M168)),"Service Provider",
        ISNUMBER(SEARCH("Abdullah Fahad",M168)),"Service Provider",
        ISNUMBER(SEARCH("Advanced Equipments",M168)),"Supplier",
        ISNUMBER(SEARCH("Al Banuk Sana",M168)),"Supplier",
        ISNUMBER(SEARCH("Al Khaleefa Factory",M168)),"Supplier",
        ISNUMBER(SEARCH("Al Saadeh Trading",M168)),"Supplier",
        ISNUMBER(SEARCH("Al Zaehaan",M168)),"Supplier",
        ISNUMBER(SEARCH("Ali Abdullah K Al Darwish",M168)),"Service Provider",
        ISNUMBER(SEARCH("Bupa Arabia",M168)),"Insurance Company",
        ISNUMBER(SEARCH("Dar Fahoosaat",M168)),"Service Provider",
        ISNUMBER(SEARCH("General Authority of Zakat",M168)),"Tax Authority",
        ISNUMBER(SEARCH("Gulf Voyager",M168)),"Service Provider",
        ISNUMBER(SEARCH("Hopeway Trading",M168)),"Supplier",
        ISNUMBER(SEARCH("Interhealth Medical",M168)),"Customer",
        ISNUMBER(SEARCH("Ishaar",M168)),"Service Provider",
        ISNUMBER(SEARCH("ISO Arabia",M168)),"Service Provider",
        ISNUMBER(SEARCH("Khalid Saad Al Otaibi",M168)),"Supplier",
        ISNUMBER(SEARCH("MERAS for Decoration",M168)),"Supplier",
        ISNUMBER(SEARCH("Middle East Customs Clearance",M168)),"Service Provider",
        ISNUMBER(SEARCH("Ministry of Human Resources",M168)),"Regulatory Agency",
        ISNUMBER(SEARCH("My Business Services",M168)),"Service Provider",
        ISNUMBER(SEARCH("National Water Company",M168)),"Utility Provider",
        ISNUMBER(SEARCH("Rania Contracting",M168)),"Supplier",
        ISNUMBER(SEARCH("Sahab United Motors",M168)),"Supplier",
        ISNUMBER(SEARCH("Saudi Electric Company",M168)),"Utility Provider",
        ISNUMBER(SEARCH("Saudi Vetonit",M168)),"Supplier",
        ISNUMBER(SEARCH("Shomoul Eng",M168)),"Service Provider",
        ISNUMBER(SEARCH("STC",M168)),"Utility Provider",
        ISNUMBER(SEARCH("The General Organization for Social Insurance",M168)),"Social Insurance Agency",
        ISNUMBER(SEARCH("TUV Rheinland",M168)),"Service Provider",
        ISNUMBER(SEARCH("Al Arabia Ceramic",M168)),"Supplier",
        ISNUMBER(SEARCH("National Company for Building",M168)),"Customer",
        ISNUMBER(SEARCH("Athraa Holding",M168)),"Customer",
        ISNUMBER(SEARCH("Al Rasan",M168)),"Supplier",
        ISNUMBER(SEARCH("Raboua Al Haid",M168)),"Customer",
        ISNUMBER(SEARCH("Al Jazeera Paint",M168)),"Supplier",
        ISNUMBER(SEARCH("Rania Works Contracting",M168)),"Supplier",
        ISNUMBER(SEARCH("Bandar Jarallah",M168)),"Supplier",
        TRUE,"Supplier"
    ),
    "-"
)</f>
        <v>Customer</v>
      </c>
      <c r="AD168" s="25" t="str" cm="1">
        <f t="array" ref="AD168">_xlfn.IFNA(
    _xlfn.IFS(
        AC168="Same Company","High",
        AC168="Shareholder","High",
        AC168="Government","High",
        AC168="Bank","High",
        AC168="Lender","High",
        AC168="Unknown","Low",
        AC168="-","Low",
        TRUE,"Medium"
    ),
    "-"
)</f>
        <v>Medium</v>
      </c>
      <c r="AE168" s="25" t="str">
        <f t="shared" si="10"/>
        <v>-</v>
      </c>
      <c r="AF168" s="25" t="str" cm="1">
        <f t="array" ref="AF168">_xlfn.IFNA(
    _xlfn.IFS(
        K168="Credit",
            _xlfn.IFS(
                OR(ISNUMBER(SEARCH("Rejected",L168)),ISNUMBER(SEARCH("Returned",L168))),"Other Income",
                TRUE,"Revenue"
            ),
        K168="Debit",
            _xlfn.IFS(
                ISNUMBER(SEARCH("Payroll",L168)),"OPEX",
                ISNUMBER(SEARCH("Expatriate",L168)),"OPEX",
                ISNUMBER(SEARCH("Zakat",M168)),"ZATCA",
                ISNUMBER(SEARCH("General Organization for Social Insurance",M168)),"OPEX",
                ISNUMBER(SEARCH("Saudi Electric",M168)),"OPEX",
                ISNUMBER(SEARCH("STC",M168)),"OPEX",
                ISNUMBER(SEARCH("National Water",M168)),"OPEX",
                ISNUMBER(SEARCH("Bupa",M168)),"OPEX",
                ISNUMBER(SEARCH("Abdullah Abdulkarim",M168)),"OPEX",
                ISNUMBER(SEARCH("Abdullah Fahad",M168)),"OPEX",
                ISNUMBER(SEARCH("ISO Arabia",M168)),"OPEX",
                ISNUMBER(SEARCH("Gulf Voyager",M168)),"OPEX",
                ISNUMBER(SEARCH("Ministry",M168)),"OPEX",
                ISNUMBER(SEARCH("General Authority of Zakat",M168)),"ZATCA",
                ISNUMBER(SEARCH("Rejected",L168)),"Other Income",
                TRUE,"COGS"
            ),
        TRUE,"-"
    ),
    "-"
)</f>
        <v>Revenue</v>
      </c>
      <c r="AG168" s="25" t="str" cm="1">
        <f t="array" ref="AG168">_xlfn.IFNA(
    _xlfn.IFS(
        ISNUMBER(SEARCH("Payroll",L168)),"Payroll",
        ISNUMBER(SEARCH("Expatriate",L168)),"Government Fees",
        ISNUMBER(SEARCH("Zakat",M168)),"Zakat",
        ISNUMBER(SEARCH("Social Insurance",M168)),"Social Insurance",
        ISNUMBER(SEARCH("Saudi Electric",M168)),"Electricity",
        ISNUMBER(SEARCH("STC",M168)),"Telecom",
        ISNUMBER(SEARCH("National Water",M168)),"Water",
        ISNUMBER(SEARCH("Bupa",M168)),"Insurance",
        ISNUMBER(SEARCH("Gulf Voyager",M168)),"Travel",
        ISNUMBER(SEARCH("Ministry",M168)),"Government Fees",
        ISNUMBER(SEARCH("Abdullah Abdulkarim",M168)),"Consulting",
        ISNUMBER(SEARCH("Abdullah Fahad",M168)),"Accounting",
        ISNUMBER(SEARCH("ISO Arabia",M168)),"Consulting",
        ISNUMBER(SEARCH("Rejected",L168)),"Refund",
        AF168="COGS","Inventory Purchase",
        AF168="Revenue","Revenue",
        AF168="OPEX","Other",
        AF168="ZATCA","Zakat",
        TRUE,"-"
    ),
    "-"
)</f>
        <v>Revenue</v>
      </c>
      <c r="AH168" s="25" t="str" cm="1">
        <f t="array" ref="AH168">_xlfn.IFNA(
    _xlfn.IFS(
        AF168="-","Low",
        AF168="Other","Low",
        TRUE,"Medium"
    ),
    "-"
)</f>
        <v>Medium</v>
      </c>
      <c r="AI168" s="25" t="str">
        <f t="shared" si="11"/>
        <v>-</v>
      </c>
    </row>
    <row r="169" spans="1:35" x14ac:dyDescent="0.25">
      <c r="A169" s="10">
        <v>59</v>
      </c>
      <c r="B169" s="10" t="s">
        <v>35</v>
      </c>
      <c r="C169" s="10" t="s">
        <v>36</v>
      </c>
      <c r="D169" s="10" t="s">
        <v>37</v>
      </c>
      <c r="E169" s="10" t="s">
        <v>38</v>
      </c>
      <c r="F169" s="11" t="s">
        <v>39</v>
      </c>
      <c r="G169" s="10" t="s">
        <v>40</v>
      </c>
      <c r="H169" s="12">
        <v>44998</v>
      </c>
      <c r="I169" s="20">
        <v>207381.57</v>
      </c>
      <c r="J169" s="20">
        <v>200000</v>
      </c>
      <c r="K169" s="10" t="s">
        <v>116</v>
      </c>
      <c r="L169" s="9" t="s">
        <v>224</v>
      </c>
      <c r="M169" s="9" t="s">
        <v>231</v>
      </c>
      <c r="O169" s="9" t="s">
        <v>226</v>
      </c>
      <c r="P169" s="15">
        <v>44998</v>
      </c>
      <c r="Q169" s="9" t="s">
        <v>261</v>
      </c>
      <c r="R169" s="16">
        <v>200000</v>
      </c>
      <c r="U169" s="9" t="s">
        <v>55</v>
      </c>
      <c r="V169" s="24" t="str" cm="1">
        <f t="array" ref="V169">_xlfn.IFNA(
    _xlfn.IFS(
        ISNUMBER(SEARCH("Fast Outgoing Transfer",L169)),"Transfer",
        ISNUMBER(SEARCH("Incoming Fast Transfer",L169)),"Transfer",
        ISNUMBER(SEARCH("Outgoing International Transfer",L169)),"Transfer",
        ISNUMBER(SEARCH("Bill Payment",L169)),"SADAD",
        ISNUMBER(SEARCH("Payroll",L169)),"Payroll",
        ISNUMBER(SEARCH("Cash Deposit",L169)),"Cash",
        ISNUMBER(SEARCH("Internal Transfer",L169)),"Transfer",
        ISNUMBER(SEARCH("Expatriate Services Payment",L169)),"SADAD",
        ISNUMBER(SEARCH("Rejected",L169)),"Transfer"
    ),
    "-"
)</f>
        <v>Transfer</v>
      </c>
      <c r="W169" s="25" t="str" cm="1">
        <f t="array" ref="W169">_xlfn.IFNA(
    _xlfn.IFS(
        AND(V169="Transfer",ISNUMBER(SEARCH("RIYAD BANK",L169))),"External FI",
        AND(V169="Transfer",ISNUMBER(SEARCH("Al Ahli",L169))),"External FI",
        AND(V169="Transfer",ISNUMBER(SEARCH("CIB via",L169))),"Local Transfer",
        AND(V169="Transfer",ISNUMBER(SEARCH("CIB)",L169))),"Local Transfer",
        AND(V169="Transfer",ISNUMBER(SEARCH("SMRT",L169))),"Local Transfer",
        AND(V169="Transfer",ISNUMBER(SEARCH("Al Murabba",L169))),"Local Transfer",
        AND(V169="Transfer",ISNUMBER(SEARCH("Internal Transfer",L169))),"Same FI",
        AND(V169="Transfer",ISNUMBER(SEARCH("Rejected",L169))),"Failed",
        V169="SADAD",
            _xlfn.IFS(
                ISNUMBER(SEARCH("Expatriate",L169)),"Expat Fees",
                TRUE,"Online Payment"
            ),
        V169="Payroll","Payroll",
        V169="Cash","Deposit",
        TRUE,"-"
    ),
    "-"
)</f>
        <v>Local Transfer</v>
      </c>
      <c r="X169" s="25" t="str" cm="1">
        <f t="array" ref="X169">_xlfn.IFNA(
    _xlfn.IFS(
        V169="-","Low",
        W169="-","Low",
        TRUE,"High"
    ),
    "-"
)</f>
        <v>High</v>
      </c>
      <c r="Y169" s="25" t="str">
        <f t="shared" si="8"/>
        <v>-</v>
      </c>
      <c r="Z169" s="25" t="str" cm="1">
        <f t="array" ref="Z169">_xlfn.IFNA(
    _xlfn.IFS(
        ISNUMBER(SEARCH("Abdul Latif Jameel",M169)),"Lender",
        ISNUMBER(SEARCH("Abdullah Abdulkarim Al Sudais",M169)),"Accounting",
        ISNUMBER(SEARCH("Abdullah Fahad for Accounting",M169)),"Accounting",
        ISNUMBER(SEARCH("Abdullah Rashid Shaikh",M169)),"Shareholder",
        ISNUMBER(SEARCH("Advanced Equipments",M169)),"Equipment Rental",
        ISNUMBER(SEARCH("Al Banuk Sana",M169)),"Telecom Company",
        ISNUMBER(SEARCH("Al Khaleefa Factory",M169)),"Manufacturer",
        ISNUMBER(SEARCH("Al Saadeh Trading",M169)),"Trading Company",
        ISNUMBER(SEARCH("Al Zaehaan",M169)),"Trading Company",
        ISNUMBER(SEARCH("Ali Abdullah K Al Darwish",M169)),"Airlines",
        ISNUMBER(SEARCH("Bupa Arabia",M169)),"Health Insurance",
        ISNUMBER(SEARCH("Dar Fahoosaat",M169)),"Consultant",
        ISNUMBER(SEARCH("General Authority of Zakat",M169)),"Tax Collection",
        ISNUMBER(SEARCH("Gulf Voyager",M169)),"Travel Agency",
        ISNUMBER(SEARCH("Hopeway Trading",M169)),"Trading Company",
        ISNUMBER(SEARCH("Interhealth Medical",M169)),"Medical Services",
        ISNUMBER(SEARCH("Ishaar",M169)),"Online Payment Service",
        ISNUMBER(SEARCH("ISO Arabia",M169)),"Certification",
        ISNUMBER(SEARCH("Khalid Saad Al Otaibi",M169)),"Trading Company",
        ISNUMBER(SEARCH("MERAS for Decoration",M169)),"Decor Company",
        ISNUMBER(SEARCH("Middle East Customs Clearance",M169)),"Customs",
        ISNUMBER(SEARCH("Ministry of Human Resources",M169)),"Government",
        ISNUMBER(SEARCH("My Business Services",M169)),"Service Provider",
        ISNUMBER(SEARCH("National Water Company",M169)),"Water Company",
        ISNUMBER(SEARCH("Rania Contracting",M169)),"Contracting",
        ISNUMBER(SEARCH("Rashid Ali Sheikh",M169)),"Shareholder",
        ISNUMBER(SEARCH("Sahab United Motors",M169)),"Car Show Room",
        ISNUMBER(SEARCH("Saud Mohammed Al Tamimi",M169)),"Shareholder",
        ISNUMBER(SEARCH("Saud Mohammed Tamimi",M169)),"Shareholder",
        ISNUMBER(SEARCH("Saudi Electric Company",M169)),"Electricity Company",
        ISNUMBER(SEARCH("Saudi Vetonit",M169)),"Building Materials",
        ISNUMBER(SEARCH("Shomoul Eng",M169)),"Safety",
        ISNUMBER(SEARCH("STC",M169)),"Telecom Company",
        ISNUMBER(SEARCH("The General Organization for Social Insurance",M169)),"Social Insurance Agency",
        ISNUMBER(SEARCH("TUV Rheinland",M169)),"Certification",
        ISNUMBER(SEARCH("Al Arabia Ceramic",M169)),"Building Materials",
        ISNUMBER(SEARCH("National Company for Building and Marketing",M169)),"Parent Company",
        ISNUMBER(SEARCH("Athraa Holding",M169)),"Holding Company",
        ISNUMBER(SEARCH("Al Rasan",M169)),"Contracting",
        ISNUMBER(SEARCH("Raboua Al Haid",M169)),"Trading Company",
        ISNUMBER(SEARCH("Al Jazeera Paint",M169)),"Manufacturer",
        ISNUMBER(SEARCH("Rania Works Contracting",M169)),"Contracting",
        ISNUMBER(SEARCH("Bandar Jarallah",M169)),"Trading Establishment",
        ISNUMBER(SEARCH("RS Infratec Saudi",M169)),"Same Company",
        ISNUMBER(SEARCH("Payroll",M169)),"Bank",
        ISNUMBER(SEARCH("Expatriate",M169)),"Government",
        ISNUMBER(SEARCH("Unknown Sender",M169)),"Unknown",
        TRUE,"Unknown"
    ),
    "-"
)</f>
        <v>Parent Company</v>
      </c>
      <c r="AA169" s="25" t="str" cm="1">
        <f t="array" ref="AA169">_xlfn.IFNA(
    _xlfn.IFS(
        Z169="Lender","Financing",
        Z169="Accounting","Accounting",
        Z169="Shareholder","Individual",
        Z169="Equipment Rental","Equipment Rental",
        Z169="Telecom Company","Telecom",
        Z169="Manufacturer","Manufacturer",
        Z169="Trading Company","Trading And Transport",
        Z169="Trading Establishment","Trading",
        Z169="Airlines","Airlines",
        Z169="Health Insurance","Insurance",
        Z169="Consultant","Consultant",
        Z169="Tax Collection","Government",
        Z169="Travel Agency","Travel Agency",
        Z169="Medical Services","Medical Center",
        Z169="Online Payment Service","Payment Facilitator",
        Z169="Certification","Safety",
        Z169="Decor Company","Design",
        Z169="Customs","Customs",
        Z169="Government","Government",
        Z169="Service Provider","Service Provider",
        Z169="Water Company","Water Company",
        Z169="Contracting","Contracting",
        Z169="Car Show Room","Car Trader",
        Z169="Electricity Company","Electricity Company",
        Z169="Building Materials","Building Materials",
        Z169="Safety","Safety",
        Z169="Social Insurance Agency","Government Fund",
        Z169="Parent Company","Holding Company",
        Z169="Holding Company","Holding Company",
        Z169="Same Company","Construction",
        Z169="Bank","Bank",
        Z169="Unknown","Unknown",
        TRUE,"-"
    ),
    "-"
)</f>
        <v>Holding Company</v>
      </c>
      <c r="AB169" s="25" t="str">
        <f t="shared" si="9"/>
        <v>-</v>
      </c>
      <c r="AC169" s="25" t="str" cm="1">
        <f t="array" ref="AC169">_xlfn.IFNA(
    _xlfn.IFS(
        Z169="Shareholder","Shareholder",
        Z169="Same Company","Same Company",
        Z169="Bank","Bank",
        Z169="Government","Government",
        Z169="Social Insurance Agency","Government",
        Z169="Parent Company","Customer",
        Z169="Lender","Lender",
        Z169="Unknown","Unknown",
        ISNUMBER(SEARCH("Abdullah Abdulkarim",M169)),"Service Provider",
        ISNUMBER(SEARCH("Abdullah Fahad",M169)),"Service Provider",
        ISNUMBER(SEARCH("Advanced Equipments",M169)),"Supplier",
        ISNUMBER(SEARCH("Al Banuk Sana",M169)),"Supplier",
        ISNUMBER(SEARCH("Al Khaleefa Factory",M169)),"Supplier",
        ISNUMBER(SEARCH("Al Saadeh Trading",M169)),"Supplier",
        ISNUMBER(SEARCH("Al Zaehaan",M169)),"Supplier",
        ISNUMBER(SEARCH("Ali Abdullah K Al Darwish",M169)),"Service Provider",
        ISNUMBER(SEARCH("Bupa Arabia",M169)),"Insurance Company",
        ISNUMBER(SEARCH("Dar Fahoosaat",M169)),"Service Provider",
        ISNUMBER(SEARCH("General Authority of Zakat",M169)),"Tax Authority",
        ISNUMBER(SEARCH("Gulf Voyager",M169)),"Service Provider",
        ISNUMBER(SEARCH("Hopeway Trading",M169)),"Supplier",
        ISNUMBER(SEARCH("Interhealth Medical",M169)),"Customer",
        ISNUMBER(SEARCH("Ishaar",M169)),"Service Provider",
        ISNUMBER(SEARCH("ISO Arabia",M169)),"Service Provider",
        ISNUMBER(SEARCH("Khalid Saad Al Otaibi",M169)),"Supplier",
        ISNUMBER(SEARCH("MERAS for Decoration",M169)),"Supplier",
        ISNUMBER(SEARCH("Middle East Customs Clearance",M169)),"Service Provider",
        ISNUMBER(SEARCH("Ministry of Human Resources",M169)),"Regulatory Agency",
        ISNUMBER(SEARCH("My Business Services",M169)),"Service Provider",
        ISNUMBER(SEARCH("National Water Company",M169)),"Utility Provider",
        ISNUMBER(SEARCH("Rania Contracting",M169)),"Supplier",
        ISNUMBER(SEARCH("Sahab United Motors",M169)),"Supplier",
        ISNUMBER(SEARCH("Saudi Electric Company",M169)),"Utility Provider",
        ISNUMBER(SEARCH("Saudi Vetonit",M169)),"Supplier",
        ISNUMBER(SEARCH("Shomoul Eng",M169)),"Service Provider",
        ISNUMBER(SEARCH("STC",M169)),"Utility Provider",
        ISNUMBER(SEARCH("The General Organization for Social Insurance",M169)),"Social Insurance Agency",
        ISNUMBER(SEARCH("TUV Rheinland",M169)),"Service Provider",
        ISNUMBER(SEARCH("Al Arabia Ceramic",M169)),"Supplier",
        ISNUMBER(SEARCH("National Company for Building",M169)),"Customer",
        ISNUMBER(SEARCH("Athraa Holding",M169)),"Customer",
        ISNUMBER(SEARCH("Al Rasan",M169)),"Supplier",
        ISNUMBER(SEARCH("Raboua Al Haid",M169)),"Customer",
        ISNUMBER(SEARCH("Al Jazeera Paint",M169)),"Supplier",
        ISNUMBER(SEARCH("Rania Works Contracting",M169)),"Supplier",
        ISNUMBER(SEARCH("Bandar Jarallah",M169)),"Supplier",
        TRUE,"Supplier"
    ),
    "-"
)</f>
        <v>Customer</v>
      </c>
      <c r="AD169" s="25" t="str" cm="1">
        <f t="array" ref="AD169">_xlfn.IFNA(
    _xlfn.IFS(
        AC169="Same Company","High",
        AC169="Shareholder","High",
        AC169="Government","High",
        AC169="Bank","High",
        AC169="Lender","High",
        AC169="Unknown","Low",
        AC169="-","Low",
        TRUE,"Medium"
    ),
    "-"
)</f>
        <v>Medium</v>
      </c>
      <c r="AE169" s="25" t="str">
        <f t="shared" si="10"/>
        <v>-</v>
      </c>
      <c r="AF169" s="25" t="str" cm="1">
        <f t="array" ref="AF169">_xlfn.IFNA(
    _xlfn.IFS(
        K169="Credit",
            _xlfn.IFS(
                OR(ISNUMBER(SEARCH("Rejected",L169)),ISNUMBER(SEARCH("Returned",L169))),"Other Income",
                TRUE,"Revenue"
            ),
        K169="Debit",
            _xlfn.IFS(
                ISNUMBER(SEARCH("Payroll",L169)),"OPEX",
                ISNUMBER(SEARCH("Expatriate",L169)),"OPEX",
                ISNUMBER(SEARCH("Zakat",M169)),"ZATCA",
                ISNUMBER(SEARCH("General Organization for Social Insurance",M169)),"OPEX",
                ISNUMBER(SEARCH("Saudi Electric",M169)),"OPEX",
                ISNUMBER(SEARCH("STC",M169)),"OPEX",
                ISNUMBER(SEARCH("National Water",M169)),"OPEX",
                ISNUMBER(SEARCH("Bupa",M169)),"OPEX",
                ISNUMBER(SEARCH("Abdullah Abdulkarim",M169)),"OPEX",
                ISNUMBER(SEARCH("Abdullah Fahad",M169)),"OPEX",
                ISNUMBER(SEARCH("ISO Arabia",M169)),"OPEX",
                ISNUMBER(SEARCH("Gulf Voyager",M169)),"OPEX",
                ISNUMBER(SEARCH("Ministry",M169)),"OPEX",
                ISNUMBER(SEARCH("General Authority of Zakat",M169)),"ZATCA",
                ISNUMBER(SEARCH("Rejected",L169)),"Other Income",
                TRUE,"COGS"
            ),
        TRUE,"-"
    ),
    "-"
)</f>
        <v>Revenue</v>
      </c>
      <c r="AG169" s="25" t="str" cm="1">
        <f t="array" ref="AG169">_xlfn.IFNA(
    _xlfn.IFS(
        ISNUMBER(SEARCH("Payroll",L169)),"Payroll",
        ISNUMBER(SEARCH("Expatriate",L169)),"Government Fees",
        ISNUMBER(SEARCH("Zakat",M169)),"Zakat",
        ISNUMBER(SEARCH("Social Insurance",M169)),"Social Insurance",
        ISNUMBER(SEARCH("Saudi Electric",M169)),"Electricity",
        ISNUMBER(SEARCH("STC",M169)),"Telecom",
        ISNUMBER(SEARCH("National Water",M169)),"Water",
        ISNUMBER(SEARCH("Bupa",M169)),"Insurance",
        ISNUMBER(SEARCH("Gulf Voyager",M169)),"Travel",
        ISNUMBER(SEARCH("Ministry",M169)),"Government Fees",
        ISNUMBER(SEARCH("Abdullah Abdulkarim",M169)),"Consulting",
        ISNUMBER(SEARCH("Abdullah Fahad",M169)),"Accounting",
        ISNUMBER(SEARCH("ISO Arabia",M169)),"Consulting",
        ISNUMBER(SEARCH("Rejected",L169)),"Refund",
        AF169="COGS","Inventory Purchase",
        AF169="Revenue","Revenue",
        AF169="OPEX","Other",
        AF169="ZATCA","Zakat",
        TRUE,"-"
    ),
    "-"
)</f>
        <v>Revenue</v>
      </c>
      <c r="AH169" s="25" t="str" cm="1">
        <f t="array" ref="AH169">_xlfn.IFNA(
    _xlfn.IFS(
        AF169="-","Low",
        AF169="Other","Low",
        TRUE,"Medium"
    ),
    "-"
)</f>
        <v>Medium</v>
      </c>
      <c r="AI169" s="25" t="str">
        <f t="shared" si="11"/>
        <v>-</v>
      </c>
    </row>
    <row r="170" spans="1:35" x14ac:dyDescent="0.25">
      <c r="A170" s="10">
        <v>59</v>
      </c>
      <c r="B170" s="10" t="s">
        <v>35</v>
      </c>
      <c r="C170" s="10" t="s">
        <v>36</v>
      </c>
      <c r="D170" s="10" t="s">
        <v>37</v>
      </c>
      <c r="E170" s="10" t="s">
        <v>38</v>
      </c>
      <c r="F170" s="11" t="s">
        <v>39</v>
      </c>
      <c r="G170" s="11" t="s">
        <v>40</v>
      </c>
      <c r="H170" s="12">
        <v>45000</v>
      </c>
      <c r="I170" s="20">
        <v>184681.29</v>
      </c>
      <c r="J170" s="20">
        <v>150000</v>
      </c>
      <c r="K170" s="10" t="s">
        <v>116</v>
      </c>
      <c r="L170" s="9" t="s">
        <v>224</v>
      </c>
      <c r="M170" s="9" t="s">
        <v>231</v>
      </c>
      <c r="O170" s="9" t="s">
        <v>226</v>
      </c>
      <c r="P170" s="15">
        <v>45000</v>
      </c>
      <c r="Q170" s="9" t="s">
        <v>262</v>
      </c>
      <c r="R170" s="16">
        <v>150000</v>
      </c>
      <c r="U170" s="9" t="s">
        <v>55</v>
      </c>
      <c r="V170" s="24" t="str" cm="1">
        <f t="array" ref="V170">_xlfn.IFNA(
    _xlfn.IFS(
        ISNUMBER(SEARCH("Fast Outgoing Transfer",L170)),"Transfer",
        ISNUMBER(SEARCH("Incoming Fast Transfer",L170)),"Transfer",
        ISNUMBER(SEARCH("Outgoing International Transfer",L170)),"Transfer",
        ISNUMBER(SEARCH("Bill Payment",L170)),"SADAD",
        ISNUMBER(SEARCH("Payroll",L170)),"Payroll",
        ISNUMBER(SEARCH("Cash Deposit",L170)),"Cash",
        ISNUMBER(SEARCH("Internal Transfer",L170)),"Transfer",
        ISNUMBER(SEARCH("Expatriate Services Payment",L170)),"SADAD",
        ISNUMBER(SEARCH("Rejected",L170)),"Transfer"
    ),
    "-"
)</f>
        <v>Transfer</v>
      </c>
      <c r="W170" s="25" t="str" cm="1">
        <f t="array" ref="W170">_xlfn.IFNA(
    _xlfn.IFS(
        AND(V170="Transfer",ISNUMBER(SEARCH("RIYAD BANK",L170))),"External FI",
        AND(V170="Transfer",ISNUMBER(SEARCH("Al Ahli",L170))),"External FI",
        AND(V170="Transfer",ISNUMBER(SEARCH("CIB via",L170))),"Local Transfer",
        AND(V170="Transfer",ISNUMBER(SEARCH("CIB)",L170))),"Local Transfer",
        AND(V170="Transfer",ISNUMBER(SEARCH("SMRT",L170))),"Local Transfer",
        AND(V170="Transfer",ISNUMBER(SEARCH("Al Murabba",L170))),"Local Transfer",
        AND(V170="Transfer",ISNUMBER(SEARCH("Internal Transfer",L170))),"Same FI",
        AND(V170="Transfer",ISNUMBER(SEARCH("Rejected",L170))),"Failed",
        V170="SADAD",
            _xlfn.IFS(
                ISNUMBER(SEARCH("Expatriate",L170)),"Expat Fees",
                TRUE,"Online Payment"
            ),
        V170="Payroll","Payroll",
        V170="Cash","Deposit",
        TRUE,"-"
    ),
    "-"
)</f>
        <v>Local Transfer</v>
      </c>
      <c r="X170" s="25" t="str" cm="1">
        <f t="array" ref="X170">_xlfn.IFNA(
    _xlfn.IFS(
        V170="-","Low",
        W170="-","Low",
        TRUE,"High"
    ),
    "-"
)</f>
        <v>High</v>
      </c>
      <c r="Y170" s="25" t="str">
        <f t="shared" si="8"/>
        <v>-</v>
      </c>
      <c r="Z170" s="25" t="str" cm="1">
        <f t="array" ref="Z170">_xlfn.IFNA(
    _xlfn.IFS(
        ISNUMBER(SEARCH("Abdul Latif Jameel",M170)),"Lender",
        ISNUMBER(SEARCH("Abdullah Abdulkarim Al Sudais",M170)),"Accounting",
        ISNUMBER(SEARCH("Abdullah Fahad for Accounting",M170)),"Accounting",
        ISNUMBER(SEARCH("Abdullah Rashid Shaikh",M170)),"Shareholder",
        ISNUMBER(SEARCH("Advanced Equipments",M170)),"Equipment Rental",
        ISNUMBER(SEARCH("Al Banuk Sana",M170)),"Telecom Company",
        ISNUMBER(SEARCH("Al Khaleefa Factory",M170)),"Manufacturer",
        ISNUMBER(SEARCH("Al Saadeh Trading",M170)),"Trading Company",
        ISNUMBER(SEARCH("Al Zaehaan",M170)),"Trading Company",
        ISNUMBER(SEARCH("Ali Abdullah K Al Darwish",M170)),"Airlines",
        ISNUMBER(SEARCH("Bupa Arabia",M170)),"Health Insurance",
        ISNUMBER(SEARCH("Dar Fahoosaat",M170)),"Consultant",
        ISNUMBER(SEARCH("General Authority of Zakat",M170)),"Tax Collection",
        ISNUMBER(SEARCH("Gulf Voyager",M170)),"Travel Agency",
        ISNUMBER(SEARCH("Hopeway Trading",M170)),"Trading Company",
        ISNUMBER(SEARCH("Interhealth Medical",M170)),"Medical Services",
        ISNUMBER(SEARCH("Ishaar",M170)),"Online Payment Service",
        ISNUMBER(SEARCH("ISO Arabia",M170)),"Certification",
        ISNUMBER(SEARCH("Khalid Saad Al Otaibi",M170)),"Trading Company",
        ISNUMBER(SEARCH("MERAS for Decoration",M170)),"Decor Company",
        ISNUMBER(SEARCH("Middle East Customs Clearance",M170)),"Customs",
        ISNUMBER(SEARCH("Ministry of Human Resources",M170)),"Government",
        ISNUMBER(SEARCH("My Business Services",M170)),"Service Provider",
        ISNUMBER(SEARCH("National Water Company",M170)),"Water Company",
        ISNUMBER(SEARCH("Rania Contracting",M170)),"Contracting",
        ISNUMBER(SEARCH("Rashid Ali Sheikh",M170)),"Shareholder",
        ISNUMBER(SEARCH("Sahab United Motors",M170)),"Car Show Room",
        ISNUMBER(SEARCH("Saud Mohammed Al Tamimi",M170)),"Shareholder",
        ISNUMBER(SEARCH("Saud Mohammed Tamimi",M170)),"Shareholder",
        ISNUMBER(SEARCH("Saudi Electric Company",M170)),"Electricity Company",
        ISNUMBER(SEARCH("Saudi Vetonit",M170)),"Building Materials",
        ISNUMBER(SEARCH("Shomoul Eng",M170)),"Safety",
        ISNUMBER(SEARCH("STC",M170)),"Telecom Company",
        ISNUMBER(SEARCH("The General Organization for Social Insurance",M170)),"Social Insurance Agency",
        ISNUMBER(SEARCH("TUV Rheinland",M170)),"Certification",
        ISNUMBER(SEARCH("Al Arabia Ceramic",M170)),"Building Materials",
        ISNUMBER(SEARCH("National Company for Building and Marketing",M170)),"Parent Company",
        ISNUMBER(SEARCH("Athraa Holding",M170)),"Holding Company",
        ISNUMBER(SEARCH("Al Rasan",M170)),"Contracting",
        ISNUMBER(SEARCH("Raboua Al Haid",M170)),"Trading Company",
        ISNUMBER(SEARCH("Al Jazeera Paint",M170)),"Manufacturer",
        ISNUMBER(SEARCH("Rania Works Contracting",M170)),"Contracting",
        ISNUMBER(SEARCH("Bandar Jarallah",M170)),"Trading Establishment",
        ISNUMBER(SEARCH("RS Infratec Saudi",M170)),"Same Company",
        ISNUMBER(SEARCH("Payroll",M170)),"Bank",
        ISNUMBER(SEARCH("Expatriate",M170)),"Government",
        ISNUMBER(SEARCH("Unknown Sender",M170)),"Unknown",
        TRUE,"Unknown"
    ),
    "-"
)</f>
        <v>Parent Company</v>
      </c>
      <c r="AA170" s="25" t="str" cm="1">
        <f t="array" ref="AA170">_xlfn.IFNA(
    _xlfn.IFS(
        Z170="Lender","Financing",
        Z170="Accounting","Accounting",
        Z170="Shareholder","Individual",
        Z170="Equipment Rental","Equipment Rental",
        Z170="Telecom Company","Telecom",
        Z170="Manufacturer","Manufacturer",
        Z170="Trading Company","Trading And Transport",
        Z170="Trading Establishment","Trading",
        Z170="Airlines","Airlines",
        Z170="Health Insurance","Insurance",
        Z170="Consultant","Consultant",
        Z170="Tax Collection","Government",
        Z170="Travel Agency","Travel Agency",
        Z170="Medical Services","Medical Center",
        Z170="Online Payment Service","Payment Facilitator",
        Z170="Certification","Safety",
        Z170="Decor Company","Design",
        Z170="Customs","Customs",
        Z170="Government","Government",
        Z170="Service Provider","Service Provider",
        Z170="Water Company","Water Company",
        Z170="Contracting","Contracting",
        Z170="Car Show Room","Car Trader",
        Z170="Electricity Company","Electricity Company",
        Z170="Building Materials","Building Materials",
        Z170="Safety","Safety",
        Z170="Social Insurance Agency","Government Fund",
        Z170="Parent Company","Holding Company",
        Z170="Holding Company","Holding Company",
        Z170="Same Company","Construction",
        Z170="Bank","Bank",
        Z170="Unknown","Unknown",
        TRUE,"-"
    ),
    "-"
)</f>
        <v>Holding Company</v>
      </c>
      <c r="AB170" s="25" t="str">
        <f t="shared" si="9"/>
        <v>-</v>
      </c>
      <c r="AC170" s="25" t="str" cm="1">
        <f t="array" ref="AC170">_xlfn.IFNA(
    _xlfn.IFS(
        Z170="Shareholder","Shareholder",
        Z170="Same Company","Same Company",
        Z170="Bank","Bank",
        Z170="Government","Government",
        Z170="Social Insurance Agency","Government",
        Z170="Parent Company","Customer",
        Z170="Lender","Lender",
        Z170="Unknown","Unknown",
        ISNUMBER(SEARCH("Abdullah Abdulkarim",M170)),"Service Provider",
        ISNUMBER(SEARCH("Abdullah Fahad",M170)),"Service Provider",
        ISNUMBER(SEARCH("Advanced Equipments",M170)),"Supplier",
        ISNUMBER(SEARCH("Al Banuk Sana",M170)),"Supplier",
        ISNUMBER(SEARCH("Al Khaleefa Factory",M170)),"Supplier",
        ISNUMBER(SEARCH("Al Saadeh Trading",M170)),"Supplier",
        ISNUMBER(SEARCH("Al Zaehaan",M170)),"Supplier",
        ISNUMBER(SEARCH("Ali Abdullah K Al Darwish",M170)),"Service Provider",
        ISNUMBER(SEARCH("Bupa Arabia",M170)),"Insurance Company",
        ISNUMBER(SEARCH("Dar Fahoosaat",M170)),"Service Provider",
        ISNUMBER(SEARCH("General Authority of Zakat",M170)),"Tax Authority",
        ISNUMBER(SEARCH("Gulf Voyager",M170)),"Service Provider",
        ISNUMBER(SEARCH("Hopeway Trading",M170)),"Supplier",
        ISNUMBER(SEARCH("Interhealth Medical",M170)),"Customer",
        ISNUMBER(SEARCH("Ishaar",M170)),"Service Provider",
        ISNUMBER(SEARCH("ISO Arabia",M170)),"Service Provider",
        ISNUMBER(SEARCH("Khalid Saad Al Otaibi",M170)),"Supplier",
        ISNUMBER(SEARCH("MERAS for Decoration",M170)),"Supplier",
        ISNUMBER(SEARCH("Middle East Customs Clearance",M170)),"Service Provider",
        ISNUMBER(SEARCH("Ministry of Human Resources",M170)),"Regulatory Agency",
        ISNUMBER(SEARCH("My Business Services",M170)),"Service Provider",
        ISNUMBER(SEARCH("National Water Company",M170)),"Utility Provider",
        ISNUMBER(SEARCH("Rania Contracting",M170)),"Supplier",
        ISNUMBER(SEARCH("Sahab United Motors",M170)),"Supplier",
        ISNUMBER(SEARCH("Saudi Electric Company",M170)),"Utility Provider",
        ISNUMBER(SEARCH("Saudi Vetonit",M170)),"Supplier",
        ISNUMBER(SEARCH("Shomoul Eng",M170)),"Service Provider",
        ISNUMBER(SEARCH("STC",M170)),"Utility Provider",
        ISNUMBER(SEARCH("The General Organization for Social Insurance",M170)),"Social Insurance Agency",
        ISNUMBER(SEARCH("TUV Rheinland",M170)),"Service Provider",
        ISNUMBER(SEARCH("Al Arabia Ceramic",M170)),"Supplier",
        ISNUMBER(SEARCH("National Company for Building",M170)),"Customer",
        ISNUMBER(SEARCH("Athraa Holding",M170)),"Customer",
        ISNUMBER(SEARCH("Al Rasan",M170)),"Supplier",
        ISNUMBER(SEARCH("Raboua Al Haid",M170)),"Customer",
        ISNUMBER(SEARCH("Al Jazeera Paint",M170)),"Supplier",
        ISNUMBER(SEARCH("Rania Works Contracting",M170)),"Supplier",
        ISNUMBER(SEARCH("Bandar Jarallah",M170)),"Supplier",
        TRUE,"Supplier"
    ),
    "-"
)</f>
        <v>Customer</v>
      </c>
      <c r="AD170" s="25" t="str" cm="1">
        <f t="array" ref="AD170">_xlfn.IFNA(
    _xlfn.IFS(
        AC170="Same Company","High",
        AC170="Shareholder","High",
        AC170="Government","High",
        AC170="Bank","High",
        AC170="Lender","High",
        AC170="Unknown","Low",
        AC170="-","Low",
        TRUE,"Medium"
    ),
    "-"
)</f>
        <v>Medium</v>
      </c>
      <c r="AE170" s="25" t="str">
        <f t="shared" si="10"/>
        <v>-</v>
      </c>
      <c r="AF170" s="25" t="str" cm="1">
        <f t="array" ref="AF170">_xlfn.IFNA(
    _xlfn.IFS(
        K170="Credit",
            _xlfn.IFS(
                OR(ISNUMBER(SEARCH("Rejected",L170)),ISNUMBER(SEARCH("Returned",L170))),"Other Income",
                TRUE,"Revenue"
            ),
        K170="Debit",
            _xlfn.IFS(
                ISNUMBER(SEARCH("Payroll",L170)),"OPEX",
                ISNUMBER(SEARCH("Expatriate",L170)),"OPEX",
                ISNUMBER(SEARCH("Zakat",M170)),"ZATCA",
                ISNUMBER(SEARCH("General Organization for Social Insurance",M170)),"OPEX",
                ISNUMBER(SEARCH("Saudi Electric",M170)),"OPEX",
                ISNUMBER(SEARCH("STC",M170)),"OPEX",
                ISNUMBER(SEARCH("National Water",M170)),"OPEX",
                ISNUMBER(SEARCH("Bupa",M170)),"OPEX",
                ISNUMBER(SEARCH("Abdullah Abdulkarim",M170)),"OPEX",
                ISNUMBER(SEARCH("Abdullah Fahad",M170)),"OPEX",
                ISNUMBER(SEARCH("ISO Arabia",M170)),"OPEX",
                ISNUMBER(SEARCH("Gulf Voyager",M170)),"OPEX",
                ISNUMBER(SEARCH("Ministry",M170)),"OPEX",
                ISNUMBER(SEARCH("General Authority of Zakat",M170)),"ZATCA",
                ISNUMBER(SEARCH("Rejected",L170)),"Other Income",
                TRUE,"COGS"
            ),
        TRUE,"-"
    ),
    "-"
)</f>
        <v>Revenue</v>
      </c>
      <c r="AG170" s="25" t="str" cm="1">
        <f t="array" ref="AG170">_xlfn.IFNA(
    _xlfn.IFS(
        ISNUMBER(SEARCH("Payroll",L170)),"Payroll",
        ISNUMBER(SEARCH("Expatriate",L170)),"Government Fees",
        ISNUMBER(SEARCH("Zakat",M170)),"Zakat",
        ISNUMBER(SEARCH("Social Insurance",M170)),"Social Insurance",
        ISNUMBER(SEARCH("Saudi Electric",M170)),"Electricity",
        ISNUMBER(SEARCH("STC",M170)),"Telecom",
        ISNUMBER(SEARCH("National Water",M170)),"Water",
        ISNUMBER(SEARCH("Bupa",M170)),"Insurance",
        ISNUMBER(SEARCH("Gulf Voyager",M170)),"Travel",
        ISNUMBER(SEARCH("Ministry",M170)),"Government Fees",
        ISNUMBER(SEARCH("Abdullah Abdulkarim",M170)),"Consulting",
        ISNUMBER(SEARCH("Abdullah Fahad",M170)),"Accounting",
        ISNUMBER(SEARCH("ISO Arabia",M170)),"Consulting",
        ISNUMBER(SEARCH("Rejected",L170)),"Refund",
        AF170="COGS","Inventory Purchase",
        AF170="Revenue","Revenue",
        AF170="OPEX","Other",
        AF170="ZATCA","Zakat",
        TRUE,"-"
    ),
    "-"
)</f>
        <v>Revenue</v>
      </c>
      <c r="AH170" s="25" t="str" cm="1">
        <f t="array" ref="AH170">_xlfn.IFNA(
    _xlfn.IFS(
        AF170="-","Low",
        AF170="Other","Low",
        TRUE,"Medium"
    ),
    "-"
)</f>
        <v>Medium</v>
      </c>
      <c r="AI170" s="25" t="str">
        <f t="shared" si="11"/>
        <v>-</v>
      </c>
    </row>
    <row r="171" spans="1:35" x14ac:dyDescent="0.25">
      <c r="A171" s="10">
        <v>59</v>
      </c>
      <c r="B171" s="10" t="s">
        <v>35</v>
      </c>
      <c r="C171" s="10" t="s">
        <v>36</v>
      </c>
      <c r="D171" s="10" t="s">
        <v>37</v>
      </c>
      <c r="E171" s="10" t="s">
        <v>38</v>
      </c>
      <c r="F171" s="11" t="s">
        <v>39</v>
      </c>
      <c r="G171" s="11" t="s">
        <v>40</v>
      </c>
      <c r="H171" s="12">
        <v>45001</v>
      </c>
      <c r="I171" s="20">
        <v>357927.29</v>
      </c>
      <c r="J171" s="20">
        <v>175000</v>
      </c>
      <c r="K171" s="10" t="s">
        <v>116</v>
      </c>
      <c r="L171" s="9" t="s">
        <v>224</v>
      </c>
      <c r="M171" s="9" t="s">
        <v>231</v>
      </c>
      <c r="O171" s="9" t="s">
        <v>226</v>
      </c>
      <c r="P171" s="15">
        <v>45001</v>
      </c>
      <c r="Q171" s="9" t="s">
        <v>263</v>
      </c>
      <c r="R171" s="16">
        <v>175000</v>
      </c>
      <c r="U171" s="9" t="s">
        <v>55</v>
      </c>
      <c r="V171" s="24" t="str" cm="1">
        <f t="array" ref="V171">_xlfn.IFNA(
    _xlfn.IFS(
        ISNUMBER(SEARCH("Fast Outgoing Transfer",L171)),"Transfer",
        ISNUMBER(SEARCH("Incoming Fast Transfer",L171)),"Transfer",
        ISNUMBER(SEARCH("Outgoing International Transfer",L171)),"Transfer",
        ISNUMBER(SEARCH("Bill Payment",L171)),"SADAD",
        ISNUMBER(SEARCH("Payroll",L171)),"Payroll",
        ISNUMBER(SEARCH("Cash Deposit",L171)),"Cash",
        ISNUMBER(SEARCH("Internal Transfer",L171)),"Transfer",
        ISNUMBER(SEARCH("Expatriate Services Payment",L171)),"SADAD",
        ISNUMBER(SEARCH("Rejected",L171)),"Transfer"
    ),
    "-"
)</f>
        <v>Transfer</v>
      </c>
      <c r="W171" s="25" t="str" cm="1">
        <f t="array" ref="W171">_xlfn.IFNA(
    _xlfn.IFS(
        AND(V171="Transfer",ISNUMBER(SEARCH("RIYAD BANK",L171))),"External FI",
        AND(V171="Transfer",ISNUMBER(SEARCH("Al Ahli",L171))),"External FI",
        AND(V171="Transfer",ISNUMBER(SEARCH("CIB via",L171))),"Local Transfer",
        AND(V171="Transfer",ISNUMBER(SEARCH("CIB)",L171))),"Local Transfer",
        AND(V171="Transfer",ISNUMBER(SEARCH("SMRT",L171))),"Local Transfer",
        AND(V171="Transfer",ISNUMBER(SEARCH("Al Murabba",L171))),"Local Transfer",
        AND(V171="Transfer",ISNUMBER(SEARCH("Internal Transfer",L171))),"Same FI",
        AND(V171="Transfer",ISNUMBER(SEARCH("Rejected",L171))),"Failed",
        V171="SADAD",
            _xlfn.IFS(
                ISNUMBER(SEARCH("Expatriate",L171)),"Expat Fees",
                TRUE,"Online Payment"
            ),
        V171="Payroll","Payroll",
        V171="Cash","Deposit",
        TRUE,"-"
    ),
    "-"
)</f>
        <v>Local Transfer</v>
      </c>
      <c r="X171" s="25" t="str" cm="1">
        <f t="array" ref="X171">_xlfn.IFNA(
    _xlfn.IFS(
        V171="-","Low",
        W171="-","Low",
        TRUE,"High"
    ),
    "-"
)</f>
        <v>High</v>
      </c>
      <c r="Y171" s="25" t="str">
        <f t="shared" si="8"/>
        <v>-</v>
      </c>
      <c r="Z171" s="25" t="str" cm="1">
        <f t="array" ref="Z171">_xlfn.IFNA(
    _xlfn.IFS(
        ISNUMBER(SEARCH("Abdul Latif Jameel",M171)),"Lender",
        ISNUMBER(SEARCH("Abdullah Abdulkarim Al Sudais",M171)),"Accounting",
        ISNUMBER(SEARCH("Abdullah Fahad for Accounting",M171)),"Accounting",
        ISNUMBER(SEARCH("Abdullah Rashid Shaikh",M171)),"Shareholder",
        ISNUMBER(SEARCH("Advanced Equipments",M171)),"Equipment Rental",
        ISNUMBER(SEARCH("Al Banuk Sana",M171)),"Telecom Company",
        ISNUMBER(SEARCH("Al Khaleefa Factory",M171)),"Manufacturer",
        ISNUMBER(SEARCH("Al Saadeh Trading",M171)),"Trading Company",
        ISNUMBER(SEARCH("Al Zaehaan",M171)),"Trading Company",
        ISNUMBER(SEARCH("Ali Abdullah K Al Darwish",M171)),"Airlines",
        ISNUMBER(SEARCH("Bupa Arabia",M171)),"Health Insurance",
        ISNUMBER(SEARCH("Dar Fahoosaat",M171)),"Consultant",
        ISNUMBER(SEARCH("General Authority of Zakat",M171)),"Tax Collection",
        ISNUMBER(SEARCH("Gulf Voyager",M171)),"Travel Agency",
        ISNUMBER(SEARCH("Hopeway Trading",M171)),"Trading Company",
        ISNUMBER(SEARCH("Interhealth Medical",M171)),"Medical Services",
        ISNUMBER(SEARCH("Ishaar",M171)),"Online Payment Service",
        ISNUMBER(SEARCH("ISO Arabia",M171)),"Certification",
        ISNUMBER(SEARCH("Khalid Saad Al Otaibi",M171)),"Trading Company",
        ISNUMBER(SEARCH("MERAS for Decoration",M171)),"Decor Company",
        ISNUMBER(SEARCH("Middle East Customs Clearance",M171)),"Customs",
        ISNUMBER(SEARCH("Ministry of Human Resources",M171)),"Government",
        ISNUMBER(SEARCH("My Business Services",M171)),"Service Provider",
        ISNUMBER(SEARCH("National Water Company",M171)),"Water Company",
        ISNUMBER(SEARCH("Rania Contracting",M171)),"Contracting",
        ISNUMBER(SEARCH("Rashid Ali Sheikh",M171)),"Shareholder",
        ISNUMBER(SEARCH("Sahab United Motors",M171)),"Car Show Room",
        ISNUMBER(SEARCH("Saud Mohammed Al Tamimi",M171)),"Shareholder",
        ISNUMBER(SEARCH("Saud Mohammed Tamimi",M171)),"Shareholder",
        ISNUMBER(SEARCH("Saudi Electric Company",M171)),"Electricity Company",
        ISNUMBER(SEARCH("Saudi Vetonit",M171)),"Building Materials",
        ISNUMBER(SEARCH("Shomoul Eng",M171)),"Safety",
        ISNUMBER(SEARCH("STC",M171)),"Telecom Company",
        ISNUMBER(SEARCH("The General Organization for Social Insurance",M171)),"Social Insurance Agency",
        ISNUMBER(SEARCH("TUV Rheinland",M171)),"Certification",
        ISNUMBER(SEARCH("Al Arabia Ceramic",M171)),"Building Materials",
        ISNUMBER(SEARCH("National Company for Building and Marketing",M171)),"Parent Company",
        ISNUMBER(SEARCH("Athraa Holding",M171)),"Holding Company",
        ISNUMBER(SEARCH("Al Rasan",M171)),"Contracting",
        ISNUMBER(SEARCH("Raboua Al Haid",M171)),"Trading Company",
        ISNUMBER(SEARCH("Al Jazeera Paint",M171)),"Manufacturer",
        ISNUMBER(SEARCH("Rania Works Contracting",M171)),"Contracting",
        ISNUMBER(SEARCH("Bandar Jarallah",M171)),"Trading Establishment",
        ISNUMBER(SEARCH("RS Infratec Saudi",M171)),"Same Company",
        ISNUMBER(SEARCH("Payroll",M171)),"Bank",
        ISNUMBER(SEARCH("Expatriate",M171)),"Government",
        ISNUMBER(SEARCH("Unknown Sender",M171)),"Unknown",
        TRUE,"Unknown"
    ),
    "-"
)</f>
        <v>Parent Company</v>
      </c>
      <c r="AA171" s="25" t="str" cm="1">
        <f t="array" ref="AA171">_xlfn.IFNA(
    _xlfn.IFS(
        Z171="Lender","Financing",
        Z171="Accounting","Accounting",
        Z171="Shareholder","Individual",
        Z171="Equipment Rental","Equipment Rental",
        Z171="Telecom Company","Telecom",
        Z171="Manufacturer","Manufacturer",
        Z171="Trading Company","Trading And Transport",
        Z171="Trading Establishment","Trading",
        Z171="Airlines","Airlines",
        Z171="Health Insurance","Insurance",
        Z171="Consultant","Consultant",
        Z171="Tax Collection","Government",
        Z171="Travel Agency","Travel Agency",
        Z171="Medical Services","Medical Center",
        Z171="Online Payment Service","Payment Facilitator",
        Z171="Certification","Safety",
        Z171="Decor Company","Design",
        Z171="Customs","Customs",
        Z171="Government","Government",
        Z171="Service Provider","Service Provider",
        Z171="Water Company","Water Company",
        Z171="Contracting","Contracting",
        Z171="Car Show Room","Car Trader",
        Z171="Electricity Company","Electricity Company",
        Z171="Building Materials","Building Materials",
        Z171="Safety","Safety",
        Z171="Social Insurance Agency","Government Fund",
        Z171="Parent Company","Holding Company",
        Z171="Holding Company","Holding Company",
        Z171="Same Company","Construction",
        Z171="Bank","Bank",
        Z171="Unknown","Unknown",
        TRUE,"-"
    ),
    "-"
)</f>
        <v>Holding Company</v>
      </c>
      <c r="AB171" s="25" t="str">
        <f t="shared" si="9"/>
        <v>-</v>
      </c>
      <c r="AC171" s="25" t="str" cm="1">
        <f t="array" ref="AC171">_xlfn.IFNA(
    _xlfn.IFS(
        Z171="Shareholder","Shareholder",
        Z171="Same Company","Same Company",
        Z171="Bank","Bank",
        Z171="Government","Government",
        Z171="Social Insurance Agency","Government",
        Z171="Parent Company","Customer",
        Z171="Lender","Lender",
        Z171="Unknown","Unknown",
        ISNUMBER(SEARCH("Abdullah Abdulkarim",M171)),"Service Provider",
        ISNUMBER(SEARCH("Abdullah Fahad",M171)),"Service Provider",
        ISNUMBER(SEARCH("Advanced Equipments",M171)),"Supplier",
        ISNUMBER(SEARCH("Al Banuk Sana",M171)),"Supplier",
        ISNUMBER(SEARCH("Al Khaleefa Factory",M171)),"Supplier",
        ISNUMBER(SEARCH("Al Saadeh Trading",M171)),"Supplier",
        ISNUMBER(SEARCH("Al Zaehaan",M171)),"Supplier",
        ISNUMBER(SEARCH("Ali Abdullah K Al Darwish",M171)),"Service Provider",
        ISNUMBER(SEARCH("Bupa Arabia",M171)),"Insurance Company",
        ISNUMBER(SEARCH("Dar Fahoosaat",M171)),"Service Provider",
        ISNUMBER(SEARCH("General Authority of Zakat",M171)),"Tax Authority",
        ISNUMBER(SEARCH("Gulf Voyager",M171)),"Service Provider",
        ISNUMBER(SEARCH("Hopeway Trading",M171)),"Supplier",
        ISNUMBER(SEARCH("Interhealth Medical",M171)),"Customer",
        ISNUMBER(SEARCH("Ishaar",M171)),"Service Provider",
        ISNUMBER(SEARCH("ISO Arabia",M171)),"Service Provider",
        ISNUMBER(SEARCH("Khalid Saad Al Otaibi",M171)),"Supplier",
        ISNUMBER(SEARCH("MERAS for Decoration",M171)),"Supplier",
        ISNUMBER(SEARCH("Middle East Customs Clearance",M171)),"Service Provider",
        ISNUMBER(SEARCH("Ministry of Human Resources",M171)),"Regulatory Agency",
        ISNUMBER(SEARCH("My Business Services",M171)),"Service Provider",
        ISNUMBER(SEARCH("National Water Company",M171)),"Utility Provider",
        ISNUMBER(SEARCH("Rania Contracting",M171)),"Supplier",
        ISNUMBER(SEARCH("Sahab United Motors",M171)),"Supplier",
        ISNUMBER(SEARCH("Saudi Electric Company",M171)),"Utility Provider",
        ISNUMBER(SEARCH("Saudi Vetonit",M171)),"Supplier",
        ISNUMBER(SEARCH("Shomoul Eng",M171)),"Service Provider",
        ISNUMBER(SEARCH("STC",M171)),"Utility Provider",
        ISNUMBER(SEARCH("The General Organization for Social Insurance",M171)),"Social Insurance Agency",
        ISNUMBER(SEARCH("TUV Rheinland",M171)),"Service Provider",
        ISNUMBER(SEARCH("Al Arabia Ceramic",M171)),"Supplier",
        ISNUMBER(SEARCH("National Company for Building",M171)),"Customer",
        ISNUMBER(SEARCH("Athraa Holding",M171)),"Customer",
        ISNUMBER(SEARCH("Al Rasan",M171)),"Supplier",
        ISNUMBER(SEARCH("Raboua Al Haid",M171)),"Customer",
        ISNUMBER(SEARCH("Al Jazeera Paint",M171)),"Supplier",
        ISNUMBER(SEARCH("Rania Works Contracting",M171)),"Supplier",
        ISNUMBER(SEARCH("Bandar Jarallah",M171)),"Supplier",
        TRUE,"Supplier"
    ),
    "-"
)</f>
        <v>Customer</v>
      </c>
      <c r="AD171" s="25" t="str" cm="1">
        <f t="array" ref="AD171">_xlfn.IFNA(
    _xlfn.IFS(
        AC171="Same Company","High",
        AC171="Shareholder","High",
        AC171="Government","High",
        AC171="Bank","High",
        AC171="Lender","High",
        AC171="Unknown","Low",
        AC171="-","Low",
        TRUE,"Medium"
    ),
    "-"
)</f>
        <v>Medium</v>
      </c>
      <c r="AE171" s="25" t="str">
        <f t="shared" si="10"/>
        <v>-</v>
      </c>
      <c r="AF171" s="25" t="str" cm="1">
        <f t="array" ref="AF171">_xlfn.IFNA(
    _xlfn.IFS(
        K171="Credit",
            _xlfn.IFS(
                OR(ISNUMBER(SEARCH("Rejected",L171)),ISNUMBER(SEARCH("Returned",L171))),"Other Income",
                TRUE,"Revenue"
            ),
        K171="Debit",
            _xlfn.IFS(
                ISNUMBER(SEARCH("Payroll",L171)),"OPEX",
                ISNUMBER(SEARCH("Expatriate",L171)),"OPEX",
                ISNUMBER(SEARCH("Zakat",M171)),"ZATCA",
                ISNUMBER(SEARCH("General Organization for Social Insurance",M171)),"OPEX",
                ISNUMBER(SEARCH("Saudi Electric",M171)),"OPEX",
                ISNUMBER(SEARCH("STC",M171)),"OPEX",
                ISNUMBER(SEARCH("National Water",M171)),"OPEX",
                ISNUMBER(SEARCH("Bupa",M171)),"OPEX",
                ISNUMBER(SEARCH("Abdullah Abdulkarim",M171)),"OPEX",
                ISNUMBER(SEARCH("Abdullah Fahad",M171)),"OPEX",
                ISNUMBER(SEARCH("ISO Arabia",M171)),"OPEX",
                ISNUMBER(SEARCH("Gulf Voyager",M171)),"OPEX",
                ISNUMBER(SEARCH("Ministry",M171)),"OPEX",
                ISNUMBER(SEARCH("General Authority of Zakat",M171)),"ZATCA",
                ISNUMBER(SEARCH("Rejected",L171)),"Other Income",
                TRUE,"COGS"
            ),
        TRUE,"-"
    ),
    "-"
)</f>
        <v>Revenue</v>
      </c>
      <c r="AG171" s="25" t="str" cm="1">
        <f t="array" ref="AG171">_xlfn.IFNA(
    _xlfn.IFS(
        ISNUMBER(SEARCH("Payroll",L171)),"Payroll",
        ISNUMBER(SEARCH("Expatriate",L171)),"Government Fees",
        ISNUMBER(SEARCH("Zakat",M171)),"Zakat",
        ISNUMBER(SEARCH("Social Insurance",M171)),"Social Insurance",
        ISNUMBER(SEARCH("Saudi Electric",M171)),"Electricity",
        ISNUMBER(SEARCH("STC",M171)),"Telecom",
        ISNUMBER(SEARCH("National Water",M171)),"Water",
        ISNUMBER(SEARCH("Bupa",M171)),"Insurance",
        ISNUMBER(SEARCH("Gulf Voyager",M171)),"Travel",
        ISNUMBER(SEARCH("Ministry",M171)),"Government Fees",
        ISNUMBER(SEARCH("Abdullah Abdulkarim",M171)),"Consulting",
        ISNUMBER(SEARCH("Abdullah Fahad",M171)),"Accounting",
        ISNUMBER(SEARCH("ISO Arabia",M171)),"Consulting",
        ISNUMBER(SEARCH("Rejected",L171)),"Refund",
        AF171="COGS","Inventory Purchase",
        AF171="Revenue","Revenue",
        AF171="OPEX","Other",
        AF171="ZATCA","Zakat",
        TRUE,"-"
    ),
    "-"
)</f>
        <v>Revenue</v>
      </c>
      <c r="AH171" s="25" t="str" cm="1">
        <f t="array" ref="AH171">_xlfn.IFNA(
    _xlfn.IFS(
        AF171="-","Low",
        AF171="Other","Low",
        TRUE,"Medium"
    ),
    "-"
)</f>
        <v>Medium</v>
      </c>
      <c r="AI171" s="25" t="str">
        <f t="shared" si="11"/>
        <v>-</v>
      </c>
    </row>
    <row r="172" spans="1:35" x14ac:dyDescent="0.25">
      <c r="A172" s="10">
        <v>59</v>
      </c>
      <c r="B172" s="10" t="s">
        <v>35</v>
      </c>
      <c r="C172" s="10" t="s">
        <v>36</v>
      </c>
      <c r="D172" s="10" t="s">
        <v>37</v>
      </c>
      <c r="E172" s="10" t="s">
        <v>38</v>
      </c>
      <c r="F172" s="11" t="s">
        <v>39</v>
      </c>
      <c r="G172" s="11" t="s">
        <v>40</v>
      </c>
      <c r="H172" s="12">
        <v>45004</v>
      </c>
      <c r="I172" s="20">
        <v>200878.45</v>
      </c>
      <c r="J172" s="20">
        <v>100000</v>
      </c>
      <c r="K172" s="10" t="s">
        <v>116</v>
      </c>
      <c r="L172" s="9" t="s">
        <v>224</v>
      </c>
      <c r="M172" s="9" t="s">
        <v>231</v>
      </c>
      <c r="O172" s="9" t="s">
        <v>226</v>
      </c>
      <c r="P172" s="15">
        <v>45004</v>
      </c>
      <c r="Q172" s="9" t="s">
        <v>264</v>
      </c>
      <c r="R172" s="16">
        <v>100000</v>
      </c>
      <c r="U172" s="9" t="s">
        <v>55</v>
      </c>
      <c r="V172" s="24" t="str" cm="1">
        <f t="array" ref="V172">_xlfn.IFNA(
    _xlfn.IFS(
        ISNUMBER(SEARCH("Fast Outgoing Transfer",L172)),"Transfer",
        ISNUMBER(SEARCH("Incoming Fast Transfer",L172)),"Transfer",
        ISNUMBER(SEARCH("Outgoing International Transfer",L172)),"Transfer",
        ISNUMBER(SEARCH("Bill Payment",L172)),"SADAD",
        ISNUMBER(SEARCH("Payroll",L172)),"Payroll",
        ISNUMBER(SEARCH("Cash Deposit",L172)),"Cash",
        ISNUMBER(SEARCH("Internal Transfer",L172)),"Transfer",
        ISNUMBER(SEARCH("Expatriate Services Payment",L172)),"SADAD",
        ISNUMBER(SEARCH("Rejected",L172)),"Transfer"
    ),
    "-"
)</f>
        <v>Transfer</v>
      </c>
      <c r="W172" s="25" t="str" cm="1">
        <f t="array" ref="W172">_xlfn.IFNA(
    _xlfn.IFS(
        AND(V172="Transfer",ISNUMBER(SEARCH("RIYAD BANK",L172))),"External FI",
        AND(V172="Transfer",ISNUMBER(SEARCH("Al Ahli",L172))),"External FI",
        AND(V172="Transfer",ISNUMBER(SEARCH("CIB via",L172))),"Local Transfer",
        AND(V172="Transfer",ISNUMBER(SEARCH("CIB)",L172))),"Local Transfer",
        AND(V172="Transfer",ISNUMBER(SEARCH("SMRT",L172))),"Local Transfer",
        AND(V172="Transfer",ISNUMBER(SEARCH("Al Murabba",L172))),"Local Transfer",
        AND(V172="Transfer",ISNUMBER(SEARCH("Internal Transfer",L172))),"Same FI",
        AND(V172="Transfer",ISNUMBER(SEARCH("Rejected",L172))),"Failed",
        V172="SADAD",
            _xlfn.IFS(
                ISNUMBER(SEARCH("Expatriate",L172)),"Expat Fees",
                TRUE,"Online Payment"
            ),
        V172="Payroll","Payroll",
        V172="Cash","Deposit",
        TRUE,"-"
    ),
    "-"
)</f>
        <v>Local Transfer</v>
      </c>
      <c r="X172" s="25" t="str" cm="1">
        <f t="array" ref="X172">_xlfn.IFNA(
    _xlfn.IFS(
        V172="-","Low",
        W172="-","Low",
        TRUE,"High"
    ),
    "-"
)</f>
        <v>High</v>
      </c>
      <c r="Y172" s="25" t="str">
        <f t="shared" si="8"/>
        <v>-</v>
      </c>
      <c r="Z172" s="25" t="str" cm="1">
        <f t="array" ref="Z172">_xlfn.IFNA(
    _xlfn.IFS(
        ISNUMBER(SEARCH("Abdul Latif Jameel",M172)),"Lender",
        ISNUMBER(SEARCH("Abdullah Abdulkarim Al Sudais",M172)),"Accounting",
        ISNUMBER(SEARCH("Abdullah Fahad for Accounting",M172)),"Accounting",
        ISNUMBER(SEARCH("Abdullah Rashid Shaikh",M172)),"Shareholder",
        ISNUMBER(SEARCH("Advanced Equipments",M172)),"Equipment Rental",
        ISNUMBER(SEARCH("Al Banuk Sana",M172)),"Telecom Company",
        ISNUMBER(SEARCH("Al Khaleefa Factory",M172)),"Manufacturer",
        ISNUMBER(SEARCH("Al Saadeh Trading",M172)),"Trading Company",
        ISNUMBER(SEARCH("Al Zaehaan",M172)),"Trading Company",
        ISNUMBER(SEARCH("Ali Abdullah K Al Darwish",M172)),"Airlines",
        ISNUMBER(SEARCH("Bupa Arabia",M172)),"Health Insurance",
        ISNUMBER(SEARCH("Dar Fahoosaat",M172)),"Consultant",
        ISNUMBER(SEARCH("General Authority of Zakat",M172)),"Tax Collection",
        ISNUMBER(SEARCH("Gulf Voyager",M172)),"Travel Agency",
        ISNUMBER(SEARCH("Hopeway Trading",M172)),"Trading Company",
        ISNUMBER(SEARCH("Interhealth Medical",M172)),"Medical Services",
        ISNUMBER(SEARCH("Ishaar",M172)),"Online Payment Service",
        ISNUMBER(SEARCH("ISO Arabia",M172)),"Certification",
        ISNUMBER(SEARCH("Khalid Saad Al Otaibi",M172)),"Trading Company",
        ISNUMBER(SEARCH("MERAS for Decoration",M172)),"Decor Company",
        ISNUMBER(SEARCH("Middle East Customs Clearance",M172)),"Customs",
        ISNUMBER(SEARCH("Ministry of Human Resources",M172)),"Government",
        ISNUMBER(SEARCH("My Business Services",M172)),"Service Provider",
        ISNUMBER(SEARCH("National Water Company",M172)),"Water Company",
        ISNUMBER(SEARCH("Rania Contracting",M172)),"Contracting",
        ISNUMBER(SEARCH("Rashid Ali Sheikh",M172)),"Shareholder",
        ISNUMBER(SEARCH("Sahab United Motors",M172)),"Car Show Room",
        ISNUMBER(SEARCH("Saud Mohammed Al Tamimi",M172)),"Shareholder",
        ISNUMBER(SEARCH("Saud Mohammed Tamimi",M172)),"Shareholder",
        ISNUMBER(SEARCH("Saudi Electric Company",M172)),"Electricity Company",
        ISNUMBER(SEARCH("Saudi Vetonit",M172)),"Building Materials",
        ISNUMBER(SEARCH("Shomoul Eng",M172)),"Safety",
        ISNUMBER(SEARCH("STC",M172)),"Telecom Company",
        ISNUMBER(SEARCH("The General Organization for Social Insurance",M172)),"Social Insurance Agency",
        ISNUMBER(SEARCH("TUV Rheinland",M172)),"Certification",
        ISNUMBER(SEARCH("Al Arabia Ceramic",M172)),"Building Materials",
        ISNUMBER(SEARCH("National Company for Building and Marketing",M172)),"Parent Company",
        ISNUMBER(SEARCH("Athraa Holding",M172)),"Holding Company",
        ISNUMBER(SEARCH("Al Rasan",M172)),"Contracting",
        ISNUMBER(SEARCH("Raboua Al Haid",M172)),"Trading Company",
        ISNUMBER(SEARCH("Al Jazeera Paint",M172)),"Manufacturer",
        ISNUMBER(SEARCH("Rania Works Contracting",M172)),"Contracting",
        ISNUMBER(SEARCH("Bandar Jarallah",M172)),"Trading Establishment",
        ISNUMBER(SEARCH("RS Infratec Saudi",M172)),"Same Company",
        ISNUMBER(SEARCH("Payroll",M172)),"Bank",
        ISNUMBER(SEARCH("Expatriate",M172)),"Government",
        ISNUMBER(SEARCH("Unknown Sender",M172)),"Unknown",
        TRUE,"Unknown"
    ),
    "-"
)</f>
        <v>Parent Company</v>
      </c>
      <c r="AA172" s="25" t="str" cm="1">
        <f t="array" ref="AA172">_xlfn.IFNA(
    _xlfn.IFS(
        Z172="Lender","Financing",
        Z172="Accounting","Accounting",
        Z172="Shareholder","Individual",
        Z172="Equipment Rental","Equipment Rental",
        Z172="Telecom Company","Telecom",
        Z172="Manufacturer","Manufacturer",
        Z172="Trading Company","Trading And Transport",
        Z172="Trading Establishment","Trading",
        Z172="Airlines","Airlines",
        Z172="Health Insurance","Insurance",
        Z172="Consultant","Consultant",
        Z172="Tax Collection","Government",
        Z172="Travel Agency","Travel Agency",
        Z172="Medical Services","Medical Center",
        Z172="Online Payment Service","Payment Facilitator",
        Z172="Certification","Safety",
        Z172="Decor Company","Design",
        Z172="Customs","Customs",
        Z172="Government","Government",
        Z172="Service Provider","Service Provider",
        Z172="Water Company","Water Company",
        Z172="Contracting","Contracting",
        Z172="Car Show Room","Car Trader",
        Z172="Electricity Company","Electricity Company",
        Z172="Building Materials","Building Materials",
        Z172="Safety","Safety",
        Z172="Social Insurance Agency","Government Fund",
        Z172="Parent Company","Holding Company",
        Z172="Holding Company","Holding Company",
        Z172="Same Company","Construction",
        Z172="Bank","Bank",
        Z172="Unknown","Unknown",
        TRUE,"-"
    ),
    "-"
)</f>
        <v>Holding Company</v>
      </c>
      <c r="AB172" s="25" t="str">
        <f t="shared" si="9"/>
        <v>-</v>
      </c>
      <c r="AC172" s="25" t="str" cm="1">
        <f t="array" ref="AC172">_xlfn.IFNA(
    _xlfn.IFS(
        Z172="Shareholder","Shareholder",
        Z172="Same Company","Same Company",
        Z172="Bank","Bank",
        Z172="Government","Government",
        Z172="Social Insurance Agency","Government",
        Z172="Parent Company","Customer",
        Z172="Lender","Lender",
        Z172="Unknown","Unknown",
        ISNUMBER(SEARCH("Abdullah Abdulkarim",M172)),"Service Provider",
        ISNUMBER(SEARCH("Abdullah Fahad",M172)),"Service Provider",
        ISNUMBER(SEARCH("Advanced Equipments",M172)),"Supplier",
        ISNUMBER(SEARCH("Al Banuk Sana",M172)),"Supplier",
        ISNUMBER(SEARCH("Al Khaleefa Factory",M172)),"Supplier",
        ISNUMBER(SEARCH("Al Saadeh Trading",M172)),"Supplier",
        ISNUMBER(SEARCH("Al Zaehaan",M172)),"Supplier",
        ISNUMBER(SEARCH("Ali Abdullah K Al Darwish",M172)),"Service Provider",
        ISNUMBER(SEARCH("Bupa Arabia",M172)),"Insurance Company",
        ISNUMBER(SEARCH("Dar Fahoosaat",M172)),"Service Provider",
        ISNUMBER(SEARCH("General Authority of Zakat",M172)),"Tax Authority",
        ISNUMBER(SEARCH("Gulf Voyager",M172)),"Service Provider",
        ISNUMBER(SEARCH("Hopeway Trading",M172)),"Supplier",
        ISNUMBER(SEARCH("Interhealth Medical",M172)),"Customer",
        ISNUMBER(SEARCH("Ishaar",M172)),"Service Provider",
        ISNUMBER(SEARCH("ISO Arabia",M172)),"Service Provider",
        ISNUMBER(SEARCH("Khalid Saad Al Otaibi",M172)),"Supplier",
        ISNUMBER(SEARCH("MERAS for Decoration",M172)),"Supplier",
        ISNUMBER(SEARCH("Middle East Customs Clearance",M172)),"Service Provider",
        ISNUMBER(SEARCH("Ministry of Human Resources",M172)),"Regulatory Agency",
        ISNUMBER(SEARCH("My Business Services",M172)),"Service Provider",
        ISNUMBER(SEARCH("National Water Company",M172)),"Utility Provider",
        ISNUMBER(SEARCH("Rania Contracting",M172)),"Supplier",
        ISNUMBER(SEARCH("Sahab United Motors",M172)),"Supplier",
        ISNUMBER(SEARCH("Saudi Electric Company",M172)),"Utility Provider",
        ISNUMBER(SEARCH("Saudi Vetonit",M172)),"Supplier",
        ISNUMBER(SEARCH("Shomoul Eng",M172)),"Service Provider",
        ISNUMBER(SEARCH("STC",M172)),"Utility Provider",
        ISNUMBER(SEARCH("The General Organization for Social Insurance",M172)),"Social Insurance Agency",
        ISNUMBER(SEARCH("TUV Rheinland",M172)),"Service Provider",
        ISNUMBER(SEARCH("Al Arabia Ceramic",M172)),"Supplier",
        ISNUMBER(SEARCH("National Company for Building",M172)),"Customer",
        ISNUMBER(SEARCH("Athraa Holding",M172)),"Customer",
        ISNUMBER(SEARCH("Al Rasan",M172)),"Supplier",
        ISNUMBER(SEARCH("Raboua Al Haid",M172)),"Customer",
        ISNUMBER(SEARCH("Al Jazeera Paint",M172)),"Supplier",
        ISNUMBER(SEARCH("Rania Works Contracting",M172)),"Supplier",
        ISNUMBER(SEARCH("Bandar Jarallah",M172)),"Supplier",
        TRUE,"Supplier"
    ),
    "-"
)</f>
        <v>Customer</v>
      </c>
      <c r="AD172" s="25" t="str" cm="1">
        <f t="array" ref="AD172">_xlfn.IFNA(
    _xlfn.IFS(
        AC172="Same Company","High",
        AC172="Shareholder","High",
        AC172="Government","High",
        AC172="Bank","High",
        AC172="Lender","High",
        AC172="Unknown","Low",
        AC172="-","Low",
        TRUE,"Medium"
    ),
    "-"
)</f>
        <v>Medium</v>
      </c>
      <c r="AE172" s="25" t="str">
        <f t="shared" si="10"/>
        <v>-</v>
      </c>
      <c r="AF172" s="25" t="str" cm="1">
        <f t="array" ref="AF172">_xlfn.IFNA(
    _xlfn.IFS(
        K172="Credit",
            _xlfn.IFS(
                OR(ISNUMBER(SEARCH("Rejected",L172)),ISNUMBER(SEARCH("Returned",L172))),"Other Income",
                TRUE,"Revenue"
            ),
        K172="Debit",
            _xlfn.IFS(
                ISNUMBER(SEARCH("Payroll",L172)),"OPEX",
                ISNUMBER(SEARCH("Expatriate",L172)),"OPEX",
                ISNUMBER(SEARCH("Zakat",M172)),"ZATCA",
                ISNUMBER(SEARCH("General Organization for Social Insurance",M172)),"OPEX",
                ISNUMBER(SEARCH("Saudi Electric",M172)),"OPEX",
                ISNUMBER(SEARCH("STC",M172)),"OPEX",
                ISNUMBER(SEARCH("National Water",M172)),"OPEX",
                ISNUMBER(SEARCH("Bupa",M172)),"OPEX",
                ISNUMBER(SEARCH("Abdullah Abdulkarim",M172)),"OPEX",
                ISNUMBER(SEARCH("Abdullah Fahad",M172)),"OPEX",
                ISNUMBER(SEARCH("ISO Arabia",M172)),"OPEX",
                ISNUMBER(SEARCH("Gulf Voyager",M172)),"OPEX",
                ISNUMBER(SEARCH("Ministry",M172)),"OPEX",
                ISNUMBER(SEARCH("General Authority of Zakat",M172)),"ZATCA",
                ISNUMBER(SEARCH("Rejected",L172)),"Other Income",
                TRUE,"COGS"
            ),
        TRUE,"-"
    ),
    "-"
)</f>
        <v>Revenue</v>
      </c>
      <c r="AG172" s="25" t="str" cm="1">
        <f t="array" ref="AG172">_xlfn.IFNA(
    _xlfn.IFS(
        ISNUMBER(SEARCH("Payroll",L172)),"Payroll",
        ISNUMBER(SEARCH("Expatriate",L172)),"Government Fees",
        ISNUMBER(SEARCH("Zakat",M172)),"Zakat",
        ISNUMBER(SEARCH("Social Insurance",M172)),"Social Insurance",
        ISNUMBER(SEARCH("Saudi Electric",M172)),"Electricity",
        ISNUMBER(SEARCH("STC",M172)),"Telecom",
        ISNUMBER(SEARCH("National Water",M172)),"Water",
        ISNUMBER(SEARCH("Bupa",M172)),"Insurance",
        ISNUMBER(SEARCH("Gulf Voyager",M172)),"Travel",
        ISNUMBER(SEARCH("Ministry",M172)),"Government Fees",
        ISNUMBER(SEARCH("Abdullah Abdulkarim",M172)),"Consulting",
        ISNUMBER(SEARCH("Abdullah Fahad",M172)),"Accounting",
        ISNUMBER(SEARCH("ISO Arabia",M172)),"Consulting",
        ISNUMBER(SEARCH("Rejected",L172)),"Refund",
        AF172="COGS","Inventory Purchase",
        AF172="Revenue","Revenue",
        AF172="OPEX","Other",
        AF172="ZATCA","Zakat",
        TRUE,"-"
    ),
    "-"
)</f>
        <v>Revenue</v>
      </c>
      <c r="AH172" s="25" t="str" cm="1">
        <f t="array" ref="AH172">_xlfn.IFNA(
    _xlfn.IFS(
        AF172="-","Low",
        AF172="Other","Low",
        TRUE,"Medium"
    ),
    "-"
)</f>
        <v>Medium</v>
      </c>
      <c r="AI172" s="25" t="str">
        <f t="shared" si="11"/>
        <v>-</v>
      </c>
    </row>
    <row r="173" spans="1:35" x14ac:dyDescent="0.25">
      <c r="A173" s="10">
        <v>59</v>
      </c>
      <c r="B173" s="10" t="s">
        <v>35</v>
      </c>
      <c r="C173" s="10" t="s">
        <v>36</v>
      </c>
      <c r="D173" s="10" t="s">
        <v>37</v>
      </c>
      <c r="E173" s="10" t="s">
        <v>38</v>
      </c>
      <c r="F173" s="11" t="s">
        <v>39</v>
      </c>
      <c r="G173" s="11" t="s">
        <v>40</v>
      </c>
      <c r="H173" s="12">
        <v>45006</v>
      </c>
      <c r="I173" s="20">
        <v>287158.3</v>
      </c>
      <c r="J173" s="20">
        <v>150000</v>
      </c>
      <c r="K173" s="10" t="s">
        <v>116</v>
      </c>
      <c r="L173" s="9" t="s">
        <v>224</v>
      </c>
      <c r="M173" s="9" t="s">
        <v>231</v>
      </c>
      <c r="O173" s="9" t="s">
        <v>226</v>
      </c>
      <c r="P173" s="15">
        <v>45006</v>
      </c>
      <c r="Q173" s="9" t="s">
        <v>265</v>
      </c>
      <c r="R173" s="16">
        <v>150000</v>
      </c>
      <c r="U173" s="9" t="s">
        <v>55</v>
      </c>
      <c r="V173" s="24" t="str" cm="1">
        <f t="array" ref="V173">_xlfn.IFNA(
    _xlfn.IFS(
        ISNUMBER(SEARCH("Fast Outgoing Transfer",L173)),"Transfer",
        ISNUMBER(SEARCH("Incoming Fast Transfer",L173)),"Transfer",
        ISNUMBER(SEARCH("Outgoing International Transfer",L173)),"Transfer",
        ISNUMBER(SEARCH("Bill Payment",L173)),"SADAD",
        ISNUMBER(SEARCH("Payroll",L173)),"Payroll",
        ISNUMBER(SEARCH("Cash Deposit",L173)),"Cash",
        ISNUMBER(SEARCH("Internal Transfer",L173)),"Transfer",
        ISNUMBER(SEARCH("Expatriate Services Payment",L173)),"SADAD",
        ISNUMBER(SEARCH("Rejected",L173)),"Transfer"
    ),
    "-"
)</f>
        <v>Transfer</v>
      </c>
      <c r="W173" s="25" t="str" cm="1">
        <f t="array" ref="W173">_xlfn.IFNA(
    _xlfn.IFS(
        AND(V173="Transfer",ISNUMBER(SEARCH("RIYAD BANK",L173))),"External FI",
        AND(V173="Transfer",ISNUMBER(SEARCH("Al Ahli",L173))),"External FI",
        AND(V173="Transfer",ISNUMBER(SEARCH("CIB via",L173))),"Local Transfer",
        AND(V173="Transfer",ISNUMBER(SEARCH("CIB)",L173))),"Local Transfer",
        AND(V173="Transfer",ISNUMBER(SEARCH("SMRT",L173))),"Local Transfer",
        AND(V173="Transfer",ISNUMBER(SEARCH("Al Murabba",L173))),"Local Transfer",
        AND(V173="Transfer",ISNUMBER(SEARCH("Internal Transfer",L173))),"Same FI",
        AND(V173="Transfer",ISNUMBER(SEARCH("Rejected",L173))),"Failed",
        V173="SADAD",
            _xlfn.IFS(
                ISNUMBER(SEARCH("Expatriate",L173)),"Expat Fees",
                TRUE,"Online Payment"
            ),
        V173="Payroll","Payroll",
        V173="Cash","Deposit",
        TRUE,"-"
    ),
    "-"
)</f>
        <v>Local Transfer</v>
      </c>
      <c r="X173" s="25" t="str" cm="1">
        <f t="array" ref="X173">_xlfn.IFNA(
    _xlfn.IFS(
        V173="-","Low",
        W173="-","Low",
        TRUE,"High"
    ),
    "-"
)</f>
        <v>High</v>
      </c>
      <c r="Y173" s="25" t="str">
        <f t="shared" si="8"/>
        <v>-</v>
      </c>
      <c r="Z173" s="25" t="str" cm="1">
        <f t="array" ref="Z173">_xlfn.IFNA(
    _xlfn.IFS(
        ISNUMBER(SEARCH("Abdul Latif Jameel",M173)),"Lender",
        ISNUMBER(SEARCH("Abdullah Abdulkarim Al Sudais",M173)),"Accounting",
        ISNUMBER(SEARCH("Abdullah Fahad for Accounting",M173)),"Accounting",
        ISNUMBER(SEARCH("Abdullah Rashid Shaikh",M173)),"Shareholder",
        ISNUMBER(SEARCH("Advanced Equipments",M173)),"Equipment Rental",
        ISNUMBER(SEARCH("Al Banuk Sana",M173)),"Telecom Company",
        ISNUMBER(SEARCH("Al Khaleefa Factory",M173)),"Manufacturer",
        ISNUMBER(SEARCH("Al Saadeh Trading",M173)),"Trading Company",
        ISNUMBER(SEARCH("Al Zaehaan",M173)),"Trading Company",
        ISNUMBER(SEARCH("Ali Abdullah K Al Darwish",M173)),"Airlines",
        ISNUMBER(SEARCH("Bupa Arabia",M173)),"Health Insurance",
        ISNUMBER(SEARCH("Dar Fahoosaat",M173)),"Consultant",
        ISNUMBER(SEARCH("General Authority of Zakat",M173)),"Tax Collection",
        ISNUMBER(SEARCH("Gulf Voyager",M173)),"Travel Agency",
        ISNUMBER(SEARCH("Hopeway Trading",M173)),"Trading Company",
        ISNUMBER(SEARCH("Interhealth Medical",M173)),"Medical Services",
        ISNUMBER(SEARCH("Ishaar",M173)),"Online Payment Service",
        ISNUMBER(SEARCH("ISO Arabia",M173)),"Certification",
        ISNUMBER(SEARCH("Khalid Saad Al Otaibi",M173)),"Trading Company",
        ISNUMBER(SEARCH("MERAS for Decoration",M173)),"Decor Company",
        ISNUMBER(SEARCH("Middle East Customs Clearance",M173)),"Customs",
        ISNUMBER(SEARCH("Ministry of Human Resources",M173)),"Government",
        ISNUMBER(SEARCH("My Business Services",M173)),"Service Provider",
        ISNUMBER(SEARCH("National Water Company",M173)),"Water Company",
        ISNUMBER(SEARCH("Rania Contracting",M173)),"Contracting",
        ISNUMBER(SEARCH("Rashid Ali Sheikh",M173)),"Shareholder",
        ISNUMBER(SEARCH("Sahab United Motors",M173)),"Car Show Room",
        ISNUMBER(SEARCH("Saud Mohammed Al Tamimi",M173)),"Shareholder",
        ISNUMBER(SEARCH("Saud Mohammed Tamimi",M173)),"Shareholder",
        ISNUMBER(SEARCH("Saudi Electric Company",M173)),"Electricity Company",
        ISNUMBER(SEARCH("Saudi Vetonit",M173)),"Building Materials",
        ISNUMBER(SEARCH("Shomoul Eng",M173)),"Safety",
        ISNUMBER(SEARCH("STC",M173)),"Telecom Company",
        ISNUMBER(SEARCH("The General Organization for Social Insurance",M173)),"Social Insurance Agency",
        ISNUMBER(SEARCH("TUV Rheinland",M173)),"Certification",
        ISNUMBER(SEARCH("Al Arabia Ceramic",M173)),"Building Materials",
        ISNUMBER(SEARCH("National Company for Building and Marketing",M173)),"Parent Company",
        ISNUMBER(SEARCH("Athraa Holding",M173)),"Holding Company",
        ISNUMBER(SEARCH("Al Rasan",M173)),"Contracting",
        ISNUMBER(SEARCH("Raboua Al Haid",M173)),"Trading Company",
        ISNUMBER(SEARCH("Al Jazeera Paint",M173)),"Manufacturer",
        ISNUMBER(SEARCH("Rania Works Contracting",M173)),"Contracting",
        ISNUMBER(SEARCH("Bandar Jarallah",M173)),"Trading Establishment",
        ISNUMBER(SEARCH("RS Infratec Saudi",M173)),"Same Company",
        ISNUMBER(SEARCH("Payroll",M173)),"Bank",
        ISNUMBER(SEARCH("Expatriate",M173)),"Government",
        ISNUMBER(SEARCH("Unknown Sender",M173)),"Unknown",
        TRUE,"Unknown"
    ),
    "-"
)</f>
        <v>Parent Company</v>
      </c>
      <c r="AA173" s="25" t="str" cm="1">
        <f t="array" ref="AA173">_xlfn.IFNA(
    _xlfn.IFS(
        Z173="Lender","Financing",
        Z173="Accounting","Accounting",
        Z173="Shareholder","Individual",
        Z173="Equipment Rental","Equipment Rental",
        Z173="Telecom Company","Telecom",
        Z173="Manufacturer","Manufacturer",
        Z173="Trading Company","Trading And Transport",
        Z173="Trading Establishment","Trading",
        Z173="Airlines","Airlines",
        Z173="Health Insurance","Insurance",
        Z173="Consultant","Consultant",
        Z173="Tax Collection","Government",
        Z173="Travel Agency","Travel Agency",
        Z173="Medical Services","Medical Center",
        Z173="Online Payment Service","Payment Facilitator",
        Z173="Certification","Safety",
        Z173="Decor Company","Design",
        Z173="Customs","Customs",
        Z173="Government","Government",
        Z173="Service Provider","Service Provider",
        Z173="Water Company","Water Company",
        Z173="Contracting","Contracting",
        Z173="Car Show Room","Car Trader",
        Z173="Electricity Company","Electricity Company",
        Z173="Building Materials","Building Materials",
        Z173="Safety","Safety",
        Z173="Social Insurance Agency","Government Fund",
        Z173="Parent Company","Holding Company",
        Z173="Holding Company","Holding Company",
        Z173="Same Company","Construction",
        Z173="Bank","Bank",
        Z173="Unknown","Unknown",
        TRUE,"-"
    ),
    "-"
)</f>
        <v>Holding Company</v>
      </c>
      <c r="AB173" s="25" t="str">
        <f t="shared" si="9"/>
        <v>-</v>
      </c>
      <c r="AC173" s="25" t="str" cm="1">
        <f t="array" ref="AC173">_xlfn.IFNA(
    _xlfn.IFS(
        Z173="Shareholder","Shareholder",
        Z173="Same Company","Same Company",
        Z173="Bank","Bank",
        Z173="Government","Government",
        Z173="Social Insurance Agency","Government",
        Z173="Parent Company","Customer",
        Z173="Lender","Lender",
        Z173="Unknown","Unknown",
        ISNUMBER(SEARCH("Abdullah Abdulkarim",M173)),"Service Provider",
        ISNUMBER(SEARCH("Abdullah Fahad",M173)),"Service Provider",
        ISNUMBER(SEARCH("Advanced Equipments",M173)),"Supplier",
        ISNUMBER(SEARCH("Al Banuk Sana",M173)),"Supplier",
        ISNUMBER(SEARCH("Al Khaleefa Factory",M173)),"Supplier",
        ISNUMBER(SEARCH("Al Saadeh Trading",M173)),"Supplier",
        ISNUMBER(SEARCH("Al Zaehaan",M173)),"Supplier",
        ISNUMBER(SEARCH("Ali Abdullah K Al Darwish",M173)),"Service Provider",
        ISNUMBER(SEARCH("Bupa Arabia",M173)),"Insurance Company",
        ISNUMBER(SEARCH("Dar Fahoosaat",M173)),"Service Provider",
        ISNUMBER(SEARCH("General Authority of Zakat",M173)),"Tax Authority",
        ISNUMBER(SEARCH("Gulf Voyager",M173)),"Service Provider",
        ISNUMBER(SEARCH("Hopeway Trading",M173)),"Supplier",
        ISNUMBER(SEARCH("Interhealth Medical",M173)),"Customer",
        ISNUMBER(SEARCH("Ishaar",M173)),"Service Provider",
        ISNUMBER(SEARCH("ISO Arabia",M173)),"Service Provider",
        ISNUMBER(SEARCH("Khalid Saad Al Otaibi",M173)),"Supplier",
        ISNUMBER(SEARCH("MERAS for Decoration",M173)),"Supplier",
        ISNUMBER(SEARCH("Middle East Customs Clearance",M173)),"Service Provider",
        ISNUMBER(SEARCH("Ministry of Human Resources",M173)),"Regulatory Agency",
        ISNUMBER(SEARCH("My Business Services",M173)),"Service Provider",
        ISNUMBER(SEARCH("National Water Company",M173)),"Utility Provider",
        ISNUMBER(SEARCH("Rania Contracting",M173)),"Supplier",
        ISNUMBER(SEARCH("Sahab United Motors",M173)),"Supplier",
        ISNUMBER(SEARCH("Saudi Electric Company",M173)),"Utility Provider",
        ISNUMBER(SEARCH("Saudi Vetonit",M173)),"Supplier",
        ISNUMBER(SEARCH("Shomoul Eng",M173)),"Service Provider",
        ISNUMBER(SEARCH("STC",M173)),"Utility Provider",
        ISNUMBER(SEARCH("The General Organization for Social Insurance",M173)),"Social Insurance Agency",
        ISNUMBER(SEARCH("TUV Rheinland",M173)),"Service Provider",
        ISNUMBER(SEARCH("Al Arabia Ceramic",M173)),"Supplier",
        ISNUMBER(SEARCH("National Company for Building",M173)),"Customer",
        ISNUMBER(SEARCH("Athraa Holding",M173)),"Customer",
        ISNUMBER(SEARCH("Al Rasan",M173)),"Supplier",
        ISNUMBER(SEARCH("Raboua Al Haid",M173)),"Customer",
        ISNUMBER(SEARCH("Al Jazeera Paint",M173)),"Supplier",
        ISNUMBER(SEARCH("Rania Works Contracting",M173)),"Supplier",
        ISNUMBER(SEARCH("Bandar Jarallah",M173)),"Supplier",
        TRUE,"Supplier"
    ),
    "-"
)</f>
        <v>Customer</v>
      </c>
      <c r="AD173" s="25" t="str" cm="1">
        <f t="array" ref="AD173">_xlfn.IFNA(
    _xlfn.IFS(
        AC173="Same Company","High",
        AC173="Shareholder","High",
        AC173="Government","High",
        AC173="Bank","High",
        AC173="Lender","High",
        AC173="Unknown","Low",
        AC173="-","Low",
        TRUE,"Medium"
    ),
    "-"
)</f>
        <v>Medium</v>
      </c>
      <c r="AE173" s="25" t="str">
        <f t="shared" si="10"/>
        <v>-</v>
      </c>
      <c r="AF173" s="25" t="str" cm="1">
        <f t="array" ref="AF173">_xlfn.IFNA(
    _xlfn.IFS(
        K173="Credit",
            _xlfn.IFS(
                OR(ISNUMBER(SEARCH("Rejected",L173)),ISNUMBER(SEARCH("Returned",L173))),"Other Income",
                TRUE,"Revenue"
            ),
        K173="Debit",
            _xlfn.IFS(
                ISNUMBER(SEARCH("Payroll",L173)),"OPEX",
                ISNUMBER(SEARCH("Expatriate",L173)),"OPEX",
                ISNUMBER(SEARCH("Zakat",M173)),"ZATCA",
                ISNUMBER(SEARCH("General Organization for Social Insurance",M173)),"OPEX",
                ISNUMBER(SEARCH("Saudi Electric",M173)),"OPEX",
                ISNUMBER(SEARCH("STC",M173)),"OPEX",
                ISNUMBER(SEARCH("National Water",M173)),"OPEX",
                ISNUMBER(SEARCH("Bupa",M173)),"OPEX",
                ISNUMBER(SEARCH("Abdullah Abdulkarim",M173)),"OPEX",
                ISNUMBER(SEARCH("Abdullah Fahad",M173)),"OPEX",
                ISNUMBER(SEARCH("ISO Arabia",M173)),"OPEX",
                ISNUMBER(SEARCH("Gulf Voyager",M173)),"OPEX",
                ISNUMBER(SEARCH("Ministry",M173)),"OPEX",
                ISNUMBER(SEARCH("General Authority of Zakat",M173)),"ZATCA",
                ISNUMBER(SEARCH("Rejected",L173)),"Other Income",
                TRUE,"COGS"
            ),
        TRUE,"-"
    ),
    "-"
)</f>
        <v>Revenue</v>
      </c>
      <c r="AG173" s="25" t="str" cm="1">
        <f t="array" ref="AG173">_xlfn.IFNA(
    _xlfn.IFS(
        ISNUMBER(SEARCH("Payroll",L173)),"Payroll",
        ISNUMBER(SEARCH("Expatriate",L173)),"Government Fees",
        ISNUMBER(SEARCH("Zakat",M173)),"Zakat",
        ISNUMBER(SEARCH("Social Insurance",M173)),"Social Insurance",
        ISNUMBER(SEARCH("Saudi Electric",M173)),"Electricity",
        ISNUMBER(SEARCH("STC",M173)),"Telecom",
        ISNUMBER(SEARCH("National Water",M173)),"Water",
        ISNUMBER(SEARCH("Bupa",M173)),"Insurance",
        ISNUMBER(SEARCH("Gulf Voyager",M173)),"Travel",
        ISNUMBER(SEARCH("Ministry",M173)),"Government Fees",
        ISNUMBER(SEARCH("Abdullah Abdulkarim",M173)),"Consulting",
        ISNUMBER(SEARCH("Abdullah Fahad",M173)),"Accounting",
        ISNUMBER(SEARCH("ISO Arabia",M173)),"Consulting",
        ISNUMBER(SEARCH("Rejected",L173)),"Refund",
        AF173="COGS","Inventory Purchase",
        AF173="Revenue","Revenue",
        AF173="OPEX","Other",
        AF173="ZATCA","Zakat",
        TRUE,"-"
    ),
    "-"
)</f>
        <v>Revenue</v>
      </c>
      <c r="AH173" s="25" t="str" cm="1">
        <f t="array" ref="AH173">_xlfn.IFNA(
    _xlfn.IFS(
        AF173="-","Low",
        AF173="Other","Low",
        TRUE,"Medium"
    ),
    "-"
)</f>
        <v>Medium</v>
      </c>
      <c r="AI173" s="25" t="str">
        <f t="shared" si="11"/>
        <v>-</v>
      </c>
    </row>
    <row r="174" spans="1:35" x14ac:dyDescent="0.25">
      <c r="A174" s="10">
        <v>59</v>
      </c>
      <c r="B174" s="10" t="s">
        <v>35</v>
      </c>
      <c r="C174" s="10" t="s">
        <v>36</v>
      </c>
      <c r="D174" s="10" t="s">
        <v>37</v>
      </c>
      <c r="E174" s="10" t="s">
        <v>38</v>
      </c>
      <c r="F174" s="11" t="s">
        <v>39</v>
      </c>
      <c r="G174" s="11" t="s">
        <v>40</v>
      </c>
      <c r="H174" s="12">
        <v>45007</v>
      </c>
      <c r="I174" s="20">
        <v>613429.53</v>
      </c>
      <c r="J174" s="20">
        <v>500000</v>
      </c>
      <c r="K174" s="10" t="s">
        <v>116</v>
      </c>
      <c r="L174" s="9" t="s">
        <v>230</v>
      </c>
      <c r="M174" s="9" t="s">
        <v>231</v>
      </c>
      <c r="N174" s="9" t="s">
        <v>232</v>
      </c>
      <c r="O174" s="9" t="s">
        <v>233</v>
      </c>
      <c r="P174" s="15">
        <v>45007</v>
      </c>
      <c r="Q174" s="9" t="s">
        <v>266</v>
      </c>
      <c r="R174" s="16">
        <v>500000</v>
      </c>
      <c r="U174" s="9" t="s">
        <v>55</v>
      </c>
      <c r="V174" s="24" t="str" cm="1">
        <f t="array" ref="V174">_xlfn.IFNA(
    _xlfn.IFS(
        ISNUMBER(SEARCH("Fast Outgoing Transfer",L174)),"Transfer",
        ISNUMBER(SEARCH("Incoming Fast Transfer",L174)),"Transfer",
        ISNUMBER(SEARCH("Outgoing International Transfer",L174)),"Transfer",
        ISNUMBER(SEARCH("Bill Payment",L174)),"SADAD",
        ISNUMBER(SEARCH("Payroll",L174)),"Payroll",
        ISNUMBER(SEARCH("Cash Deposit",L174)),"Cash",
        ISNUMBER(SEARCH("Internal Transfer",L174)),"Transfer",
        ISNUMBER(SEARCH("Expatriate Services Payment",L174)),"SADAD",
        ISNUMBER(SEARCH("Rejected",L174)),"Transfer"
    ),
    "-"
)</f>
        <v>Transfer</v>
      </c>
      <c r="W174" s="25" t="str" cm="1">
        <f t="array" ref="W174">_xlfn.IFNA(
    _xlfn.IFS(
        AND(V174="Transfer",ISNUMBER(SEARCH("RIYAD BANK",L174))),"External FI",
        AND(V174="Transfer",ISNUMBER(SEARCH("Al Ahli",L174))),"External FI",
        AND(V174="Transfer",ISNUMBER(SEARCH("CIB via",L174))),"Local Transfer",
        AND(V174="Transfer",ISNUMBER(SEARCH("CIB)",L174))),"Local Transfer",
        AND(V174="Transfer",ISNUMBER(SEARCH("SMRT",L174))),"Local Transfer",
        AND(V174="Transfer",ISNUMBER(SEARCH("Al Murabba",L174))),"Local Transfer",
        AND(V174="Transfer",ISNUMBER(SEARCH("Internal Transfer",L174))),"Same FI",
        AND(V174="Transfer",ISNUMBER(SEARCH("Rejected",L174))),"Failed",
        V174="SADAD",
            _xlfn.IFS(
                ISNUMBER(SEARCH("Expatriate",L174)),"Expat Fees",
                TRUE,"Online Payment"
            ),
        V174="Payroll","Payroll",
        V174="Cash","Deposit",
        TRUE,"-"
    ),
    "-"
)</f>
        <v>External FI</v>
      </c>
      <c r="X174" s="25" t="str" cm="1">
        <f t="array" ref="X174">_xlfn.IFNA(
    _xlfn.IFS(
        V174="-","Low",
        W174="-","Low",
        TRUE,"High"
    ),
    "-"
)</f>
        <v>High</v>
      </c>
      <c r="Y174" s="25" t="str">
        <f t="shared" si="8"/>
        <v>-</v>
      </c>
      <c r="Z174" s="25" t="str" cm="1">
        <f t="array" ref="Z174">_xlfn.IFNA(
    _xlfn.IFS(
        ISNUMBER(SEARCH("Abdul Latif Jameel",M174)),"Lender",
        ISNUMBER(SEARCH("Abdullah Abdulkarim Al Sudais",M174)),"Accounting",
        ISNUMBER(SEARCH("Abdullah Fahad for Accounting",M174)),"Accounting",
        ISNUMBER(SEARCH("Abdullah Rashid Shaikh",M174)),"Shareholder",
        ISNUMBER(SEARCH("Advanced Equipments",M174)),"Equipment Rental",
        ISNUMBER(SEARCH("Al Banuk Sana",M174)),"Telecom Company",
        ISNUMBER(SEARCH("Al Khaleefa Factory",M174)),"Manufacturer",
        ISNUMBER(SEARCH("Al Saadeh Trading",M174)),"Trading Company",
        ISNUMBER(SEARCH("Al Zaehaan",M174)),"Trading Company",
        ISNUMBER(SEARCH("Ali Abdullah K Al Darwish",M174)),"Airlines",
        ISNUMBER(SEARCH("Bupa Arabia",M174)),"Health Insurance",
        ISNUMBER(SEARCH("Dar Fahoosaat",M174)),"Consultant",
        ISNUMBER(SEARCH("General Authority of Zakat",M174)),"Tax Collection",
        ISNUMBER(SEARCH("Gulf Voyager",M174)),"Travel Agency",
        ISNUMBER(SEARCH("Hopeway Trading",M174)),"Trading Company",
        ISNUMBER(SEARCH("Interhealth Medical",M174)),"Medical Services",
        ISNUMBER(SEARCH("Ishaar",M174)),"Online Payment Service",
        ISNUMBER(SEARCH("ISO Arabia",M174)),"Certification",
        ISNUMBER(SEARCH("Khalid Saad Al Otaibi",M174)),"Trading Company",
        ISNUMBER(SEARCH("MERAS for Decoration",M174)),"Decor Company",
        ISNUMBER(SEARCH("Middle East Customs Clearance",M174)),"Customs",
        ISNUMBER(SEARCH("Ministry of Human Resources",M174)),"Government",
        ISNUMBER(SEARCH("My Business Services",M174)),"Service Provider",
        ISNUMBER(SEARCH("National Water Company",M174)),"Water Company",
        ISNUMBER(SEARCH("Rania Contracting",M174)),"Contracting",
        ISNUMBER(SEARCH("Rashid Ali Sheikh",M174)),"Shareholder",
        ISNUMBER(SEARCH("Sahab United Motors",M174)),"Car Show Room",
        ISNUMBER(SEARCH("Saud Mohammed Al Tamimi",M174)),"Shareholder",
        ISNUMBER(SEARCH("Saud Mohammed Tamimi",M174)),"Shareholder",
        ISNUMBER(SEARCH("Saudi Electric Company",M174)),"Electricity Company",
        ISNUMBER(SEARCH("Saudi Vetonit",M174)),"Building Materials",
        ISNUMBER(SEARCH("Shomoul Eng",M174)),"Safety",
        ISNUMBER(SEARCH("STC",M174)),"Telecom Company",
        ISNUMBER(SEARCH("The General Organization for Social Insurance",M174)),"Social Insurance Agency",
        ISNUMBER(SEARCH("TUV Rheinland",M174)),"Certification",
        ISNUMBER(SEARCH("Al Arabia Ceramic",M174)),"Building Materials",
        ISNUMBER(SEARCH("National Company for Building and Marketing",M174)),"Parent Company",
        ISNUMBER(SEARCH("Athraa Holding",M174)),"Holding Company",
        ISNUMBER(SEARCH("Al Rasan",M174)),"Contracting",
        ISNUMBER(SEARCH("Raboua Al Haid",M174)),"Trading Company",
        ISNUMBER(SEARCH("Al Jazeera Paint",M174)),"Manufacturer",
        ISNUMBER(SEARCH("Rania Works Contracting",M174)),"Contracting",
        ISNUMBER(SEARCH("Bandar Jarallah",M174)),"Trading Establishment",
        ISNUMBER(SEARCH("RS Infratec Saudi",M174)),"Same Company",
        ISNUMBER(SEARCH("Payroll",M174)),"Bank",
        ISNUMBER(SEARCH("Expatriate",M174)),"Government",
        ISNUMBER(SEARCH("Unknown Sender",M174)),"Unknown",
        TRUE,"Unknown"
    ),
    "-"
)</f>
        <v>Parent Company</v>
      </c>
      <c r="AA174" s="25" t="str" cm="1">
        <f t="array" ref="AA174">_xlfn.IFNA(
    _xlfn.IFS(
        Z174="Lender","Financing",
        Z174="Accounting","Accounting",
        Z174="Shareholder","Individual",
        Z174="Equipment Rental","Equipment Rental",
        Z174="Telecom Company","Telecom",
        Z174="Manufacturer","Manufacturer",
        Z174="Trading Company","Trading And Transport",
        Z174="Trading Establishment","Trading",
        Z174="Airlines","Airlines",
        Z174="Health Insurance","Insurance",
        Z174="Consultant","Consultant",
        Z174="Tax Collection","Government",
        Z174="Travel Agency","Travel Agency",
        Z174="Medical Services","Medical Center",
        Z174="Online Payment Service","Payment Facilitator",
        Z174="Certification","Safety",
        Z174="Decor Company","Design",
        Z174="Customs","Customs",
        Z174="Government","Government",
        Z174="Service Provider","Service Provider",
        Z174="Water Company","Water Company",
        Z174="Contracting","Contracting",
        Z174="Car Show Room","Car Trader",
        Z174="Electricity Company","Electricity Company",
        Z174="Building Materials","Building Materials",
        Z174="Safety","Safety",
        Z174="Social Insurance Agency","Government Fund",
        Z174="Parent Company","Holding Company",
        Z174="Holding Company","Holding Company",
        Z174="Same Company","Construction",
        Z174="Bank","Bank",
        Z174="Unknown","Unknown",
        TRUE,"-"
    ),
    "-"
)</f>
        <v>Holding Company</v>
      </c>
      <c r="AB174" s="25" t="str">
        <f t="shared" si="9"/>
        <v>-</v>
      </c>
      <c r="AC174" s="25" t="str" cm="1">
        <f t="array" ref="AC174">_xlfn.IFNA(
    _xlfn.IFS(
        Z174="Shareholder","Shareholder",
        Z174="Same Company","Same Company",
        Z174="Bank","Bank",
        Z174="Government","Government",
        Z174="Social Insurance Agency","Government",
        Z174="Parent Company","Customer",
        Z174="Lender","Lender",
        Z174="Unknown","Unknown",
        ISNUMBER(SEARCH("Abdullah Abdulkarim",M174)),"Service Provider",
        ISNUMBER(SEARCH("Abdullah Fahad",M174)),"Service Provider",
        ISNUMBER(SEARCH("Advanced Equipments",M174)),"Supplier",
        ISNUMBER(SEARCH("Al Banuk Sana",M174)),"Supplier",
        ISNUMBER(SEARCH("Al Khaleefa Factory",M174)),"Supplier",
        ISNUMBER(SEARCH("Al Saadeh Trading",M174)),"Supplier",
        ISNUMBER(SEARCH("Al Zaehaan",M174)),"Supplier",
        ISNUMBER(SEARCH("Ali Abdullah K Al Darwish",M174)),"Service Provider",
        ISNUMBER(SEARCH("Bupa Arabia",M174)),"Insurance Company",
        ISNUMBER(SEARCH("Dar Fahoosaat",M174)),"Service Provider",
        ISNUMBER(SEARCH("General Authority of Zakat",M174)),"Tax Authority",
        ISNUMBER(SEARCH("Gulf Voyager",M174)),"Service Provider",
        ISNUMBER(SEARCH("Hopeway Trading",M174)),"Supplier",
        ISNUMBER(SEARCH("Interhealth Medical",M174)),"Customer",
        ISNUMBER(SEARCH("Ishaar",M174)),"Service Provider",
        ISNUMBER(SEARCH("ISO Arabia",M174)),"Service Provider",
        ISNUMBER(SEARCH("Khalid Saad Al Otaibi",M174)),"Supplier",
        ISNUMBER(SEARCH("MERAS for Decoration",M174)),"Supplier",
        ISNUMBER(SEARCH("Middle East Customs Clearance",M174)),"Service Provider",
        ISNUMBER(SEARCH("Ministry of Human Resources",M174)),"Regulatory Agency",
        ISNUMBER(SEARCH("My Business Services",M174)),"Service Provider",
        ISNUMBER(SEARCH("National Water Company",M174)),"Utility Provider",
        ISNUMBER(SEARCH("Rania Contracting",M174)),"Supplier",
        ISNUMBER(SEARCH("Sahab United Motors",M174)),"Supplier",
        ISNUMBER(SEARCH("Saudi Electric Company",M174)),"Utility Provider",
        ISNUMBER(SEARCH("Saudi Vetonit",M174)),"Supplier",
        ISNUMBER(SEARCH("Shomoul Eng",M174)),"Service Provider",
        ISNUMBER(SEARCH("STC",M174)),"Utility Provider",
        ISNUMBER(SEARCH("The General Organization for Social Insurance",M174)),"Social Insurance Agency",
        ISNUMBER(SEARCH("TUV Rheinland",M174)),"Service Provider",
        ISNUMBER(SEARCH("Al Arabia Ceramic",M174)),"Supplier",
        ISNUMBER(SEARCH("National Company for Building",M174)),"Customer",
        ISNUMBER(SEARCH("Athraa Holding",M174)),"Customer",
        ISNUMBER(SEARCH("Al Rasan",M174)),"Supplier",
        ISNUMBER(SEARCH("Raboua Al Haid",M174)),"Customer",
        ISNUMBER(SEARCH("Al Jazeera Paint",M174)),"Supplier",
        ISNUMBER(SEARCH("Rania Works Contracting",M174)),"Supplier",
        ISNUMBER(SEARCH("Bandar Jarallah",M174)),"Supplier",
        TRUE,"Supplier"
    ),
    "-"
)</f>
        <v>Customer</v>
      </c>
      <c r="AD174" s="25" t="str" cm="1">
        <f t="array" ref="AD174">_xlfn.IFNA(
    _xlfn.IFS(
        AC174="Same Company","High",
        AC174="Shareholder","High",
        AC174="Government","High",
        AC174="Bank","High",
        AC174="Lender","High",
        AC174="Unknown","Low",
        AC174="-","Low",
        TRUE,"Medium"
    ),
    "-"
)</f>
        <v>Medium</v>
      </c>
      <c r="AE174" s="25" t="str">
        <f t="shared" si="10"/>
        <v>-</v>
      </c>
      <c r="AF174" s="25" t="str" cm="1">
        <f t="array" ref="AF174">_xlfn.IFNA(
    _xlfn.IFS(
        K174="Credit",
            _xlfn.IFS(
                OR(ISNUMBER(SEARCH("Rejected",L174)),ISNUMBER(SEARCH("Returned",L174))),"Other Income",
                TRUE,"Revenue"
            ),
        K174="Debit",
            _xlfn.IFS(
                ISNUMBER(SEARCH("Payroll",L174)),"OPEX",
                ISNUMBER(SEARCH("Expatriate",L174)),"OPEX",
                ISNUMBER(SEARCH("Zakat",M174)),"ZATCA",
                ISNUMBER(SEARCH("General Organization for Social Insurance",M174)),"OPEX",
                ISNUMBER(SEARCH("Saudi Electric",M174)),"OPEX",
                ISNUMBER(SEARCH("STC",M174)),"OPEX",
                ISNUMBER(SEARCH("National Water",M174)),"OPEX",
                ISNUMBER(SEARCH("Bupa",M174)),"OPEX",
                ISNUMBER(SEARCH("Abdullah Abdulkarim",M174)),"OPEX",
                ISNUMBER(SEARCH("Abdullah Fahad",M174)),"OPEX",
                ISNUMBER(SEARCH("ISO Arabia",M174)),"OPEX",
                ISNUMBER(SEARCH("Gulf Voyager",M174)),"OPEX",
                ISNUMBER(SEARCH("Ministry",M174)),"OPEX",
                ISNUMBER(SEARCH("General Authority of Zakat",M174)),"ZATCA",
                ISNUMBER(SEARCH("Rejected",L174)),"Other Income",
                TRUE,"COGS"
            ),
        TRUE,"-"
    ),
    "-"
)</f>
        <v>Revenue</v>
      </c>
      <c r="AG174" s="25" t="str" cm="1">
        <f t="array" ref="AG174">_xlfn.IFNA(
    _xlfn.IFS(
        ISNUMBER(SEARCH("Payroll",L174)),"Payroll",
        ISNUMBER(SEARCH("Expatriate",L174)),"Government Fees",
        ISNUMBER(SEARCH("Zakat",M174)),"Zakat",
        ISNUMBER(SEARCH("Social Insurance",M174)),"Social Insurance",
        ISNUMBER(SEARCH("Saudi Electric",M174)),"Electricity",
        ISNUMBER(SEARCH("STC",M174)),"Telecom",
        ISNUMBER(SEARCH("National Water",M174)),"Water",
        ISNUMBER(SEARCH("Bupa",M174)),"Insurance",
        ISNUMBER(SEARCH("Gulf Voyager",M174)),"Travel",
        ISNUMBER(SEARCH("Ministry",M174)),"Government Fees",
        ISNUMBER(SEARCH("Abdullah Abdulkarim",M174)),"Consulting",
        ISNUMBER(SEARCH("Abdullah Fahad",M174)),"Accounting",
        ISNUMBER(SEARCH("ISO Arabia",M174)),"Consulting",
        ISNUMBER(SEARCH("Rejected",L174)),"Refund",
        AF174="COGS","Inventory Purchase",
        AF174="Revenue","Revenue",
        AF174="OPEX","Other",
        AF174="ZATCA","Zakat",
        TRUE,"-"
    ),
    "-"
)</f>
        <v>Revenue</v>
      </c>
      <c r="AH174" s="25" t="str" cm="1">
        <f t="array" ref="AH174">_xlfn.IFNA(
    _xlfn.IFS(
        AF174="-","Low",
        AF174="Other","Low",
        TRUE,"Medium"
    ),
    "-"
)</f>
        <v>Medium</v>
      </c>
      <c r="AI174" s="25" t="str">
        <f t="shared" si="11"/>
        <v>-</v>
      </c>
    </row>
    <row r="175" spans="1:35" x14ac:dyDescent="0.25">
      <c r="A175" s="10">
        <v>59</v>
      </c>
      <c r="B175" s="10" t="s">
        <v>35</v>
      </c>
      <c r="C175" s="10" t="s">
        <v>36</v>
      </c>
      <c r="D175" s="10" t="s">
        <v>37</v>
      </c>
      <c r="E175" s="10" t="s">
        <v>38</v>
      </c>
      <c r="F175" s="11" t="s">
        <v>39</v>
      </c>
      <c r="G175" s="11" t="s">
        <v>40</v>
      </c>
      <c r="H175" s="12">
        <v>45012</v>
      </c>
      <c r="I175" s="20">
        <v>178991.02</v>
      </c>
      <c r="J175" s="20">
        <v>100000</v>
      </c>
      <c r="K175" s="10" t="s">
        <v>116</v>
      </c>
      <c r="L175" s="9" t="s">
        <v>230</v>
      </c>
      <c r="M175" s="9" t="s">
        <v>231</v>
      </c>
      <c r="N175" s="9" t="s">
        <v>232</v>
      </c>
      <c r="O175" s="9" t="s">
        <v>233</v>
      </c>
      <c r="P175" s="15">
        <v>45012</v>
      </c>
      <c r="Q175" s="9" t="s">
        <v>267</v>
      </c>
      <c r="R175" s="16">
        <v>100000</v>
      </c>
      <c r="U175" s="9" t="s">
        <v>55</v>
      </c>
      <c r="V175" s="24" t="str" cm="1">
        <f t="array" ref="V175">_xlfn.IFNA(
    _xlfn.IFS(
        ISNUMBER(SEARCH("Fast Outgoing Transfer",L175)),"Transfer",
        ISNUMBER(SEARCH("Incoming Fast Transfer",L175)),"Transfer",
        ISNUMBER(SEARCH("Outgoing International Transfer",L175)),"Transfer",
        ISNUMBER(SEARCH("Bill Payment",L175)),"SADAD",
        ISNUMBER(SEARCH("Payroll",L175)),"Payroll",
        ISNUMBER(SEARCH("Cash Deposit",L175)),"Cash",
        ISNUMBER(SEARCH("Internal Transfer",L175)),"Transfer",
        ISNUMBER(SEARCH("Expatriate Services Payment",L175)),"SADAD",
        ISNUMBER(SEARCH("Rejected",L175)),"Transfer"
    ),
    "-"
)</f>
        <v>Transfer</v>
      </c>
      <c r="W175" s="25" t="str" cm="1">
        <f t="array" ref="W175">_xlfn.IFNA(
    _xlfn.IFS(
        AND(V175="Transfer",ISNUMBER(SEARCH("RIYAD BANK",L175))),"External FI",
        AND(V175="Transfer",ISNUMBER(SEARCH("Al Ahli",L175))),"External FI",
        AND(V175="Transfer",ISNUMBER(SEARCH("CIB via",L175))),"Local Transfer",
        AND(V175="Transfer",ISNUMBER(SEARCH("CIB)",L175))),"Local Transfer",
        AND(V175="Transfer",ISNUMBER(SEARCH("SMRT",L175))),"Local Transfer",
        AND(V175="Transfer",ISNUMBER(SEARCH("Al Murabba",L175))),"Local Transfer",
        AND(V175="Transfer",ISNUMBER(SEARCH("Internal Transfer",L175))),"Same FI",
        AND(V175="Transfer",ISNUMBER(SEARCH("Rejected",L175))),"Failed",
        V175="SADAD",
            _xlfn.IFS(
                ISNUMBER(SEARCH("Expatriate",L175)),"Expat Fees",
                TRUE,"Online Payment"
            ),
        V175="Payroll","Payroll",
        V175="Cash","Deposit",
        TRUE,"-"
    ),
    "-"
)</f>
        <v>External FI</v>
      </c>
      <c r="X175" s="25" t="str" cm="1">
        <f t="array" ref="X175">_xlfn.IFNA(
    _xlfn.IFS(
        V175="-","Low",
        W175="-","Low",
        TRUE,"High"
    ),
    "-"
)</f>
        <v>High</v>
      </c>
      <c r="Y175" s="25" t="str">
        <f t="shared" si="8"/>
        <v>-</v>
      </c>
      <c r="Z175" s="25" t="str" cm="1">
        <f t="array" ref="Z175">_xlfn.IFNA(
    _xlfn.IFS(
        ISNUMBER(SEARCH("Abdul Latif Jameel",M175)),"Lender",
        ISNUMBER(SEARCH("Abdullah Abdulkarim Al Sudais",M175)),"Accounting",
        ISNUMBER(SEARCH("Abdullah Fahad for Accounting",M175)),"Accounting",
        ISNUMBER(SEARCH("Abdullah Rashid Shaikh",M175)),"Shareholder",
        ISNUMBER(SEARCH("Advanced Equipments",M175)),"Equipment Rental",
        ISNUMBER(SEARCH("Al Banuk Sana",M175)),"Telecom Company",
        ISNUMBER(SEARCH("Al Khaleefa Factory",M175)),"Manufacturer",
        ISNUMBER(SEARCH("Al Saadeh Trading",M175)),"Trading Company",
        ISNUMBER(SEARCH("Al Zaehaan",M175)),"Trading Company",
        ISNUMBER(SEARCH("Ali Abdullah K Al Darwish",M175)),"Airlines",
        ISNUMBER(SEARCH("Bupa Arabia",M175)),"Health Insurance",
        ISNUMBER(SEARCH("Dar Fahoosaat",M175)),"Consultant",
        ISNUMBER(SEARCH("General Authority of Zakat",M175)),"Tax Collection",
        ISNUMBER(SEARCH("Gulf Voyager",M175)),"Travel Agency",
        ISNUMBER(SEARCH("Hopeway Trading",M175)),"Trading Company",
        ISNUMBER(SEARCH("Interhealth Medical",M175)),"Medical Services",
        ISNUMBER(SEARCH("Ishaar",M175)),"Online Payment Service",
        ISNUMBER(SEARCH("ISO Arabia",M175)),"Certification",
        ISNUMBER(SEARCH("Khalid Saad Al Otaibi",M175)),"Trading Company",
        ISNUMBER(SEARCH("MERAS for Decoration",M175)),"Decor Company",
        ISNUMBER(SEARCH("Middle East Customs Clearance",M175)),"Customs",
        ISNUMBER(SEARCH("Ministry of Human Resources",M175)),"Government",
        ISNUMBER(SEARCH("My Business Services",M175)),"Service Provider",
        ISNUMBER(SEARCH("National Water Company",M175)),"Water Company",
        ISNUMBER(SEARCH("Rania Contracting",M175)),"Contracting",
        ISNUMBER(SEARCH("Rashid Ali Sheikh",M175)),"Shareholder",
        ISNUMBER(SEARCH("Sahab United Motors",M175)),"Car Show Room",
        ISNUMBER(SEARCH("Saud Mohammed Al Tamimi",M175)),"Shareholder",
        ISNUMBER(SEARCH("Saud Mohammed Tamimi",M175)),"Shareholder",
        ISNUMBER(SEARCH("Saudi Electric Company",M175)),"Electricity Company",
        ISNUMBER(SEARCH("Saudi Vetonit",M175)),"Building Materials",
        ISNUMBER(SEARCH("Shomoul Eng",M175)),"Safety",
        ISNUMBER(SEARCH("STC",M175)),"Telecom Company",
        ISNUMBER(SEARCH("The General Organization for Social Insurance",M175)),"Social Insurance Agency",
        ISNUMBER(SEARCH("TUV Rheinland",M175)),"Certification",
        ISNUMBER(SEARCH("Al Arabia Ceramic",M175)),"Building Materials",
        ISNUMBER(SEARCH("National Company for Building and Marketing",M175)),"Parent Company",
        ISNUMBER(SEARCH("Athraa Holding",M175)),"Holding Company",
        ISNUMBER(SEARCH("Al Rasan",M175)),"Contracting",
        ISNUMBER(SEARCH("Raboua Al Haid",M175)),"Trading Company",
        ISNUMBER(SEARCH("Al Jazeera Paint",M175)),"Manufacturer",
        ISNUMBER(SEARCH("Rania Works Contracting",M175)),"Contracting",
        ISNUMBER(SEARCH("Bandar Jarallah",M175)),"Trading Establishment",
        ISNUMBER(SEARCH("RS Infratec Saudi",M175)),"Same Company",
        ISNUMBER(SEARCH("Payroll",M175)),"Bank",
        ISNUMBER(SEARCH("Expatriate",M175)),"Government",
        ISNUMBER(SEARCH("Unknown Sender",M175)),"Unknown",
        TRUE,"Unknown"
    ),
    "-"
)</f>
        <v>Parent Company</v>
      </c>
      <c r="AA175" s="25" t="str" cm="1">
        <f t="array" ref="AA175">_xlfn.IFNA(
    _xlfn.IFS(
        Z175="Lender","Financing",
        Z175="Accounting","Accounting",
        Z175="Shareholder","Individual",
        Z175="Equipment Rental","Equipment Rental",
        Z175="Telecom Company","Telecom",
        Z175="Manufacturer","Manufacturer",
        Z175="Trading Company","Trading And Transport",
        Z175="Trading Establishment","Trading",
        Z175="Airlines","Airlines",
        Z175="Health Insurance","Insurance",
        Z175="Consultant","Consultant",
        Z175="Tax Collection","Government",
        Z175="Travel Agency","Travel Agency",
        Z175="Medical Services","Medical Center",
        Z175="Online Payment Service","Payment Facilitator",
        Z175="Certification","Safety",
        Z175="Decor Company","Design",
        Z175="Customs","Customs",
        Z175="Government","Government",
        Z175="Service Provider","Service Provider",
        Z175="Water Company","Water Company",
        Z175="Contracting","Contracting",
        Z175="Car Show Room","Car Trader",
        Z175="Electricity Company","Electricity Company",
        Z175="Building Materials","Building Materials",
        Z175="Safety","Safety",
        Z175="Social Insurance Agency","Government Fund",
        Z175="Parent Company","Holding Company",
        Z175="Holding Company","Holding Company",
        Z175="Same Company","Construction",
        Z175="Bank","Bank",
        Z175="Unknown","Unknown",
        TRUE,"-"
    ),
    "-"
)</f>
        <v>Holding Company</v>
      </c>
      <c r="AB175" s="25" t="str">
        <f t="shared" si="9"/>
        <v>-</v>
      </c>
      <c r="AC175" s="25" t="str" cm="1">
        <f t="array" ref="AC175">_xlfn.IFNA(
    _xlfn.IFS(
        Z175="Shareholder","Shareholder",
        Z175="Same Company","Same Company",
        Z175="Bank","Bank",
        Z175="Government","Government",
        Z175="Social Insurance Agency","Government",
        Z175="Parent Company","Customer",
        Z175="Lender","Lender",
        Z175="Unknown","Unknown",
        ISNUMBER(SEARCH("Abdullah Abdulkarim",M175)),"Service Provider",
        ISNUMBER(SEARCH("Abdullah Fahad",M175)),"Service Provider",
        ISNUMBER(SEARCH("Advanced Equipments",M175)),"Supplier",
        ISNUMBER(SEARCH("Al Banuk Sana",M175)),"Supplier",
        ISNUMBER(SEARCH("Al Khaleefa Factory",M175)),"Supplier",
        ISNUMBER(SEARCH("Al Saadeh Trading",M175)),"Supplier",
        ISNUMBER(SEARCH("Al Zaehaan",M175)),"Supplier",
        ISNUMBER(SEARCH("Ali Abdullah K Al Darwish",M175)),"Service Provider",
        ISNUMBER(SEARCH("Bupa Arabia",M175)),"Insurance Company",
        ISNUMBER(SEARCH("Dar Fahoosaat",M175)),"Service Provider",
        ISNUMBER(SEARCH("General Authority of Zakat",M175)),"Tax Authority",
        ISNUMBER(SEARCH("Gulf Voyager",M175)),"Service Provider",
        ISNUMBER(SEARCH("Hopeway Trading",M175)),"Supplier",
        ISNUMBER(SEARCH("Interhealth Medical",M175)),"Customer",
        ISNUMBER(SEARCH("Ishaar",M175)),"Service Provider",
        ISNUMBER(SEARCH("ISO Arabia",M175)),"Service Provider",
        ISNUMBER(SEARCH("Khalid Saad Al Otaibi",M175)),"Supplier",
        ISNUMBER(SEARCH("MERAS for Decoration",M175)),"Supplier",
        ISNUMBER(SEARCH("Middle East Customs Clearance",M175)),"Service Provider",
        ISNUMBER(SEARCH("Ministry of Human Resources",M175)),"Regulatory Agency",
        ISNUMBER(SEARCH("My Business Services",M175)),"Service Provider",
        ISNUMBER(SEARCH("National Water Company",M175)),"Utility Provider",
        ISNUMBER(SEARCH("Rania Contracting",M175)),"Supplier",
        ISNUMBER(SEARCH("Sahab United Motors",M175)),"Supplier",
        ISNUMBER(SEARCH("Saudi Electric Company",M175)),"Utility Provider",
        ISNUMBER(SEARCH("Saudi Vetonit",M175)),"Supplier",
        ISNUMBER(SEARCH("Shomoul Eng",M175)),"Service Provider",
        ISNUMBER(SEARCH("STC",M175)),"Utility Provider",
        ISNUMBER(SEARCH("The General Organization for Social Insurance",M175)),"Social Insurance Agency",
        ISNUMBER(SEARCH("TUV Rheinland",M175)),"Service Provider",
        ISNUMBER(SEARCH("Al Arabia Ceramic",M175)),"Supplier",
        ISNUMBER(SEARCH("National Company for Building",M175)),"Customer",
        ISNUMBER(SEARCH("Athraa Holding",M175)),"Customer",
        ISNUMBER(SEARCH("Al Rasan",M175)),"Supplier",
        ISNUMBER(SEARCH("Raboua Al Haid",M175)),"Customer",
        ISNUMBER(SEARCH("Al Jazeera Paint",M175)),"Supplier",
        ISNUMBER(SEARCH("Rania Works Contracting",M175)),"Supplier",
        ISNUMBER(SEARCH("Bandar Jarallah",M175)),"Supplier",
        TRUE,"Supplier"
    ),
    "-"
)</f>
        <v>Customer</v>
      </c>
      <c r="AD175" s="25" t="str" cm="1">
        <f t="array" ref="AD175">_xlfn.IFNA(
    _xlfn.IFS(
        AC175="Same Company","High",
        AC175="Shareholder","High",
        AC175="Government","High",
        AC175="Bank","High",
        AC175="Lender","High",
        AC175="Unknown","Low",
        AC175="-","Low",
        TRUE,"Medium"
    ),
    "-"
)</f>
        <v>Medium</v>
      </c>
      <c r="AE175" s="25" t="str">
        <f t="shared" si="10"/>
        <v>-</v>
      </c>
      <c r="AF175" s="25" t="str" cm="1">
        <f t="array" ref="AF175">_xlfn.IFNA(
    _xlfn.IFS(
        K175="Credit",
            _xlfn.IFS(
                OR(ISNUMBER(SEARCH("Rejected",L175)),ISNUMBER(SEARCH("Returned",L175))),"Other Income",
                TRUE,"Revenue"
            ),
        K175="Debit",
            _xlfn.IFS(
                ISNUMBER(SEARCH("Payroll",L175)),"OPEX",
                ISNUMBER(SEARCH("Expatriate",L175)),"OPEX",
                ISNUMBER(SEARCH("Zakat",M175)),"ZATCA",
                ISNUMBER(SEARCH("General Organization for Social Insurance",M175)),"OPEX",
                ISNUMBER(SEARCH("Saudi Electric",M175)),"OPEX",
                ISNUMBER(SEARCH("STC",M175)),"OPEX",
                ISNUMBER(SEARCH("National Water",M175)),"OPEX",
                ISNUMBER(SEARCH("Bupa",M175)),"OPEX",
                ISNUMBER(SEARCH("Abdullah Abdulkarim",M175)),"OPEX",
                ISNUMBER(SEARCH("Abdullah Fahad",M175)),"OPEX",
                ISNUMBER(SEARCH("ISO Arabia",M175)),"OPEX",
                ISNUMBER(SEARCH("Gulf Voyager",M175)),"OPEX",
                ISNUMBER(SEARCH("Ministry",M175)),"OPEX",
                ISNUMBER(SEARCH("General Authority of Zakat",M175)),"ZATCA",
                ISNUMBER(SEARCH("Rejected",L175)),"Other Income",
                TRUE,"COGS"
            ),
        TRUE,"-"
    ),
    "-"
)</f>
        <v>Revenue</v>
      </c>
      <c r="AG175" s="25" t="str" cm="1">
        <f t="array" ref="AG175">_xlfn.IFNA(
    _xlfn.IFS(
        ISNUMBER(SEARCH("Payroll",L175)),"Payroll",
        ISNUMBER(SEARCH("Expatriate",L175)),"Government Fees",
        ISNUMBER(SEARCH("Zakat",M175)),"Zakat",
        ISNUMBER(SEARCH("Social Insurance",M175)),"Social Insurance",
        ISNUMBER(SEARCH("Saudi Electric",M175)),"Electricity",
        ISNUMBER(SEARCH("STC",M175)),"Telecom",
        ISNUMBER(SEARCH("National Water",M175)),"Water",
        ISNUMBER(SEARCH("Bupa",M175)),"Insurance",
        ISNUMBER(SEARCH("Gulf Voyager",M175)),"Travel",
        ISNUMBER(SEARCH("Ministry",M175)),"Government Fees",
        ISNUMBER(SEARCH("Abdullah Abdulkarim",M175)),"Consulting",
        ISNUMBER(SEARCH("Abdullah Fahad",M175)),"Accounting",
        ISNUMBER(SEARCH("ISO Arabia",M175)),"Consulting",
        ISNUMBER(SEARCH("Rejected",L175)),"Refund",
        AF175="COGS","Inventory Purchase",
        AF175="Revenue","Revenue",
        AF175="OPEX","Other",
        AF175="ZATCA","Zakat",
        TRUE,"-"
    ),
    "-"
)</f>
        <v>Revenue</v>
      </c>
      <c r="AH175" s="25" t="str" cm="1">
        <f t="array" ref="AH175">_xlfn.IFNA(
    _xlfn.IFS(
        AF175="-","Low",
        AF175="Other","Low",
        TRUE,"Medium"
    ),
    "-"
)</f>
        <v>Medium</v>
      </c>
      <c r="AI175" s="25" t="str">
        <f t="shared" si="11"/>
        <v>-</v>
      </c>
    </row>
    <row r="176" spans="1:35" x14ac:dyDescent="0.25">
      <c r="A176" s="10">
        <v>59</v>
      </c>
      <c r="B176" s="10" t="s">
        <v>35</v>
      </c>
      <c r="C176" s="10" t="s">
        <v>36</v>
      </c>
      <c r="D176" s="10" t="s">
        <v>37</v>
      </c>
      <c r="E176" s="10" t="s">
        <v>38</v>
      </c>
      <c r="F176" s="11" t="s">
        <v>39</v>
      </c>
      <c r="G176" s="10" t="s">
        <v>40</v>
      </c>
      <c r="H176" s="12">
        <v>45014</v>
      </c>
      <c r="I176" s="20">
        <v>211736.82</v>
      </c>
      <c r="J176" s="20">
        <v>200000</v>
      </c>
      <c r="K176" s="10" t="s">
        <v>116</v>
      </c>
      <c r="L176" s="9" t="s">
        <v>224</v>
      </c>
      <c r="M176" s="9" t="s">
        <v>231</v>
      </c>
      <c r="O176" s="9" t="s">
        <v>226</v>
      </c>
      <c r="P176" s="15">
        <v>45014</v>
      </c>
      <c r="Q176" s="9" t="s">
        <v>268</v>
      </c>
      <c r="R176" s="16">
        <v>200000</v>
      </c>
      <c r="U176" s="9" t="s">
        <v>55</v>
      </c>
      <c r="V176" s="24" t="str" cm="1">
        <f t="array" ref="V176">_xlfn.IFNA(
    _xlfn.IFS(
        ISNUMBER(SEARCH("Fast Outgoing Transfer",L176)),"Transfer",
        ISNUMBER(SEARCH("Incoming Fast Transfer",L176)),"Transfer",
        ISNUMBER(SEARCH("Outgoing International Transfer",L176)),"Transfer",
        ISNUMBER(SEARCH("Bill Payment",L176)),"SADAD",
        ISNUMBER(SEARCH("Payroll",L176)),"Payroll",
        ISNUMBER(SEARCH("Cash Deposit",L176)),"Cash",
        ISNUMBER(SEARCH("Internal Transfer",L176)),"Transfer",
        ISNUMBER(SEARCH("Expatriate Services Payment",L176)),"SADAD",
        ISNUMBER(SEARCH("Rejected",L176)),"Transfer"
    ),
    "-"
)</f>
        <v>Transfer</v>
      </c>
      <c r="W176" s="25" t="str" cm="1">
        <f t="array" ref="W176">_xlfn.IFNA(
    _xlfn.IFS(
        AND(V176="Transfer",ISNUMBER(SEARCH("RIYAD BANK",L176))),"External FI",
        AND(V176="Transfer",ISNUMBER(SEARCH("Al Ahli",L176))),"External FI",
        AND(V176="Transfer",ISNUMBER(SEARCH("CIB via",L176))),"Local Transfer",
        AND(V176="Transfer",ISNUMBER(SEARCH("CIB)",L176))),"Local Transfer",
        AND(V176="Transfer",ISNUMBER(SEARCH("SMRT",L176))),"Local Transfer",
        AND(V176="Transfer",ISNUMBER(SEARCH("Al Murabba",L176))),"Local Transfer",
        AND(V176="Transfer",ISNUMBER(SEARCH("Internal Transfer",L176))),"Same FI",
        AND(V176="Transfer",ISNUMBER(SEARCH("Rejected",L176))),"Failed",
        V176="SADAD",
            _xlfn.IFS(
                ISNUMBER(SEARCH("Expatriate",L176)),"Expat Fees",
                TRUE,"Online Payment"
            ),
        V176="Payroll","Payroll",
        V176="Cash","Deposit",
        TRUE,"-"
    ),
    "-"
)</f>
        <v>Local Transfer</v>
      </c>
      <c r="X176" s="25" t="str" cm="1">
        <f t="array" ref="X176">_xlfn.IFNA(
    _xlfn.IFS(
        V176="-","Low",
        W176="-","Low",
        TRUE,"High"
    ),
    "-"
)</f>
        <v>High</v>
      </c>
      <c r="Y176" s="25" t="str">
        <f t="shared" si="8"/>
        <v>-</v>
      </c>
      <c r="Z176" s="25" t="str" cm="1">
        <f t="array" ref="Z176">_xlfn.IFNA(
    _xlfn.IFS(
        ISNUMBER(SEARCH("Abdul Latif Jameel",M176)),"Lender",
        ISNUMBER(SEARCH("Abdullah Abdulkarim Al Sudais",M176)),"Accounting",
        ISNUMBER(SEARCH("Abdullah Fahad for Accounting",M176)),"Accounting",
        ISNUMBER(SEARCH("Abdullah Rashid Shaikh",M176)),"Shareholder",
        ISNUMBER(SEARCH("Advanced Equipments",M176)),"Equipment Rental",
        ISNUMBER(SEARCH("Al Banuk Sana",M176)),"Telecom Company",
        ISNUMBER(SEARCH("Al Khaleefa Factory",M176)),"Manufacturer",
        ISNUMBER(SEARCH("Al Saadeh Trading",M176)),"Trading Company",
        ISNUMBER(SEARCH("Al Zaehaan",M176)),"Trading Company",
        ISNUMBER(SEARCH("Ali Abdullah K Al Darwish",M176)),"Airlines",
        ISNUMBER(SEARCH("Bupa Arabia",M176)),"Health Insurance",
        ISNUMBER(SEARCH("Dar Fahoosaat",M176)),"Consultant",
        ISNUMBER(SEARCH("General Authority of Zakat",M176)),"Tax Collection",
        ISNUMBER(SEARCH("Gulf Voyager",M176)),"Travel Agency",
        ISNUMBER(SEARCH("Hopeway Trading",M176)),"Trading Company",
        ISNUMBER(SEARCH("Interhealth Medical",M176)),"Medical Services",
        ISNUMBER(SEARCH("Ishaar",M176)),"Online Payment Service",
        ISNUMBER(SEARCH("ISO Arabia",M176)),"Certification",
        ISNUMBER(SEARCH("Khalid Saad Al Otaibi",M176)),"Trading Company",
        ISNUMBER(SEARCH("MERAS for Decoration",M176)),"Decor Company",
        ISNUMBER(SEARCH("Middle East Customs Clearance",M176)),"Customs",
        ISNUMBER(SEARCH("Ministry of Human Resources",M176)),"Government",
        ISNUMBER(SEARCH("My Business Services",M176)),"Service Provider",
        ISNUMBER(SEARCH("National Water Company",M176)),"Water Company",
        ISNUMBER(SEARCH("Rania Contracting",M176)),"Contracting",
        ISNUMBER(SEARCH("Rashid Ali Sheikh",M176)),"Shareholder",
        ISNUMBER(SEARCH("Sahab United Motors",M176)),"Car Show Room",
        ISNUMBER(SEARCH("Saud Mohammed Al Tamimi",M176)),"Shareholder",
        ISNUMBER(SEARCH("Saud Mohammed Tamimi",M176)),"Shareholder",
        ISNUMBER(SEARCH("Saudi Electric Company",M176)),"Electricity Company",
        ISNUMBER(SEARCH("Saudi Vetonit",M176)),"Building Materials",
        ISNUMBER(SEARCH("Shomoul Eng",M176)),"Safety",
        ISNUMBER(SEARCH("STC",M176)),"Telecom Company",
        ISNUMBER(SEARCH("The General Organization for Social Insurance",M176)),"Social Insurance Agency",
        ISNUMBER(SEARCH("TUV Rheinland",M176)),"Certification",
        ISNUMBER(SEARCH("Al Arabia Ceramic",M176)),"Building Materials",
        ISNUMBER(SEARCH("National Company for Building and Marketing",M176)),"Parent Company",
        ISNUMBER(SEARCH("Athraa Holding",M176)),"Holding Company",
        ISNUMBER(SEARCH("Al Rasan",M176)),"Contracting",
        ISNUMBER(SEARCH("Raboua Al Haid",M176)),"Trading Company",
        ISNUMBER(SEARCH("Al Jazeera Paint",M176)),"Manufacturer",
        ISNUMBER(SEARCH("Rania Works Contracting",M176)),"Contracting",
        ISNUMBER(SEARCH("Bandar Jarallah",M176)),"Trading Establishment",
        ISNUMBER(SEARCH("RS Infratec Saudi",M176)),"Same Company",
        ISNUMBER(SEARCH("Payroll",M176)),"Bank",
        ISNUMBER(SEARCH("Expatriate",M176)),"Government",
        ISNUMBER(SEARCH("Unknown Sender",M176)),"Unknown",
        TRUE,"Unknown"
    ),
    "-"
)</f>
        <v>Parent Company</v>
      </c>
      <c r="AA176" s="25" t="str" cm="1">
        <f t="array" ref="AA176">_xlfn.IFNA(
    _xlfn.IFS(
        Z176="Lender","Financing",
        Z176="Accounting","Accounting",
        Z176="Shareholder","Individual",
        Z176="Equipment Rental","Equipment Rental",
        Z176="Telecom Company","Telecom",
        Z176="Manufacturer","Manufacturer",
        Z176="Trading Company","Trading And Transport",
        Z176="Trading Establishment","Trading",
        Z176="Airlines","Airlines",
        Z176="Health Insurance","Insurance",
        Z176="Consultant","Consultant",
        Z176="Tax Collection","Government",
        Z176="Travel Agency","Travel Agency",
        Z176="Medical Services","Medical Center",
        Z176="Online Payment Service","Payment Facilitator",
        Z176="Certification","Safety",
        Z176="Decor Company","Design",
        Z176="Customs","Customs",
        Z176="Government","Government",
        Z176="Service Provider","Service Provider",
        Z176="Water Company","Water Company",
        Z176="Contracting","Contracting",
        Z176="Car Show Room","Car Trader",
        Z176="Electricity Company","Electricity Company",
        Z176="Building Materials","Building Materials",
        Z176="Safety","Safety",
        Z176="Social Insurance Agency","Government Fund",
        Z176="Parent Company","Holding Company",
        Z176="Holding Company","Holding Company",
        Z176="Same Company","Construction",
        Z176="Bank","Bank",
        Z176="Unknown","Unknown",
        TRUE,"-"
    ),
    "-"
)</f>
        <v>Holding Company</v>
      </c>
      <c r="AB176" s="25" t="str">
        <f t="shared" si="9"/>
        <v>-</v>
      </c>
      <c r="AC176" s="25" t="str" cm="1">
        <f t="array" ref="AC176">_xlfn.IFNA(
    _xlfn.IFS(
        Z176="Shareholder","Shareholder",
        Z176="Same Company","Same Company",
        Z176="Bank","Bank",
        Z176="Government","Government",
        Z176="Social Insurance Agency","Government",
        Z176="Parent Company","Customer",
        Z176="Lender","Lender",
        Z176="Unknown","Unknown",
        ISNUMBER(SEARCH("Abdullah Abdulkarim",M176)),"Service Provider",
        ISNUMBER(SEARCH("Abdullah Fahad",M176)),"Service Provider",
        ISNUMBER(SEARCH("Advanced Equipments",M176)),"Supplier",
        ISNUMBER(SEARCH("Al Banuk Sana",M176)),"Supplier",
        ISNUMBER(SEARCH("Al Khaleefa Factory",M176)),"Supplier",
        ISNUMBER(SEARCH("Al Saadeh Trading",M176)),"Supplier",
        ISNUMBER(SEARCH("Al Zaehaan",M176)),"Supplier",
        ISNUMBER(SEARCH("Ali Abdullah K Al Darwish",M176)),"Service Provider",
        ISNUMBER(SEARCH("Bupa Arabia",M176)),"Insurance Company",
        ISNUMBER(SEARCH("Dar Fahoosaat",M176)),"Service Provider",
        ISNUMBER(SEARCH("General Authority of Zakat",M176)),"Tax Authority",
        ISNUMBER(SEARCH("Gulf Voyager",M176)),"Service Provider",
        ISNUMBER(SEARCH("Hopeway Trading",M176)),"Supplier",
        ISNUMBER(SEARCH("Interhealth Medical",M176)),"Customer",
        ISNUMBER(SEARCH("Ishaar",M176)),"Service Provider",
        ISNUMBER(SEARCH("ISO Arabia",M176)),"Service Provider",
        ISNUMBER(SEARCH("Khalid Saad Al Otaibi",M176)),"Supplier",
        ISNUMBER(SEARCH("MERAS for Decoration",M176)),"Supplier",
        ISNUMBER(SEARCH("Middle East Customs Clearance",M176)),"Service Provider",
        ISNUMBER(SEARCH("Ministry of Human Resources",M176)),"Regulatory Agency",
        ISNUMBER(SEARCH("My Business Services",M176)),"Service Provider",
        ISNUMBER(SEARCH("National Water Company",M176)),"Utility Provider",
        ISNUMBER(SEARCH("Rania Contracting",M176)),"Supplier",
        ISNUMBER(SEARCH("Sahab United Motors",M176)),"Supplier",
        ISNUMBER(SEARCH("Saudi Electric Company",M176)),"Utility Provider",
        ISNUMBER(SEARCH("Saudi Vetonit",M176)),"Supplier",
        ISNUMBER(SEARCH("Shomoul Eng",M176)),"Service Provider",
        ISNUMBER(SEARCH("STC",M176)),"Utility Provider",
        ISNUMBER(SEARCH("The General Organization for Social Insurance",M176)),"Social Insurance Agency",
        ISNUMBER(SEARCH("TUV Rheinland",M176)),"Service Provider",
        ISNUMBER(SEARCH("Al Arabia Ceramic",M176)),"Supplier",
        ISNUMBER(SEARCH("National Company for Building",M176)),"Customer",
        ISNUMBER(SEARCH("Athraa Holding",M176)),"Customer",
        ISNUMBER(SEARCH("Al Rasan",M176)),"Supplier",
        ISNUMBER(SEARCH("Raboua Al Haid",M176)),"Customer",
        ISNUMBER(SEARCH("Al Jazeera Paint",M176)),"Supplier",
        ISNUMBER(SEARCH("Rania Works Contracting",M176)),"Supplier",
        ISNUMBER(SEARCH("Bandar Jarallah",M176)),"Supplier",
        TRUE,"Supplier"
    ),
    "-"
)</f>
        <v>Customer</v>
      </c>
      <c r="AD176" s="25" t="str" cm="1">
        <f t="array" ref="AD176">_xlfn.IFNA(
    _xlfn.IFS(
        AC176="Same Company","High",
        AC176="Shareholder","High",
        AC176="Government","High",
        AC176="Bank","High",
        AC176="Lender","High",
        AC176="Unknown","Low",
        AC176="-","Low",
        TRUE,"Medium"
    ),
    "-"
)</f>
        <v>Medium</v>
      </c>
      <c r="AE176" s="25" t="str">
        <f t="shared" si="10"/>
        <v>-</v>
      </c>
      <c r="AF176" s="25" t="str" cm="1">
        <f t="array" ref="AF176">_xlfn.IFNA(
    _xlfn.IFS(
        K176="Credit",
            _xlfn.IFS(
                OR(ISNUMBER(SEARCH("Rejected",L176)),ISNUMBER(SEARCH("Returned",L176))),"Other Income",
                TRUE,"Revenue"
            ),
        K176="Debit",
            _xlfn.IFS(
                ISNUMBER(SEARCH("Payroll",L176)),"OPEX",
                ISNUMBER(SEARCH("Expatriate",L176)),"OPEX",
                ISNUMBER(SEARCH("Zakat",M176)),"ZATCA",
                ISNUMBER(SEARCH("General Organization for Social Insurance",M176)),"OPEX",
                ISNUMBER(SEARCH("Saudi Electric",M176)),"OPEX",
                ISNUMBER(SEARCH("STC",M176)),"OPEX",
                ISNUMBER(SEARCH("National Water",M176)),"OPEX",
                ISNUMBER(SEARCH("Bupa",M176)),"OPEX",
                ISNUMBER(SEARCH("Abdullah Abdulkarim",M176)),"OPEX",
                ISNUMBER(SEARCH("Abdullah Fahad",M176)),"OPEX",
                ISNUMBER(SEARCH("ISO Arabia",M176)),"OPEX",
                ISNUMBER(SEARCH("Gulf Voyager",M176)),"OPEX",
                ISNUMBER(SEARCH("Ministry",M176)),"OPEX",
                ISNUMBER(SEARCH("General Authority of Zakat",M176)),"ZATCA",
                ISNUMBER(SEARCH("Rejected",L176)),"Other Income",
                TRUE,"COGS"
            ),
        TRUE,"-"
    ),
    "-"
)</f>
        <v>Revenue</v>
      </c>
      <c r="AG176" s="25" t="str" cm="1">
        <f t="array" ref="AG176">_xlfn.IFNA(
    _xlfn.IFS(
        ISNUMBER(SEARCH("Payroll",L176)),"Payroll",
        ISNUMBER(SEARCH("Expatriate",L176)),"Government Fees",
        ISNUMBER(SEARCH("Zakat",M176)),"Zakat",
        ISNUMBER(SEARCH("Social Insurance",M176)),"Social Insurance",
        ISNUMBER(SEARCH("Saudi Electric",M176)),"Electricity",
        ISNUMBER(SEARCH("STC",M176)),"Telecom",
        ISNUMBER(SEARCH("National Water",M176)),"Water",
        ISNUMBER(SEARCH("Bupa",M176)),"Insurance",
        ISNUMBER(SEARCH("Gulf Voyager",M176)),"Travel",
        ISNUMBER(SEARCH("Ministry",M176)),"Government Fees",
        ISNUMBER(SEARCH("Abdullah Abdulkarim",M176)),"Consulting",
        ISNUMBER(SEARCH("Abdullah Fahad",M176)),"Accounting",
        ISNUMBER(SEARCH("ISO Arabia",M176)),"Consulting",
        ISNUMBER(SEARCH("Rejected",L176)),"Refund",
        AF176="COGS","Inventory Purchase",
        AF176="Revenue","Revenue",
        AF176="OPEX","Other",
        AF176="ZATCA","Zakat",
        TRUE,"-"
    ),
    "-"
)</f>
        <v>Revenue</v>
      </c>
      <c r="AH176" s="25" t="str" cm="1">
        <f t="array" ref="AH176">_xlfn.IFNA(
    _xlfn.IFS(
        AF176="-","Low",
        AF176="Other","Low",
        TRUE,"Medium"
    ),
    "-"
)</f>
        <v>Medium</v>
      </c>
      <c r="AI176" s="25" t="str">
        <f t="shared" si="11"/>
        <v>-</v>
      </c>
    </row>
    <row r="177" spans="1:35" x14ac:dyDescent="0.25">
      <c r="A177" s="10">
        <v>59</v>
      </c>
      <c r="B177" s="10" t="s">
        <v>35</v>
      </c>
      <c r="C177" s="10" t="s">
        <v>36</v>
      </c>
      <c r="D177" s="10" t="s">
        <v>37</v>
      </c>
      <c r="E177" s="10" t="s">
        <v>38</v>
      </c>
      <c r="F177" s="11" t="s">
        <v>39</v>
      </c>
      <c r="G177" s="10" t="s">
        <v>40</v>
      </c>
      <c r="H177" s="12">
        <v>45014</v>
      </c>
      <c r="I177" s="20">
        <v>108883.62</v>
      </c>
      <c r="J177" s="20">
        <v>100000</v>
      </c>
      <c r="K177" s="10" t="s">
        <v>116</v>
      </c>
      <c r="L177" s="9" t="s">
        <v>230</v>
      </c>
      <c r="M177" s="9" t="s">
        <v>231</v>
      </c>
      <c r="N177" s="9" t="s">
        <v>232</v>
      </c>
      <c r="O177" s="9" t="s">
        <v>233</v>
      </c>
      <c r="P177" s="15">
        <v>45014</v>
      </c>
      <c r="Q177" s="9" t="s">
        <v>269</v>
      </c>
      <c r="R177" s="16">
        <v>100000</v>
      </c>
      <c r="U177" s="9" t="s">
        <v>55</v>
      </c>
      <c r="V177" s="24" t="str" cm="1">
        <f t="array" ref="V177">_xlfn.IFNA(
    _xlfn.IFS(
        ISNUMBER(SEARCH("Fast Outgoing Transfer",L177)),"Transfer",
        ISNUMBER(SEARCH("Incoming Fast Transfer",L177)),"Transfer",
        ISNUMBER(SEARCH("Outgoing International Transfer",L177)),"Transfer",
        ISNUMBER(SEARCH("Bill Payment",L177)),"SADAD",
        ISNUMBER(SEARCH("Payroll",L177)),"Payroll",
        ISNUMBER(SEARCH("Cash Deposit",L177)),"Cash",
        ISNUMBER(SEARCH("Internal Transfer",L177)),"Transfer",
        ISNUMBER(SEARCH("Expatriate Services Payment",L177)),"SADAD",
        ISNUMBER(SEARCH("Rejected",L177)),"Transfer"
    ),
    "-"
)</f>
        <v>Transfer</v>
      </c>
      <c r="W177" s="25" t="str" cm="1">
        <f t="array" ref="W177">_xlfn.IFNA(
    _xlfn.IFS(
        AND(V177="Transfer",ISNUMBER(SEARCH("RIYAD BANK",L177))),"External FI",
        AND(V177="Transfer",ISNUMBER(SEARCH("Al Ahli",L177))),"External FI",
        AND(V177="Transfer",ISNUMBER(SEARCH("CIB via",L177))),"Local Transfer",
        AND(V177="Transfer",ISNUMBER(SEARCH("CIB)",L177))),"Local Transfer",
        AND(V177="Transfer",ISNUMBER(SEARCH("SMRT",L177))),"Local Transfer",
        AND(V177="Transfer",ISNUMBER(SEARCH("Al Murabba",L177))),"Local Transfer",
        AND(V177="Transfer",ISNUMBER(SEARCH("Internal Transfer",L177))),"Same FI",
        AND(V177="Transfer",ISNUMBER(SEARCH("Rejected",L177))),"Failed",
        V177="SADAD",
            _xlfn.IFS(
                ISNUMBER(SEARCH("Expatriate",L177)),"Expat Fees",
                TRUE,"Online Payment"
            ),
        V177="Payroll","Payroll",
        V177="Cash","Deposit",
        TRUE,"-"
    ),
    "-"
)</f>
        <v>External FI</v>
      </c>
      <c r="X177" s="25" t="str" cm="1">
        <f t="array" ref="X177">_xlfn.IFNA(
    _xlfn.IFS(
        V177="-","Low",
        W177="-","Low",
        TRUE,"High"
    ),
    "-"
)</f>
        <v>High</v>
      </c>
      <c r="Y177" s="25" t="str">
        <f t="shared" si="8"/>
        <v>-</v>
      </c>
      <c r="Z177" s="25" t="str" cm="1">
        <f t="array" ref="Z177">_xlfn.IFNA(
    _xlfn.IFS(
        ISNUMBER(SEARCH("Abdul Latif Jameel",M177)),"Lender",
        ISNUMBER(SEARCH("Abdullah Abdulkarim Al Sudais",M177)),"Accounting",
        ISNUMBER(SEARCH("Abdullah Fahad for Accounting",M177)),"Accounting",
        ISNUMBER(SEARCH("Abdullah Rashid Shaikh",M177)),"Shareholder",
        ISNUMBER(SEARCH("Advanced Equipments",M177)),"Equipment Rental",
        ISNUMBER(SEARCH("Al Banuk Sana",M177)),"Telecom Company",
        ISNUMBER(SEARCH("Al Khaleefa Factory",M177)),"Manufacturer",
        ISNUMBER(SEARCH("Al Saadeh Trading",M177)),"Trading Company",
        ISNUMBER(SEARCH("Al Zaehaan",M177)),"Trading Company",
        ISNUMBER(SEARCH("Ali Abdullah K Al Darwish",M177)),"Airlines",
        ISNUMBER(SEARCH("Bupa Arabia",M177)),"Health Insurance",
        ISNUMBER(SEARCH("Dar Fahoosaat",M177)),"Consultant",
        ISNUMBER(SEARCH("General Authority of Zakat",M177)),"Tax Collection",
        ISNUMBER(SEARCH("Gulf Voyager",M177)),"Travel Agency",
        ISNUMBER(SEARCH("Hopeway Trading",M177)),"Trading Company",
        ISNUMBER(SEARCH("Interhealth Medical",M177)),"Medical Services",
        ISNUMBER(SEARCH("Ishaar",M177)),"Online Payment Service",
        ISNUMBER(SEARCH("ISO Arabia",M177)),"Certification",
        ISNUMBER(SEARCH("Khalid Saad Al Otaibi",M177)),"Trading Company",
        ISNUMBER(SEARCH("MERAS for Decoration",M177)),"Decor Company",
        ISNUMBER(SEARCH("Middle East Customs Clearance",M177)),"Customs",
        ISNUMBER(SEARCH("Ministry of Human Resources",M177)),"Government",
        ISNUMBER(SEARCH("My Business Services",M177)),"Service Provider",
        ISNUMBER(SEARCH("National Water Company",M177)),"Water Company",
        ISNUMBER(SEARCH("Rania Contracting",M177)),"Contracting",
        ISNUMBER(SEARCH("Rashid Ali Sheikh",M177)),"Shareholder",
        ISNUMBER(SEARCH("Sahab United Motors",M177)),"Car Show Room",
        ISNUMBER(SEARCH("Saud Mohammed Al Tamimi",M177)),"Shareholder",
        ISNUMBER(SEARCH("Saud Mohammed Tamimi",M177)),"Shareholder",
        ISNUMBER(SEARCH("Saudi Electric Company",M177)),"Electricity Company",
        ISNUMBER(SEARCH("Saudi Vetonit",M177)),"Building Materials",
        ISNUMBER(SEARCH("Shomoul Eng",M177)),"Safety",
        ISNUMBER(SEARCH("STC",M177)),"Telecom Company",
        ISNUMBER(SEARCH("The General Organization for Social Insurance",M177)),"Social Insurance Agency",
        ISNUMBER(SEARCH("TUV Rheinland",M177)),"Certification",
        ISNUMBER(SEARCH("Al Arabia Ceramic",M177)),"Building Materials",
        ISNUMBER(SEARCH("National Company for Building and Marketing",M177)),"Parent Company",
        ISNUMBER(SEARCH("Athraa Holding",M177)),"Holding Company",
        ISNUMBER(SEARCH("Al Rasan",M177)),"Contracting",
        ISNUMBER(SEARCH("Raboua Al Haid",M177)),"Trading Company",
        ISNUMBER(SEARCH("Al Jazeera Paint",M177)),"Manufacturer",
        ISNUMBER(SEARCH("Rania Works Contracting",M177)),"Contracting",
        ISNUMBER(SEARCH("Bandar Jarallah",M177)),"Trading Establishment",
        ISNUMBER(SEARCH("RS Infratec Saudi",M177)),"Same Company",
        ISNUMBER(SEARCH("Payroll",M177)),"Bank",
        ISNUMBER(SEARCH("Expatriate",M177)),"Government",
        ISNUMBER(SEARCH("Unknown Sender",M177)),"Unknown",
        TRUE,"Unknown"
    ),
    "-"
)</f>
        <v>Parent Company</v>
      </c>
      <c r="AA177" s="25" t="str" cm="1">
        <f t="array" ref="AA177">_xlfn.IFNA(
    _xlfn.IFS(
        Z177="Lender","Financing",
        Z177="Accounting","Accounting",
        Z177="Shareholder","Individual",
        Z177="Equipment Rental","Equipment Rental",
        Z177="Telecom Company","Telecom",
        Z177="Manufacturer","Manufacturer",
        Z177="Trading Company","Trading And Transport",
        Z177="Trading Establishment","Trading",
        Z177="Airlines","Airlines",
        Z177="Health Insurance","Insurance",
        Z177="Consultant","Consultant",
        Z177="Tax Collection","Government",
        Z177="Travel Agency","Travel Agency",
        Z177="Medical Services","Medical Center",
        Z177="Online Payment Service","Payment Facilitator",
        Z177="Certification","Safety",
        Z177="Decor Company","Design",
        Z177="Customs","Customs",
        Z177="Government","Government",
        Z177="Service Provider","Service Provider",
        Z177="Water Company","Water Company",
        Z177="Contracting","Contracting",
        Z177="Car Show Room","Car Trader",
        Z177="Electricity Company","Electricity Company",
        Z177="Building Materials","Building Materials",
        Z177="Safety","Safety",
        Z177="Social Insurance Agency","Government Fund",
        Z177="Parent Company","Holding Company",
        Z177="Holding Company","Holding Company",
        Z177="Same Company","Construction",
        Z177="Bank","Bank",
        Z177="Unknown","Unknown",
        TRUE,"-"
    ),
    "-"
)</f>
        <v>Holding Company</v>
      </c>
      <c r="AB177" s="25" t="str">
        <f t="shared" si="9"/>
        <v>-</v>
      </c>
      <c r="AC177" s="25" t="str" cm="1">
        <f t="array" ref="AC177">_xlfn.IFNA(
    _xlfn.IFS(
        Z177="Shareholder","Shareholder",
        Z177="Same Company","Same Company",
        Z177="Bank","Bank",
        Z177="Government","Government",
        Z177="Social Insurance Agency","Government",
        Z177="Parent Company","Customer",
        Z177="Lender","Lender",
        Z177="Unknown","Unknown",
        ISNUMBER(SEARCH("Abdullah Abdulkarim",M177)),"Service Provider",
        ISNUMBER(SEARCH("Abdullah Fahad",M177)),"Service Provider",
        ISNUMBER(SEARCH("Advanced Equipments",M177)),"Supplier",
        ISNUMBER(SEARCH("Al Banuk Sana",M177)),"Supplier",
        ISNUMBER(SEARCH("Al Khaleefa Factory",M177)),"Supplier",
        ISNUMBER(SEARCH("Al Saadeh Trading",M177)),"Supplier",
        ISNUMBER(SEARCH("Al Zaehaan",M177)),"Supplier",
        ISNUMBER(SEARCH("Ali Abdullah K Al Darwish",M177)),"Service Provider",
        ISNUMBER(SEARCH("Bupa Arabia",M177)),"Insurance Company",
        ISNUMBER(SEARCH("Dar Fahoosaat",M177)),"Service Provider",
        ISNUMBER(SEARCH("General Authority of Zakat",M177)),"Tax Authority",
        ISNUMBER(SEARCH("Gulf Voyager",M177)),"Service Provider",
        ISNUMBER(SEARCH("Hopeway Trading",M177)),"Supplier",
        ISNUMBER(SEARCH("Interhealth Medical",M177)),"Customer",
        ISNUMBER(SEARCH("Ishaar",M177)),"Service Provider",
        ISNUMBER(SEARCH("ISO Arabia",M177)),"Service Provider",
        ISNUMBER(SEARCH("Khalid Saad Al Otaibi",M177)),"Supplier",
        ISNUMBER(SEARCH("MERAS for Decoration",M177)),"Supplier",
        ISNUMBER(SEARCH("Middle East Customs Clearance",M177)),"Service Provider",
        ISNUMBER(SEARCH("Ministry of Human Resources",M177)),"Regulatory Agency",
        ISNUMBER(SEARCH("My Business Services",M177)),"Service Provider",
        ISNUMBER(SEARCH("National Water Company",M177)),"Utility Provider",
        ISNUMBER(SEARCH("Rania Contracting",M177)),"Supplier",
        ISNUMBER(SEARCH("Sahab United Motors",M177)),"Supplier",
        ISNUMBER(SEARCH("Saudi Electric Company",M177)),"Utility Provider",
        ISNUMBER(SEARCH("Saudi Vetonit",M177)),"Supplier",
        ISNUMBER(SEARCH("Shomoul Eng",M177)),"Service Provider",
        ISNUMBER(SEARCH("STC",M177)),"Utility Provider",
        ISNUMBER(SEARCH("The General Organization for Social Insurance",M177)),"Social Insurance Agency",
        ISNUMBER(SEARCH("TUV Rheinland",M177)),"Service Provider",
        ISNUMBER(SEARCH("Al Arabia Ceramic",M177)),"Supplier",
        ISNUMBER(SEARCH("National Company for Building",M177)),"Customer",
        ISNUMBER(SEARCH("Athraa Holding",M177)),"Customer",
        ISNUMBER(SEARCH("Al Rasan",M177)),"Supplier",
        ISNUMBER(SEARCH("Raboua Al Haid",M177)),"Customer",
        ISNUMBER(SEARCH("Al Jazeera Paint",M177)),"Supplier",
        ISNUMBER(SEARCH("Rania Works Contracting",M177)),"Supplier",
        ISNUMBER(SEARCH("Bandar Jarallah",M177)),"Supplier",
        TRUE,"Supplier"
    ),
    "-"
)</f>
        <v>Customer</v>
      </c>
      <c r="AD177" s="25" t="str" cm="1">
        <f t="array" ref="AD177">_xlfn.IFNA(
    _xlfn.IFS(
        AC177="Same Company","High",
        AC177="Shareholder","High",
        AC177="Government","High",
        AC177="Bank","High",
        AC177="Lender","High",
        AC177="Unknown","Low",
        AC177="-","Low",
        TRUE,"Medium"
    ),
    "-"
)</f>
        <v>Medium</v>
      </c>
      <c r="AE177" s="25" t="str">
        <f t="shared" si="10"/>
        <v>-</v>
      </c>
      <c r="AF177" s="25" t="str" cm="1">
        <f t="array" ref="AF177">_xlfn.IFNA(
    _xlfn.IFS(
        K177="Credit",
            _xlfn.IFS(
                OR(ISNUMBER(SEARCH("Rejected",L177)),ISNUMBER(SEARCH("Returned",L177))),"Other Income",
                TRUE,"Revenue"
            ),
        K177="Debit",
            _xlfn.IFS(
                ISNUMBER(SEARCH("Payroll",L177)),"OPEX",
                ISNUMBER(SEARCH("Expatriate",L177)),"OPEX",
                ISNUMBER(SEARCH("Zakat",M177)),"ZATCA",
                ISNUMBER(SEARCH("General Organization for Social Insurance",M177)),"OPEX",
                ISNUMBER(SEARCH("Saudi Electric",M177)),"OPEX",
                ISNUMBER(SEARCH("STC",M177)),"OPEX",
                ISNUMBER(SEARCH("National Water",M177)),"OPEX",
                ISNUMBER(SEARCH("Bupa",M177)),"OPEX",
                ISNUMBER(SEARCH("Abdullah Abdulkarim",M177)),"OPEX",
                ISNUMBER(SEARCH("Abdullah Fahad",M177)),"OPEX",
                ISNUMBER(SEARCH("ISO Arabia",M177)),"OPEX",
                ISNUMBER(SEARCH("Gulf Voyager",M177)),"OPEX",
                ISNUMBER(SEARCH("Ministry",M177)),"OPEX",
                ISNUMBER(SEARCH("General Authority of Zakat",M177)),"ZATCA",
                ISNUMBER(SEARCH("Rejected",L177)),"Other Income",
                TRUE,"COGS"
            ),
        TRUE,"-"
    ),
    "-"
)</f>
        <v>Revenue</v>
      </c>
      <c r="AG177" s="25" t="str" cm="1">
        <f t="array" ref="AG177">_xlfn.IFNA(
    _xlfn.IFS(
        ISNUMBER(SEARCH("Payroll",L177)),"Payroll",
        ISNUMBER(SEARCH("Expatriate",L177)),"Government Fees",
        ISNUMBER(SEARCH("Zakat",M177)),"Zakat",
        ISNUMBER(SEARCH("Social Insurance",M177)),"Social Insurance",
        ISNUMBER(SEARCH("Saudi Electric",M177)),"Electricity",
        ISNUMBER(SEARCH("STC",M177)),"Telecom",
        ISNUMBER(SEARCH("National Water",M177)),"Water",
        ISNUMBER(SEARCH("Bupa",M177)),"Insurance",
        ISNUMBER(SEARCH("Gulf Voyager",M177)),"Travel",
        ISNUMBER(SEARCH("Ministry",M177)),"Government Fees",
        ISNUMBER(SEARCH("Abdullah Abdulkarim",M177)),"Consulting",
        ISNUMBER(SEARCH("Abdullah Fahad",M177)),"Accounting",
        ISNUMBER(SEARCH("ISO Arabia",M177)),"Consulting",
        ISNUMBER(SEARCH("Rejected",L177)),"Refund",
        AF177="COGS","Inventory Purchase",
        AF177="Revenue","Revenue",
        AF177="OPEX","Other",
        AF177="ZATCA","Zakat",
        TRUE,"-"
    ),
    "-"
)</f>
        <v>Revenue</v>
      </c>
      <c r="AH177" s="25" t="str" cm="1">
        <f t="array" ref="AH177">_xlfn.IFNA(
    _xlfn.IFS(
        AF177="-","Low",
        AF177="Other","Low",
        TRUE,"Medium"
    ),
    "-"
)</f>
        <v>Medium</v>
      </c>
      <c r="AI177" s="25" t="str">
        <f t="shared" si="11"/>
        <v>-</v>
      </c>
    </row>
    <row r="178" spans="1:35" x14ac:dyDescent="0.25">
      <c r="A178" s="10">
        <v>59</v>
      </c>
      <c r="B178" s="10" t="s">
        <v>35</v>
      </c>
      <c r="C178" s="10" t="s">
        <v>36</v>
      </c>
      <c r="D178" s="10" t="s">
        <v>37</v>
      </c>
      <c r="E178" s="10" t="s">
        <v>38</v>
      </c>
      <c r="F178" s="11" t="s">
        <v>39</v>
      </c>
      <c r="G178" s="11" t="s">
        <v>40</v>
      </c>
      <c r="H178" s="12">
        <v>45015</v>
      </c>
      <c r="I178" s="20">
        <v>211731.07</v>
      </c>
      <c r="J178" s="20">
        <v>100000</v>
      </c>
      <c r="K178" s="10" t="s">
        <v>116</v>
      </c>
      <c r="L178" s="9" t="s">
        <v>224</v>
      </c>
      <c r="M178" s="9" t="s">
        <v>231</v>
      </c>
      <c r="O178" s="9" t="s">
        <v>226</v>
      </c>
      <c r="P178" s="15">
        <v>45015</v>
      </c>
      <c r="Q178" s="9" t="s">
        <v>270</v>
      </c>
      <c r="R178" s="16">
        <v>100000</v>
      </c>
      <c r="U178" s="9" t="s">
        <v>55</v>
      </c>
      <c r="V178" s="24" t="str" cm="1">
        <f t="array" ref="V178">_xlfn.IFNA(
    _xlfn.IFS(
        ISNUMBER(SEARCH("Fast Outgoing Transfer",L178)),"Transfer",
        ISNUMBER(SEARCH("Incoming Fast Transfer",L178)),"Transfer",
        ISNUMBER(SEARCH("Outgoing International Transfer",L178)),"Transfer",
        ISNUMBER(SEARCH("Bill Payment",L178)),"SADAD",
        ISNUMBER(SEARCH("Payroll",L178)),"Payroll",
        ISNUMBER(SEARCH("Cash Deposit",L178)),"Cash",
        ISNUMBER(SEARCH("Internal Transfer",L178)),"Transfer",
        ISNUMBER(SEARCH("Expatriate Services Payment",L178)),"SADAD",
        ISNUMBER(SEARCH("Rejected",L178)),"Transfer"
    ),
    "-"
)</f>
        <v>Transfer</v>
      </c>
      <c r="W178" s="25" t="str" cm="1">
        <f t="array" ref="W178">_xlfn.IFNA(
    _xlfn.IFS(
        AND(V178="Transfer",ISNUMBER(SEARCH("RIYAD BANK",L178))),"External FI",
        AND(V178="Transfer",ISNUMBER(SEARCH("Al Ahli",L178))),"External FI",
        AND(V178="Transfer",ISNUMBER(SEARCH("CIB via",L178))),"Local Transfer",
        AND(V178="Transfer",ISNUMBER(SEARCH("CIB)",L178))),"Local Transfer",
        AND(V178="Transfer",ISNUMBER(SEARCH("SMRT",L178))),"Local Transfer",
        AND(V178="Transfer",ISNUMBER(SEARCH("Al Murabba",L178))),"Local Transfer",
        AND(V178="Transfer",ISNUMBER(SEARCH("Internal Transfer",L178))),"Same FI",
        AND(V178="Transfer",ISNUMBER(SEARCH("Rejected",L178))),"Failed",
        V178="SADAD",
            _xlfn.IFS(
                ISNUMBER(SEARCH("Expatriate",L178)),"Expat Fees",
                TRUE,"Online Payment"
            ),
        V178="Payroll","Payroll",
        V178="Cash","Deposit",
        TRUE,"-"
    ),
    "-"
)</f>
        <v>Local Transfer</v>
      </c>
      <c r="X178" s="25" t="str" cm="1">
        <f t="array" ref="X178">_xlfn.IFNA(
    _xlfn.IFS(
        V178="-","Low",
        W178="-","Low",
        TRUE,"High"
    ),
    "-"
)</f>
        <v>High</v>
      </c>
      <c r="Y178" s="25" t="str">
        <f t="shared" si="8"/>
        <v>-</v>
      </c>
      <c r="Z178" s="25" t="str" cm="1">
        <f t="array" ref="Z178">_xlfn.IFNA(
    _xlfn.IFS(
        ISNUMBER(SEARCH("Abdul Latif Jameel",M178)),"Lender",
        ISNUMBER(SEARCH("Abdullah Abdulkarim Al Sudais",M178)),"Accounting",
        ISNUMBER(SEARCH("Abdullah Fahad for Accounting",M178)),"Accounting",
        ISNUMBER(SEARCH("Abdullah Rashid Shaikh",M178)),"Shareholder",
        ISNUMBER(SEARCH("Advanced Equipments",M178)),"Equipment Rental",
        ISNUMBER(SEARCH("Al Banuk Sana",M178)),"Telecom Company",
        ISNUMBER(SEARCH("Al Khaleefa Factory",M178)),"Manufacturer",
        ISNUMBER(SEARCH("Al Saadeh Trading",M178)),"Trading Company",
        ISNUMBER(SEARCH("Al Zaehaan",M178)),"Trading Company",
        ISNUMBER(SEARCH("Ali Abdullah K Al Darwish",M178)),"Airlines",
        ISNUMBER(SEARCH("Bupa Arabia",M178)),"Health Insurance",
        ISNUMBER(SEARCH("Dar Fahoosaat",M178)),"Consultant",
        ISNUMBER(SEARCH("General Authority of Zakat",M178)),"Tax Collection",
        ISNUMBER(SEARCH("Gulf Voyager",M178)),"Travel Agency",
        ISNUMBER(SEARCH("Hopeway Trading",M178)),"Trading Company",
        ISNUMBER(SEARCH("Interhealth Medical",M178)),"Medical Services",
        ISNUMBER(SEARCH("Ishaar",M178)),"Online Payment Service",
        ISNUMBER(SEARCH("ISO Arabia",M178)),"Certification",
        ISNUMBER(SEARCH("Khalid Saad Al Otaibi",M178)),"Trading Company",
        ISNUMBER(SEARCH("MERAS for Decoration",M178)),"Decor Company",
        ISNUMBER(SEARCH("Middle East Customs Clearance",M178)),"Customs",
        ISNUMBER(SEARCH("Ministry of Human Resources",M178)),"Government",
        ISNUMBER(SEARCH("My Business Services",M178)),"Service Provider",
        ISNUMBER(SEARCH("National Water Company",M178)),"Water Company",
        ISNUMBER(SEARCH("Rania Contracting",M178)),"Contracting",
        ISNUMBER(SEARCH("Rashid Ali Sheikh",M178)),"Shareholder",
        ISNUMBER(SEARCH("Sahab United Motors",M178)),"Car Show Room",
        ISNUMBER(SEARCH("Saud Mohammed Al Tamimi",M178)),"Shareholder",
        ISNUMBER(SEARCH("Saud Mohammed Tamimi",M178)),"Shareholder",
        ISNUMBER(SEARCH("Saudi Electric Company",M178)),"Electricity Company",
        ISNUMBER(SEARCH("Saudi Vetonit",M178)),"Building Materials",
        ISNUMBER(SEARCH("Shomoul Eng",M178)),"Safety",
        ISNUMBER(SEARCH("STC",M178)),"Telecom Company",
        ISNUMBER(SEARCH("The General Organization for Social Insurance",M178)),"Social Insurance Agency",
        ISNUMBER(SEARCH("TUV Rheinland",M178)),"Certification",
        ISNUMBER(SEARCH("Al Arabia Ceramic",M178)),"Building Materials",
        ISNUMBER(SEARCH("National Company for Building and Marketing",M178)),"Parent Company",
        ISNUMBER(SEARCH("Athraa Holding",M178)),"Holding Company",
        ISNUMBER(SEARCH("Al Rasan",M178)),"Contracting",
        ISNUMBER(SEARCH("Raboua Al Haid",M178)),"Trading Company",
        ISNUMBER(SEARCH("Al Jazeera Paint",M178)),"Manufacturer",
        ISNUMBER(SEARCH("Rania Works Contracting",M178)),"Contracting",
        ISNUMBER(SEARCH("Bandar Jarallah",M178)),"Trading Establishment",
        ISNUMBER(SEARCH("RS Infratec Saudi",M178)),"Same Company",
        ISNUMBER(SEARCH("Payroll",M178)),"Bank",
        ISNUMBER(SEARCH("Expatriate",M178)),"Government",
        ISNUMBER(SEARCH("Unknown Sender",M178)),"Unknown",
        TRUE,"Unknown"
    ),
    "-"
)</f>
        <v>Parent Company</v>
      </c>
      <c r="AA178" s="25" t="str" cm="1">
        <f t="array" ref="AA178">_xlfn.IFNA(
    _xlfn.IFS(
        Z178="Lender","Financing",
        Z178="Accounting","Accounting",
        Z178="Shareholder","Individual",
        Z178="Equipment Rental","Equipment Rental",
        Z178="Telecom Company","Telecom",
        Z178="Manufacturer","Manufacturer",
        Z178="Trading Company","Trading And Transport",
        Z178="Trading Establishment","Trading",
        Z178="Airlines","Airlines",
        Z178="Health Insurance","Insurance",
        Z178="Consultant","Consultant",
        Z178="Tax Collection","Government",
        Z178="Travel Agency","Travel Agency",
        Z178="Medical Services","Medical Center",
        Z178="Online Payment Service","Payment Facilitator",
        Z178="Certification","Safety",
        Z178="Decor Company","Design",
        Z178="Customs","Customs",
        Z178="Government","Government",
        Z178="Service Provider","Service Provider",
        Z178="Water Company","Water Company",
        Z178="Contracting","Contracting",
        Z178="Car Show Room","Car Trader",
        Z178="Electricity Company","Electricity Company",
        Z178="Building Materials","Building Materials",
        Z178="Safety","Safety",
        Z178="Social Insurance Agency","Government Fund",
        Z178="Parent Company","Holding Company",
        Z178="Holding Company","Holding Company",
        Z178="Same Company","Construction",
        Z178="Bank","Bank",
        Z178="Unknown","Unknown",
        TRUE,"-"
    ),
    "-"
)</f>
        <v>Holding Company</v>
      </c>
      <c r="AB178" s="25" t="str">
        <f t="shared" si="9"/>
        <v>-</v>
      </c>
      <c r="AC178" s="25" t="str" cm="1">
        <f t="array" ref="AC178">_xlfn.IFNA(
    _xlfn.IFS(
        Z178="Shareholder","Shareholder",
        Z178="Same Company","Same Company",
        Z178="Bank","Bank",
        Z178="Government","Government",
        Z178="Social Insurance Agency","Government",
        Z178="Parent Company","Customer",
        Z178="Lender","Lender",
        Z178="Unknown","Unknown",
        ISNUMBER(SEARCH("Abdullah Abdulkarim",M178)),"Service Provider",
        ISNUMBER(SEARCH("Abdullah Fahad",M178)),"Service Provider",
        ISNUMBER(SEARCH("Advanced Equipments",M178)),"Supplier",
        ISNUMBER(SEARCH("Al Banuk Sana",M178)),"Supplier",
        ISNUMBER(SEARCH("Al Khaleefa Factory",M178)),"Supplier",
        ISNUMBER(SEARCH("Al Saadeh Trading",M178)),"Supplier",
        ISNUMBER(SEARCH("Al Zaehaan",M178)),"Supplier",
        ISNUMBER(SEARCH("Ali Abdullah K Al Darwish",M178)),"Service Provider",
        ISNUMBER(SEARCH("Bupa Arabia",M178)),"Insurance Company",
        ISNUMBER(SEARCH("Dar Fahoosaat",M178)),"Service Provider",
        ISNUMBER(SEARCH("General Authority of Zakat",M178)),"Tax Authority",
        ISNUMBER(SEARCH("Gulf Voyager",M178)),"Service Provider",
        ISNUMBER(SEARCH("Hopeway Trading",M178)),"Supplier",
        ISNUMBER(SEARCH("Interhealth Medical",M178)),"Customer",
        ISNUMBER(SEARCH("Ishaar",M178)),"Service Provider",
        ISNUMBER(SEARCH("ISO Arabia",M178)),"Service Provider",
        ISNUMBER(SEARCH("Khalid Saad Al Otaibi",M178)),"Supplier",
        ISNUMBER(SEARCH("MERAS for Decoration",M178)),"Supplier",
        ISNUMBER(SEARCH("Middle East Customs Clearance",M178)),"Service Provider",
        ISNUMBER(SEARCH("Ministry of Human Resources",M178)),"Regulatory Agency",
        ISNUMBER(SEARCH("My Business Services",M178)),"Service Provider",
        ISNUMBER(SEARCH("National Water Company",M178)),"Utility Provider",
        ISNUMBER(SEARCH("Rania Contracting",M178)),"Supplier",
        ISNUMBER(SEARCH("Sahab United Motors",M178)),"Supplier",
        ISNUMBER(SEARCH("Saudi Electric Company",M178)),"Utility Provider",
        ISNUMBER(SEARCH("Saudi Vetonit",M178)),"Supplier",
        ISNUMBER(SEARCH("Shomoul Eng",M178)),"Service Provider",
        ISNUMBER(SEARCH("STC",M178)),"Utility Provider",
        ISNUMBER(SEARCH("The General Organization for Social Insurance",M178)),"Social Insurance Agency",
        ISNUMBER(SEARCH("TUV Rheinland",M178)),"Service Provider",
        ISNUMBER(SEARCH("Al Arabia Ceramic",M178)),"Supplier",
        ISNUMBER(SEARCH("National Company for Building",M178)),"Customer",
        ISNUMBER(SEARCH("Athraa Holding",M178)),"Customer",
        ISNUMBER(SEARCH("Al Rasan",M178)),"Supplier",
        ISNUMBER(SEARCH("Raboua Al Haid",M178)),"Customer",
        ISNUMBER(SEARCH("Al Jazeera Paint",M178)),"Supplier",
        ISNUMBER(SEARCH("Rania Works Contracting",M178)),"Supplier",
        ISNUMBER(SEARCH("Bandar Jarallah",M178)),"Supplier",
        TRUE,"Supplier"
    ),
    "-"
)</f>
        <v>Customer</v>
      </c>
      <c r="AD178" s="25" t="str" cm="1">
        <f t="array" ref="AD178">_xlfn.IFNA(
    _xlfn.IFS(
        AC178="Same Company","High",
        AC178="Shareholder","High",
        AC178="Government","High",
        AC178="Bank","High",
        AC178="Lender","High",
        AC178="Unknown","Low",
        AC178="-","Low",
        TRUE,"Medium"
    ),
    "-"
)</f>
        <v>Medium</v>
      </c>
      <c r="AE178" s="25" t="str">
        <f t="shared" si="10"/>
        <v>-</v>
      </c>
      <c r="AF178" s="25" t="str" cm="1">
        <f t="array" ref="AF178">_xlfn.IFNA(
    _xlfn.IFS(
        K178="Credit",
            _xlfn.IFS(
                OR(ISNUMBER(SEARCH("Rejected",L178)),ISNUMBER(SEARCH("Returned",L178))),"Other Income",
                TRUE,"Revenue"
            ),
        K178="Debit",
            _xlfn.IFS(
                ISNUMBER(SEARCH("Payroll",L178)),"OPEX",
                ISNUMBER(SEARCH("Expatriate",L178)),"OPEX",
                ISNUMBER(SEARCH("Zakat",M178)),"ZATCA",
                ISNUMBER(SEARCH("General Organization for Social Insurance",M178)),"OPEX",
                ISNUMBER(SEARCH("Saudi Electric",M178)),"OPEX",
                ISNUMBER(SEARCH("STC",M178)),"OPEX",
                ISNUMBER(SEARCH("National Water",M178)),"OPEX",
                ISNUMBER(SEARCH("Bupa",M178)),"OPEX",
                ISNUMBER(SEARCH("Abdullah Abdulkarim",M178)),"OPEX",
                ISNUMBER(SEARCH("Abdullah Fahad",M178)),"OPEX",
                ISNUMBER(SEARCH("ISO Arabia",M178)),"OPEX",
                ISNUMBER(SEARCH("Gulf Voyager",M178)),"OPEX",
                ISNUMBER(SEARCH("Ministry",M178)),"OPEX",
                ISNUMBER(SEARCH("General Authority of Zakat",M178)),"ZATCA",
                ISNUMBER(SEARCH("Rejected",L178)),"Other Income",
                TRUE,"COGS"
            ),
        TRUE,"-"
    ),
    "-"
)</f>
        <v>Revenue</v>
      </c>
      <c r="AG178" s="25" t="str" cm="1">
        <f t="array" ref="AG178">_xlfn.IFNA(
    _xlfn.IFS(
        ISNUMBER(SEARCH("Payroll",L178)),"Payroll",
        ISNUMBER(SEARCH("Expatriate",L178)),"Government Fees",
        ISNUMBER(SEARCH("Zakat",M178)),"Zakat",
        ISNUMBER(SEARCH("Social Insurance",M178)),"Social Insurance",
        ISNUMBER(SEARCH("Saudi Electric",M178)),"Electricity",
        ISNUMBER(SEARCH("STC",M178)),"Telecom",
        ISNUMBER(SEARCH("National Water",M178)),"Water",
        ISNUMBER(SEARCH("Bupa",M178)),"Insurance",
        ISNUMBER(SEARCH("Gulf Voyager",M178)),"Travel",
        ISNUMBER(SEARCH("Ministry",M178)),"Government Fees",
        ISNUMBER(SEARCH("Abdullah Abdulkarim",M178)),"Consulting",
        ISNUMBER(SEARCH("Abdullah Fahad",M178)),"Accounting",
        ISNUMBER(SEARCH("ISO Arabia",M178)),"Consulting",
        ISNUMBER(SEARCH("Rejected",L178)),"Refund",
        AF178="COGS","Inventory Purchase",
        AF178="Revenue","Revenue",
        AF178="OPEX","Other",
        AF178="ZATCA","Zakat",
        TRUE,"-"
    ),
    "-"
)</f>
        <v>Revenue</v>
      </c>
      <c r="AH178" s="25" t="str" cm="1">
        <f t="array" ref="AH178">_xlfn.IFNA(
    _xlfn.IFS(
        AF178="-","Low",
        AF178="Other","Low",
        TRUE,"Medium"
    ),
    "-"
)</f>
        <v>Medium</v>
      </c>
      <c r="AI178" s="25" t="str">
        <f t="shared" si="11"/>
        <v>-</v>
      </c>
    </row>
    <row r="179" spans="1:35" x14ac:dyDescent="0.25">
      <c r="A179" s="10">
        <v>59</v>
      </c>
      <c r="B179" s="10" t="s">
        <v>35</v>
      </c>
      <c r="C179" s="10" t="s">
        <v>36</v>
      </c>
      <c r="D179" s="10" t="s">
        <v>37</v>
      </c>
      <c r="E179" s="10" t="s">
        <v>38</v>
      </c>
      <c r="F179" s="11" t="s">
        <v>39</v>
      </c>
      <c r="G179" s="11" t="s">
        <v>40</v>
      </c>
      <c r="H179" s="12">
        <v>45018</v>
      </c>
      <c r="I179" s="20">
        <v>100164.82</v>
      </c>
      <c r="J179" s="20">
        <v>100000</v>
      </c>
      <c r="K179" s="10" t="s">
        <v>116</v>
      </c>
      <c r="L179" s="9" t="s">
        <v>230</v>
      </c>
      <c r="M179" s="9" t="s">
        <v>231</v>
      </c>
      <c r="N179" s="9" t="s">
        <v>232</v>
      </c>
      <c r="O179" s="9" t="s">
        <v>233</v>
      </c>
      <c r="P179" s="15">
        <v>45018</v>
      </c>
      <c r="Q179" s="9" t="s">
        <v>271</v>
      </c>
      <c r="R179" s="16">
        <v>100000</v>
      </c>
      <c r="U179" s="9" t="s">
        <v>55</v>
      </c>
      <c r="V179" s="24" t="str" cm="1">
        <f t="array" ref="V179">_xlfn.IFNA(
    _xlfn.IFS(
        ISNUMBER(SEARCH("Fast Outgoing Transfer",L179)),"Transfer",
        ISNUMBER(SEARCH("Incoming Fast Transfer",L179)),"Transfer",
        ISNUMBER(SEARCH("Outgoing International Transfer",L179)),"Transfer",
        ISNUMBER(SEARCH("Bill Payment",L179)),"SADAD",
        ISNUMBER(SEARCH("Payroll",L179)),"Payroll",
        ISNUMBER(SEARCH("Cash Deposit",L179)),"Cash",
        ISNUMBER(SEARCH("Internal Transfer",L179)),"Transfer",
        ISNUMBER(SEARCH("Expatriate Services Payment",L179)),"SADAD",
        ISNUMBER(SEARCH("Rejected",L179)),"Transfer"
    ),
    "-"
)</f>
        <v>Transfer</v>
      </c>
      <c r="W179" s="25" t="str" cm="1">
        <f t="array" ref="W179">_xlfn.IFNA(
    _xlfn.IFS(
        AND(V179="Transfer",ISNUMBER(SEARCH("RIYAD BANK",L179))),"External FI",
        AND(V179="Transfer",ISNUMBER(SEARCH("Al Ahli",L179))),"External FI",
        AND(V179="Transfer",ISNUMBER(SEARCH("CIB via",L179))),"Local Transfer",
        AND(V179="Transfer",ISNUMBER(SEARCH("CIB)",L179))),"Local Transfer",
        AND(V179="Transfer",ISNUMBER(SEARCH("SMRT",L179))),"Local Transfer",
        AND(V179="Transfer",ISNUMBER(SEARCH("Al Murabba",L179))),"Local Transfer",
        AND(V179="Transfer",ISNUMBER(SEARCH("Internal Transfer",L179))),"Same FI",
        AND(V179="Transfer",ISNUMBER(SEARCH("Rejected",L179))),"Failed",
        V179="SADAD",
            _xlfn.IFS(
                ISNUMBER(SEARCH("Expatriate",L179)),"Expat Fees",
                TRUE,"Online Payment"
            ),
        V179="Payroll","Payroll",
        V179="Cash","Deposit",
        TRUE,"-"
    ),
    "-"
)</f>
        <v>External FI</v>
      </c>
      <c r="X179" s="25" t="str" cm="1">
        <f t="array" ref="X179">_xlfn.IFNA(
    _xlfn.IFS(
        V179="-","Low",
        W179="-","Low",
        TRUE,"High"
    ),
    "-"
)</f>
        <v>High</v>
      </c>
      <c r="Y179" s="25" t="str">
        <f t="shared" si="8"/>
        <v>-</v>
      </c>
      <c r="Z179" s="25" t="str" cm="1">
        <f t="array" ref="Z179">_xlfn.IFNA(
    _xlfn.IFS(
        ISNUMBER(SEARCH("Abdul Latif Jameel",M179)),"Lender",
        ISNUMBER(SEARCH("Abdullah Abdulkarim Al Sudais",M179)),"Accounting",
        ISNUMBER(SEARCH("Abdullah Fahad for Accounting",M179)),"Accounting",
        ISNUMBER(SEARCH("Abdullah Rashid Shaikh",M179)),"Shareholder",
        ISNUMBER(SEARCH("Advanced Equipments",M179)),"Equipment Rental",
        ISNUMBER(SEARCH("Al Banuk Sana",M179)),"Telecom Company",
        ISNUMBER(SEARCH("Al Khaleefa Factory",M179)),"Manufacturer",
        ISNUMBER(SEARCH("Al Saadeh Trading",M179)),"Trading Company",
        ISNUMBER(SEARCH("Al Zaehaan",M179)),"Trading Company",
        ISNUMBER(SEARCH("Ali Abdullah K Al Darwish",M179)),"Airlines",
        ISNUMBER(SEARCH("Bupa Arabia",M179)),"Health Insurance",
        ISNUMBER(SEARCH("Dar Fahoosaat",M179)),"Consultant",
        ISNUMBER(SEARCH("General Authority of Zakat",M179)),"Tax Collection",
        ISNUMBER(SEARCH("Gulf Voyager",M179)),"Travel Agency",
        ISNUMBER(SEARCH("Hopeway Trading",M179)),"Trading Company",
        ISNUMBER(SEARCH("Interhealth Medical",M179)),"Medical Services",
        ISNUMBER(SEARCH("Ishaar",M179)),"Online Payment Service",
        ISNUMBER(SEARCH("ISO Arabia",M179)),"Certification",
        ISNUMBER(SEARCH("Khalid Saad Al Otaibi",M179)),"Trading Company",
        ISNUMBER(SEARCH("MERAS for Decoration",M179)),"Decor Company",
        ISNUMBER(SEARCH("Middle East Customs Clearance",M179)),"Customs",
        ISNUMBER(SEARCH("Ministry of Human Resources",M179)),"Government",
        ISNUMBER(SEARCH("My Business Services",M179)),"Service Provider",
        ISNUMBER(SEARCH("National Water Company",M179)),"Water Company",
        ISNUMBER(SEARCH("Rania Contracting",M179)),"Contracting",
        ISNUMBER(SEARCH("Rashid Ali Sheikh",M179)),"Shareholder",
        ISNUMBER(SEARCH("Sahab United Motors",M179)),"Car Show Room",
        ISNUMBER(SEARCH("Saud Mohammed Al Tamimi",M179)),"Shareholder",
        ISNUMBER(SEARCH("Saud Mohammed Tamimi",M179)),"Shareholder",
        ISNUMBER(SEARCH("Saudi Electric Company",M179)),"Electricity Company",
        ISNUMBER(SEARCH("Saudi Vetonit",M179)),"Building Materials",
        ISNUMBER(SEARCH("Shomoul Eng",M179)),"Safety",
        ISNUMBER(SEARCH("STC",M179)),"Telecom Company",
        ISNUMBER(SEARCH("The General Organization for Social Insurance",M179)),"Social Insurance Agency",
        ISNUMBER(SEARCH("TUV Rheinland",M179)),"Certification",
        ISNUMBER(SEARCH("Al Arabia Ceramic",M179)),"Building Materials",
        ISNUMBER(SEARCH("National Company for Building and Marketing",M179)),"Parent Company",
        ISNUMBER(SEARCH("Athraa Holding",M179)),"Holding Company",
        ISNUMBER(SEARCH("Al Rasan",M179)),"Contracting",
        ISNUMBER(SEARCH("Raboua Al Haid",M179)),"Trading Company",
        ISNUMBER(SEARCH("Al Jazeera Paint",M179)),"Manufacturer",
        ISNUMBER(SEARCH("Rania Works Contracting",M179)),"Contracting",
        ISNUMBER(SEARCH("Bandar Jarallah",M179)),"Trading Establishment",
        ISNUMBER(SEARCH("RS Infratec Saudi",M179)),"Same Company",
        ISNUMBER(SEARCH("Payroll",M179)),"Bank",
        ISNUMBER(SEARCH("Expatriate",M179)),"Government",
        ISNUMBER(SEARCH("Unknown Sender",M179)),"Unknown",
        TRUE,"Unknown"
    ),
    "-"
)</f>
        <v>Parent Company</v>
      </c>
      <c r="AA179" s="25" t="str" cm="1">
        <f t="array" ref="AA179">_xlfn.IFNA(
    _xlfn.IFS(
        Z179="Lender","Financing",
        Z179="Accounting","Accounting",
        Z179="Shareholder","Individual",
        Z179="Equipment Rental","Equipment Rental",
        Z179="Telecom Company","Telecom",
        Z179="Manufacturer","Manufacturer",
        Z179="Trading Company","Trading And Transport",
        Z179="Trading Establishment","Trading",
        Z179="Airlines","Airlines",
        Z179="Health Insurance","Insurance",
        Z179="Consultant","Consultant",
        Z179="Tax Collection","Government",
        Z179="Travel Agency","Travel Agency",
        Z179="Medical Services","Medical Center",
        Z179="Online Payment Service","Payment Facilitator",
        Z179="Certification","Safety",
        Z179="Decor Company","Design",
        Z179="Customs","Customs",
        Z179="Government","Government",
        Z179="Service Provider","Service Provider",
        Z179="Water Company","Water Company",
        Z179="Contracting","Contracting",
        Z179="Car Show Room","Car Trader",
        Z179="Electricity Company","Electricity Company",
        Z179="Building Materials","Building Materials",
        Z179="Safety","Safety",
        Z179="Social Insurance Agency","Government Fund",
        Z179="Parent Company","Holding Company",
        Z179="Holding Company","Holding Company",
        Z179="Same Company","Construction",
        Z179="Bank","Bank",
        Z179="Unknown","Unknown",
        TRUE,"-"
    ),
    "-"
)</f>
        <v>Holding Company</v>
      </c>
      <c r="AB179" s="25" t="str">
        <f t="shared" si="9"/>
        <v>-</v>
      </c>
      <c r="AC179" s="25" t="str" cm="1">
        <f t="array" ref="AC179">_xlfn.IFNA(
    _xlfn.IFS(
        Z179="Shareholder","Shareholder",
        Z179="Same Company","Same Company",
        Z179="Bank","Bank",
        Z179="Government","Government",
        Z179="Social Insurance Agency","Government",
        Z179="Parent Company","Customer",
        Z179="Lender","Lender",
        Z179="Unknown","Unknown",
        ISNUMBER(SEARCH("Abdullah Abdulkarim",M179)),"Service Provider",
        ISNUMBER(SEARCH("Abdullah Fahad",M179)),"Service Provider",
        ISNUMBER(SEARCH("Advanced Equipments",M179)),"Supplier",
        ISNUMBER(SEARCH("Al Banuk Sana",M179)),"Supplier",
        ISNUMBER(SEARCH("Al Khaleefa Factory",M179)),"Supplier",
        ISNUMBER(SEARCH("Al Saadeh Trading",M179)),"Supplier",
        ISNUMBER(SEARCH("Al Zaehaan",M179)),"Supplier",
        ISNUMBER(SEARCH("Ali Abdullah K Al Darwish",M179)),"Service Provider",
        ISNUMBER(SEARCH("Bupa Arabia",M179)),"Insurance Company",
        ISNUMBER(SEARCH("Dar Fahoosaat",M179)),"Service Provider",
        ISNUMBER(SEARCH("General Authority of Zakat",M179)),"Tax Authority",
        ISNUMBER(SEARCH("Gulf Voyager",M179)),"Service Provider",
        ISNUMBER(SEARCH("Hopeway Trading",M179)),"Supplier",
        ISNUMBER(SEARCH("Interhealth Medical",M179)),"Customer",
        ISNUMBER(SEARCH("Ishaar",M179)),"Service Provider",
        ISNUMBER(SEARCH("ISO Arabia",M179)),"Service Provider",
        ISNUMBER(SEARCH("Khalid Saad Al Otaibi",M179)),"Supplier",
        ISNUMBER(SEARCH("MERAS for Decoration",M179)),"Supplier",
        ISNUMBER(SEARCH("Middle East Customs Clearance",M179)),"Service Provider",
        ISNUMBER(SEARCH("Ministry of Human Resources",M179)),"Regulatory Agency",
        ISNUMBER(SEARCH("My Business Services",M179)),"Service Provider",
        ISNUMBER(SEARCH("National Water Company",M179)),"Utility Provider",
        ISNUMBER(SEARCH("Rania Contracting",M179)),"Supplier",
        ISNUMBER(SEARCH("Sahab United Motors",M179)),"Supplier",
        ISNUMBER(SEARCH("Saudi Electric Company",M179)),"Utility Provider",
        ISNUMBER(SEARCH("Saudi Vetonit",M179)),"Supplier",
        ISNUMBER(SEARCH("Shomoul Eng",M179)),"Service Provider",
        ISNUMBER(SEARCH("STC",M179)),"Utility Provider",
        ISNUMBER(SEARCH("The General Organization for Social Insurance",M179)),"Social Insurance Agency",
        ISNUMBER(SEARCH("TUV Rheinland",M179)),"Service Provider",
        ISNUMBER(SEARCH("Al Arabia Ceramic",M179)),"Supplier",
        ISNUMBER(SEARCH("National Company for Building",M179)),"Customer",
        ISNUMBER(SEARCH("Athraa Holding",M179)),"Customer",
        ISNUMBER(SEARCH("Al Rasan",M179)),"Supplier",
        ISNUMBER(SEARCH("Raboua Al Haid",M179)),"Customer",
        ISNUMBER(SEARCH("Al Jazeera Paint",M179)),"Supplier",
        ISNUMBER(SEARCH("Rania Works Contracting",M179)),"Supplier",
        ISNUMBER(SEARCH("Bandar Jarallah",M179)),"Supplier",
        TRUE,"Supplier"
    ),
    "-"
)</f>
        <v>Customer</v>
      </c>
      <c r="AD179" s="25" t="str" cm="1">
        <f t="array" ref="AD179">_xlfn.IFNA(
    _xlfn.IFS(
        AC179="Same Company","High",
        AC179="Shareholder","High",
        AC179="Government","High",
        AC179="Bank","High",
        AC179="Lender","High",
        AC179="Unknown","Low",
        AC179="-","Low",
        TRUE,"Medium"
    ),
    "-"
)</f>
        <v>Medium</v>
      </c>
      <c r="AE179" s="25" t="str">
        <f t="shared" si="10"/>
        <v>-</v>
      </c>
      <c r="AF179" s="25" t="str" cm="1">
        <f t="array" ref="AF179">_xlfn.IFNA(
    _xlfn.IFS(
        K179="Credit",
            _xlfn.IFS(
                OR(ISNUMBER(SEARCH("Rejected",L179)),ISNUMBER(SEARCH("Returned",L179))),"Other Income",
                TRUE,"Revenue"
            ),
        K179="Debit",
            _xlfn.IFS(
                ISNUMBER(SEARCH("Payroll",L179)),"OPEX",
                ISNUMBER(SEARCH("Expatriate",L179)),"OPEX",
                ISNUMBER(SEARCH("Zakat",M179)),"ZATCA",
                ISNUMBER(SEARCH("General Organization for Social Insurance",M179)),"OPEX",
                ISNUMBER(SEARCH("Saudi Electric",M179)),"OPEX",
                ISNUMBER(SEARCH("STC",M179)),"OPEX",
                ISNUMBER(SEARCH("National Water",M179)),"OPEX",
                ISNUMBER(SEARCH("Bupa",M179)),"OPEX",
                ISNUMBER(SEARCH("Abdullah Abdulkarim",M179)),"OPEX",
                ISNUMBER(SEARCH("Abdullah Fahad",M179)),"OPEX",
                ISNUMBER(SEARCH("ISO Arabia",M179)),"OPEX",
                ISNUMBER(SEARCH("Gulf Voyager",M179)),"OPEX",
                ISNUMBER(SEARCH("Ministry",M179)),"OPEX",
                ISNUMBER(SEARCH("General Authority of Zakat",M179)),"ZATCA",
                ISNUMBER(SEARCH("Rejected",L179)),"Other Income",
                TRUE,"COGS"
            ),
        TRUE,"-"
    ),
    "-"
)</f>
        <v>Revenue</v>
      </c>
      <c r="AG179" s="25" t="str" cm="1">
        <f t="array" ref="AG179">_xlfn.IFNA(
    _xlfn.IFS(
        ISNUMBER(SEARCH("Payroll",L179)),"Payroll",
        ISNUMBER(SEARCH("Expatriate",L179)),"Government Fees",
        ISNUMBER(SEARCH("Zakat",M179)),"Zakat",
        ISNUMBER(SEARCH("Social Insurance",M179)),"Social Insurance",
        ISNUMBER(SEARCH("Saudi Electric",M179)),"Electricity",
        ISNUMBER(SEARCH("STC",M179)),"Telecom",
        ISNUMBER(SEARCH("National Water",M179)),"Water",
        ISNUMBER(SEARCH("Bupa",M179)),"Insurance",
        ISNUMBER(SEARCH("Gulf Voyager",M179)),"Travel",
        ISNUMBER(SEARCH("Ministry",M179)),"Government Fees",
        ISNUMBER(SEARCH("Abdullah Abdulkarim",M179)),"Consulting",
        ISNUMBER(SEARCH("Abdullah Fahad",M179)),"Accounting",
        ISNUMBER(SEARCH("ISO Arabia",M179)),"Consulting",
        ISNUMBER(SEARCH("Rejected",L179)),"Refund",
        AF179="COGS","Inventory Purchase",
        AF179="Revenue","Revenue",
        AF179="OPEX","Other",
        AF179="ZATCA","Zakat",
        TRUE,"-"
    ),
    "-"
)</f>
        <v>Revenue</v>
      </c>
      <c r="AH179" s="25" t="str" cm="1">
        <f t="array" ref="AH179">_xlfn.IFNA(
    _xlfn.IFS(
        AF179="-","Low",
        AF179="Other","Low",
        TRUE,"Medium"
    ),
    "-"
)</f>
        <v>Medium</v>
      </c>
      <c r="AI179" s="25" t="str">
        <f t="shared" si="11"/>
        <v>-</v>
      </c>
    </row>
    <row r="180" spans="1:35" x14ac:dyDescent="0.25">
      <c r="A180" s="10">
        <v>59</v>
      </c>
      <c r="B180" s="10" t="s">
        <v>35</v>
      </c>
      <c r="C180" s="10" t="s">
        <v>36</v>
      </c>
      <c r="D180" s="10" t="s">
        <v>37</v>
      </c>
      <c r="E180" s="10" t="s">
        <v>38</v>
      </c>
      <c r="F180" s="11" t="s">
        <v>39</v>
      </c>
      <c r="G180" s="11" t="s">
        <v>40</v>
      </c>
      <c r="H180" s="12">
        <v>45019</v>
      </c>
      <c r="I180" s="20">
        <v>59916.63</v>
      </c>
      <c r="J180" s="20">
        <v>50000</v>
      </c>
      <c r="K180" s="10" t="s">
        <v>116</v>
      </c>
      <c r="L180" s="9" t="s">
        <v>230</v>
      </c>
      <c r="M180" s="9" t="s">
        <v>231</v>
      </c>
      <c r="N180" s="9" t="s">
        <v>232</v>
      </c>
      <c r="O180" s="9" t="s">
        <v>233</v>
      </c>
      <c r="P180" s="15">
        <v>45019</v>
      </c>
      <c r="Q180" s="9" t="s">
        <v>272</v>
      </c>
      <c r="R180" s="16">
        <v>50000</v>
      </c>
      <c r="U180" s="9" t="s">
        <v>55</v>
      </c>
      <c r="V180" s="24" t="str" cm="1">
        <f t="array" ref="V180">_xlfn.IFNA(
    _xlfn.IFS(
        ISNUMBER(SEARCH("Fast Outgoing Transfer",L180)),"Transfer",
        ISNUMBER(SEARCH("Incoming Fast Transfer",L180)),"Transfer",
        ISNUMBER(SEARCH("Outgoing International Transfer",L180)),"Transfer",
        ISNUMBER(SEARCH("Bill Payment",L180)),"SADAD",
        ISNUMBER(SEARCH("Payroll",L180)),"Payroll",
        ISNUMBER(SEARCH("Cash Deposit",L180)),"Cash",
        ISNUMBER(SEARCH("Internal Transfer",L180)),"Transfer",
        ISNUMBER(SEARCH("Expatriate Services Payment",L180)),"SADAD",
        ISNUMBER(SEARCH("Rejected",L180)),"Transfer"
    ),
    "-"
)</f>
        <v>Transfer</v>
      </c>
      <c r="W180" s="25" t="str" cm="1">
        <f t="array" ref="W180">_xlfn.IFNA(
    _xlfn.IFS(
        AND(V180="Transfer",ISNUMBER(SEARCH("RIYAD BANK",L180))),"External FI",
        AND(V180="Transfer",ISNUMBER(SEARCH("Al Ahli",L180))),"External FI",
        AND(V180="Transfer",ISNUMBER(SEARCH("CIB via",L180))),"Local Transfer",
        AND(V180="Transfer",ISNUMBER(SEARCH("CIB)",L180))),"Local Transfer",
        AND(V180="Transfer",ISNUMBER(SEARCH("SMRT",L180))),"Local Transfer",
        AND(V180="Transfer",ISNUMBER(SEARCH("Al Murabba",L180))),"Local Transfer",
        AND(V180="Transfer",ISNUMBER(SEARCH("Internal Transfer",L180))),"Same FI",
        AND(V180="Transfer",ISNUMBER(SEARCH("Rejected",L180))),"Failed",
        V180="SADAD",
            _xlfn.IFS(
                ISNUMBER(SEARCH("Expatriate",L180)),"Expat Fees",
                TRUE,"Online Payment"
            ),
        V180="Payroll","Payroll",
        V180="Cash","Deposit",
        TRUE,"-"
    ),
    "-"
)</f>
        <v>External FI</v>
      </c>
      <c r="X180" s="25" t="str" cm="1">
        <f t="array" ref="X180">_xlfn.IFNA(
    _xlfn.IFS(
        V180="-","Low",
        W180="-","Low",
        TRUE,"High"
    ),
    "-"
)</f>
        <v>High</v>
      </c>
      <c r="Y180" s="25" t="str">
        <f t="shared" si="8"/>
        <v>-</v>
      </c>
      <c r="Z180" s="25" t="str" cm="1">
        <f t="array" ref="Z180">_xlfn.IFNA(
    _xlfn.IFS(
        ISNUMBER(SEARCH("Abdul Latif Jameel",M180)),"Lender",
        ISNUMBER(SEARCH("Abdullah Abdulkarim Al Sudais",M180)),"Accounting",
        ISNUMBER(SEARCH("Abdullah Fahad for Accounting",M180)),"Accounting",
        ISNUMBER(SEARCH("Abdullah Rashid Shaikh",M180)),"Shareholder",
        ISNUMBER(SEARCH("Advanced Equipments",M180)),"Equipment Rental",
        ISNUMBER(SEARCH("Al Banuk Sana",M180)),"Telecom Company",
        ISNUMBER(SEARCH("Al Khaleefa Factory",M180)),"Manufacturer",
        ISNUMBER(SEARCH("Al Saadeh Trading",M180)),"Trading Company",
        ISNUMBER(SEARCH("Al Zaehaan",M180)),"Trading Company",
        ISNUMBER(SEARCH("Ali Abdullah K Al Darwish",M180)),"Airlines",
        ISNUMBER(SEARCH("Bupa Arabia",M180)),"Health Insurance",
        ISNUMBER(SEARCH("Dar Fahoosaat",M180)),"Consultant",
        ISNUMBER(SEARCH("General Authority of Zakat",M180)),"Tax Collection",
        ISNUMBER(SEARCH("Gulf Voyager",M180)),"Travel Agency",
        ISNUMBER(SEARCH("Hopeway Trading",M180)),"Trading Company",
        ISNUMBER(SEARCH("Interhealth Medical",M180)),"Medical Services",
        ISNUMBER(SEARCH("Ishaar",M180)),"Online Payment Service",
        ISNUMBER(SEARCH("ISO Arabia",M180)),"Certification",
        ISNUMBER(SEARCH("Khalid Saad Al Otaibi",M180)),"Trading Company",
        ISNUMBER(SEARCH("MERAS for Decoration",M180)),"Decor Company",
        ISNUMBER(SEARCH("Middle East Customs Clearance",M180)),"Customs",
        ISNUMBER(SEARCH("Ministry of Human Resources",M180)),"Government",
        ISNUMBER(SEARCH("My Business Services",M180)),"Service Provider",
        ISNUMBER(SEARCH("National Water Company",M180)),"Water Company",
        ISNUMBER(SEARCH("Rania Contracting",M180)),"Contracting",
        ISNUMBER(SEARCH("Rashid Ali Sheikh",M180)),"Shareholder",
        ISNUMBER(SEARCH("Sahab United Motors",M180)),"Car Show Room",
        ISNUMBER(SEARCH("Saud Mohammed Al Tamimi",M180)),"Shareholder",
        ISNUMBER(SEARCH("Saud Mohammed Tamimi",M180)),"Shareholder",
        ISNUMBER(SEARCH("Saudi Electric Company",M180)),"Electricity Company",
        ISNUMBER(SEARCH("Saudi Vetonit",M180)),"Building Materials",
        ISNUMBER(SEARCH("Shomoul Eng",M180)),"Safety",
        ISNUMBER(SEARCH("STC",M180)),"Telecom Company",
        ISNUMBER(SEARCH("The General Organization for Social Insurance",M180)),"Social Insurance Agency",
        ISNUMBER(SEARCH("TUV Rheinland",M180)),"Certification",
        ISNUMBER(SEARCH("Al Arabia Ceramic",M180)),"Building Materials",
        ISNUMBER(SEARCH("National Company for Building and Marketing",M180)),"Parent Company",
        ISNUMBER(SEARCH("Athraa Holding",M180)),"Holding Company",
        ISNUMBER(SEARCH("Al Rasan",M180)),"Contracting",
        ISNUMBER(SEARCH("Raboua Al Haid",M180)),"Trading Company",
        ISNUMBER(SEARCH("Al Jazeera Paint",M180)),"Manufacturer",
        ISNUMBER(SEARCH("Rania Works Contracting",M180)),"Contracting",
        ISNUMBER(SEARCH("Bandar Jarallah",M180)),"Trading Establishment",
        ISNUMBER(SEARCH("RS Infratec Saudi",M180)),"Same Company",
        ISNUMBER(SEARCH("Payroll",M180)),"Bank",
        ISNUMBER(SEARCH("Expatriate",M180)),"Government",
        ISNUMBER(SEARCH("Unknown Sender",M180)),"Unknown",
        TRUE,"Unknown"
    ),
    "-"
)</f>
        <v>Parent Company</v>
      </c>
      <c r="AA180" s="25" t="str" cm="1">
        <f t="array" ref="AA180">_xlfn.IFNA(
    _xlfn.IFS(
        Z180="Lender","Financing",
        Z180="Accounting","Accounting",
        Z180="Shareholder","Individual",
        Z180="Equipment Rental","Equipment Rental",
        Z180="Telecom Company","Telecom",
        Z180="Manufacturer","Manufacturer",
        Z180="Trading Company","Trading And Transport",
        Z180="Trading Establishment","Trading",
        Z180="Airlines","Airlines",
        Z180="Health Insurance","Insurance",
        Z180="Consultant","Consultant",
        Z180="Tax Collection","Government",
        Z180="Travel Agency","Travel Agency",
        Z180="Medical Services","Medical Center",
        Z180="Online Payment Service","Payment Facilitator",
        Z180="Certification","Safety",
        Z180="Decor Company","Design",
        Z180="Customs","Customs",
        Z180="Government","Government",
        Z180="Service Provider","Service Provider",
        Z180="Water Company","Water Company",
        Z180="Contracting","Contracting",
        Z180="Car Show Room","Car Trader",
        Z180="Electricity Company","Electricity Company",
        Z180="Building Materials","Building Materials",
        Z180="Safety","Safety",
        Z180="Social Insurance Agency","Government Fund",
        Z180="Parent Company","Holding Company",
        Z180="Holding Company","Holding Company",
        Z180="Same Company","Construction",
        Z180="Bank","Bank",
        Z180="Unknown","Unknown",
        TRUE,"-"
    ),
    "-"
)</f>
        <v>Holding Company</v>
      </c>
      <c r="AB180" s="25" t="str">
        <f t="shared" si="9"/>
        <v>-</v>
      </c>
      <c r="AC180" s="25" t="str" cm="1">
        <f t="array" ref="AC180">_xlfn.IFNA(
    _xlfn.IFS(
        Z180="Shareholder","Shareholder",
        Z180="Same Company","Same Company",
        Z180="Bank","Bank",
        Z180="Government","Government",
        Z180="Social Insurance Agency","Government",
        Z180="Parent Company","Customer",
        Z180="Lender","Lender",
        Z180="Unknown","Unknown",
        ISNUMBER(SEARCH("Abdullah Abdulkarim",M180)),"Service Provider",
        ISNUMBER(SEARCH("Abdullah Fahad",M180)),"Service Provider",
        ISNUMBER(SEARCH("Advanced Equipments",M180)),"Supplier",
        ISNUMBER(SEARCH("Al Banuk Sana",M180)),"Supplier",
        ISNUMBER(SEARCH("Al Khaleefa Factory",M180)),"Supplier",
        ISNUMBER(SEARCH("Al Saadeh Trading",M180)),"Supplier",
        ISNUMBER(SEARCH("Al Zaehaan",M180)),"Supplier",
        ISNUMBER(SEARCH("Ali Abdullah K Al Darwish",M180)),"Service Provider",
        ISNUMBER(SEARCH("Bupa Arabia",M180)),"Insurance Company",
        ISNUMBER(SEARCH("Dar Fahoosaat",M180)),"Service Provider",
        ISNUMBER(SEARCH("General Authority of Zakat",M180)),"Tax Authority",
        ISNUMBER(SEARCH("Gulf Voyager",M180)),"Service Provider",
        ISNUMBER(SEARCH("Hopeway Trading",M180)),"Supplier",
        ISNUMBER(SEARCH("Interhealth Medical",M180)),"Customer",
        ISNUMBER(SEARCH("Ishaar",M180)),"Service Provider",
        ISNUMBER(SEARCH("ISO Arabia",M180)),"Service Provider",
        ISNUMBER(SEARCH("Khalid Saad Al Otaibi",M180)),"Supplier",
        ISNUMBER(SEARCH("MERAS for Decoration",M180)),"Supplier",
        ISNUMBER(SEARCH("Middle East Customs Clearance",M180)),"Service Provider",
        ISNUMBER(SEARCH("Ministry of Human Resources",M180)),"Regulatory Agency",
        ISNUMBER(SEARCH("My Business Services",M180)),"Service Provider",
        ISNUMBER(SEARCH("National Water Company",M180)),"Utility Provider",
        ISNUMBER(SEARCH("Rania Contracting",M180)),"Supplier",
        ISNUMBER(SEARCH("Sahab United Motors",M180)),"Supplier",
        ISNUMBER(SEARCH("Saudi Electric Company",M180)),"Utility Provider",
        ISNUMBER(SEARCH("Saudi Vetonit",M180)),"Supplier",
        ISNUMBER(SEARCH("Shomoul Eng",M180)),"Service Provider",
        ISNUMBER(SEARCH("STC",M180)),"Utility Provider",
        ISNUMBER(SEARCH("The General Organization for Social Insurance",M180)),"Social Insurance Agency",
        ISNUMBER(SEARCH("TUV Rheinland",M180)),"Service Provider",
        ISNUMBER(SEARCH("Al Arabia Ceramic",M180)),"Supplier",
        ISNUMBER(SEARCH("National Company for Building",M180)),"Customer",
        ISNUMBER(SEARCH("Athraa Holding",M180)),"Customer",
        ISNUMBER(SEARCH("Al Rasan",M180)),"Supplier",
        ISNUMBER(SEARCH("Raboua Al Haid",M180)),"Customer",
        ISNUMBER(SEARCH("Al Jazeera Paint",M180)),"Supplier",
        ISNUMBER(SEARCH("Rania Works Contracting",M180)),"Supplier",
        ISNUMBER(SEARCH("Bandar Jarallah",M180)),"Supplier",
        TRUE,"Supplier"
    ),
    "-"
)</f>
        <v>Customer</v>
      </c>
      <c r="AD180" s="25" t="str" cm="1">
        <f t="array" ref="AD180">_xlfn.IFNA(
    _xlfn.IFS(
        AC180="Same Company","High",
        AC180="Shareholder","High",
        AC180="Government","High",
        AC180="Bank","High",
        AC180="Lender","High",
        AC180="Unknown","Low",
        AC180="-","Low",
        TRUE,"Medium"
    ),
    "-"
)</f>
        <v>Medium</v>
      </c>
      <c r="AE180" s="25" t="str">
        <f t="shared" si="10"/>
        <v>-</v>
      </c>
      <c r="AF180" s="25" t="str" cm="1">
        <f t="array" ref="AF180">_xlfn.IFNA(
    _xlfn.IFS(
        K180="Credit",
            _xlfn.IFS(
                OR(ISNUMBER(SEARCH("Rejected",L180)),ISNUMBER(SEARCH("Returned",L180))),"Other Income",
                TRUE,"Revenue"
            ),
        K180="Debit",
            _xlfn.IFS(
                ISNUMBER(SEARCH("Payroll",L180)),"OPEX",
                ISNUMBER(SEARCH("Expatriate",L180)),"OPEX",
                ISNUMBER(SEARCH("Zakat",M180)),"ZATCA",
                ISNUMBER(SEARCH("General Organization for Social Insurance",M180)),"OPEX",
                ISNUMBER(SEARCH("Saudi Electric",M180)),"OPEX",
                ISNUMBER(SEARCH("STC",M180)),"OPEX",
                ISNUMBER(SEARCH("National Water",M180)),"OPEX",
                ISNUMBER(SEARCH("Bupa",M180)),"OPEX",
                ISNUMBER(SEARCH("Abdullah Abdulkarim",M180)),"OPEX",
                ISNUMBER(SEARCH("Abdullah Fahad",M180)),"OPEX",
                ISNUMBER(SEARCH("ISO Arabia",M180)),"OPEX",
                ISNUMBER(SEARCH("Gulf Voyager",M180)),"OPEX",
                ISNUMBER(SEARCH("Ministry",M180)),"OPEX",
                ISNUMBER(SEARCH("General Authority of Zakat",M180)),"ZATCA",
                ISNUMBER(SEARCH("Rejected",L180)),"Other Income",
                TRUE,"COGS"
            ),
        TRUE,"-"
    ),
    "-"
)</f>
        <v>Revenue</v>
      </c>
      <c r="AG180" s="25" t="str" cm="1">
        <f t="array" ref="AG180">_xlfn.IFNA(
    _xlfn.IFS(
        ISNUMBER(SEARCH("Payroll",L180)),"Payroll",
        ISNUMBER(SEARCH("Expatriate",L180)),"Government Fees",
        ISNUMBER(SEARCH("Zakat",M180)),"Zakat",
        ISNUMBER(SEARCH("Social Insurance",M180)),"Social Insurance",
        ISNUMBER(SEARCH("Saudi Electric",M180)),"Electricity",
        ISNUMBER(SEARCH("STC",M180)),"Telecom",
        ISNUMBER(SEARCH("National Water",M180)),"Water",
        ISNUMBER(SEARCH("Bupa",M180)),"Insurance",
        ISNUMBER(SEARCH("Gulf Voyager",M180)),"Travel",
        ISNUMBER(SEARCH("Ministry",M180)),"Government Fees",
        ISNUMBER(SEARCH("Abdullah Abdulkarim",M180)),"Consulting",
        ISNUMBER(SEARCH("Abdullah Fahad",M180)),"Accounting",
        ISNUMBER(SEARCH("ISO Arabia",M180)),"Consulting",
        ISNUMBER(SEARCH("Rejected",L180)),"Refund",
        AF180="COGS","Inventory Purchase",
        AF180="Revenue","Revenue",
        AF180="OPEX","Other",
        AF180="ZATCA","Zakat",
        TRUE,"-"
    ),
    "-"
)</f>
        <v>Revenue</v>
      </c>
      <c r="AH180" s="25" t="str" cm="1">
        <f t="array" ref="AH180">_xlfn.IFNA(
    _xlfn.IFS(
        AF180="-","Low",
        AF180="Other","Low",
        TRUE,"Medium"
    ),
    "-"
)</f>
        <v>Medium</v>
      </c>
      <c r="AI180" s="25" t="str">
        <f t="shared" si="11"/>
        <v>-</v>
      </c>
    </row>
    <row r="181" spans="1:35" x14ac:dyDescent="0.25">
      <c r="A181" s="10">
        <v>59</v>
      </c>
      <c r="B181" s="10" t="s">
        <v>35</v>
      </c>
      <c r="C181" s="10" t="s">
        <v>36</v>
      </c>
      <c r="D181" s="10" t="s">
        <v>37</v>
      </c>
      <c r="E181" s="10" t="s">
        <v>38</v>
      </c>
      <c r="F181" s="11" t="s">
        <v>39</v>
      </c>
      <c r="G181" s="11" t="s">
        <v>40</v>
      </c>
      <c r="H181" s="12">
        <v>45022</v>
      </c>
      <c r="I181" s="20">
        <v>160308.68</v>
      </c>
      <c r="J181" s="20">
        <v>150000</v>
      </c>
      <c r="K181" s="10" t="s">
        <v>116</v>
      </c>
      <c r="L181" s="9" t="s">
        <v>230</v>
      </c>
      <c r="M181" s="9" t="s">
        <v>231</v>
      </c>
      <c r="N181" s="9" t="s">
        <v>232</v>
      </c>
      <c r="O181" s="9" t="s">
        <v>233</v>
      </c>
      <c r="P181" s="15">
        <v>45022</v>
      </c>
      <c r="Q181" s="9" t="s">
        <v>273</v>
      </c>
      <c r="R181" s="16">
        <v>150000</v>
      </c>
      <c r="U181" s="9" t="s">
        <v>55</v>
      </c>
      <c r="V181" s="24" t="str" cm="1">
        <f t="array" ref="V181">_xlfn.IFNA(
    _xlfn.IFS(
        ISNUMBER(SEARCH("Fast Outgoing Transfer",L181)),"Transfer",
        ISNUMBER(SEARCH("Incoming Fast Transfer",L181)),"Transfer",
        ISNUMBER(SEARCH("Outgoing International Transfer",L181)),"Transfer",
        ISNUMBER(SEARCH("Bill Payment",L181)),"SADAD",
        ISNUMBER(SEARCH("Payroll",L181)),"Payroll",
        ISNUMBER(SEARCH("Cash Deposit",L181)),"Cash",
        ISNUMBER(SEARCH("Internal Transfer",L181)),"Transfer",
        ISNUMBER(SEARCH("Expatriate Services Payment",L181)),"SADAD",
        ISNUMBER(SEARCH("Rejected",L181)),"Transfer"
    ),
    "-"
)</f>
        <v>Transfer</v>
      </c>
      <c r="W181" s="25" t="str" cm="1">
        <f t="array" ref="W181">_xlfn.IFNA(
    _xlfn.IFS(
        AND(V181="Transfer",ISNUMBER(SEARCH("RIYAD BANK",L181))),"External FI",
        AND(V181="Transfer",ISNUMBER(SEARCH("Al Ahli",L181))),"External FI",
        AND(V181="Transfer",ISNUMBER(SEARCH("CIB via",L181))),"Local Transfer",
        AND(V181="Transfer",ISNUMBER(SEARCH("CIB)",L181))),"Local Transfer",
        AND(V181="Transfer",ISNUMBER(SEARCH("SMRT",L181))),"Local Transfer",
        AND(V181="Transfer",ISNUMBER(SEARCH("Al Murabba",L181))),"Local Transfer",
        AND(V181="Transfer",ISNUMBER(SEARCH("Internal Transfer",L181))),"Same FI",
        AND(V181="Transfer",ISNUMBER(SEARCH("Rejected",L181))),"Failed",
        V181="SADAD",
            _xlfn.IFS(
                ISNUMBER(SEARCH("Expatriate",L181)),"Expat Fees",
                TRUE,"Online Payment"
            ),
        V181="Payroll","Payroll",
        V181="Cash","Deposit",
        TRUE,"-"
    ),
    "-"
)</f>
        <v>External FI</v>
      </c>
      <c r="X181" s="25" t="str" cm="1">
        <f t="array" ref="X181">_xlfn.IFNA(
    _xlfn.IFS(
        V181="-","Low",
        W181="-","Low",
        TRUE,"High"
    ),
    "-"
)</f>
        <v>High</v>
      </c>
      <c r="Y181" s="25" t="str">
        <f t="shared" si="8"/>
        <v>-</v>
      </c>
      <c r="Z181" s="25" t="str" cm="1">
        <f t="array" ref="Z181">_xlfn.IFNA(
    _xlfn.IFS(
        ISNUMBER(SEARCH("Abdul Latif Jameel",M181)),"Lender",
        ISNUMBER(SEARCH("Abdullah Abdulkarim Al Sudais",M181)),"Accounting",
        ISNUMBER(SEARCH("Abdullah Fahad for Accounting",M181)),"Accounting",
        ISNUMBER(SEARCH("Abdullah Rashid Shaikh",M181)),"Shareholder",
        ISNUMBER(SEARCH("Advanced Equipments",M181)),"Equipment Rental",
        ISNUMBER(SEARCH("Al Banuk Sana",M181)),"Telecom Company",
        ISNUMBER(SEARCH("Al Khaleefa Factory",M181)),"Manufacturer",
        ISNUMBER(SEARCH("Al Saadeh Trading",M181)),"Trading Company",
        ISNUMBER(SEARCH("Al Zaehaan",M181)),"Trading Company",
        ISNUMBER(SEARCH("Ali Abdullah K Al Darwish",M181)),"Airlines",
        ISNUMBER(SEARCH("Bupa Arabia",M181)),"Health Insurance",
        ISNUMBER(SEARCH("Dar Fahoosaat",M181)),"Consultant",
        ISNUMBER(SEARCH("General Authority of Zakat",M181)),"Tax Collection",
        ISNUMBER(SEARCH("Gulf Voyager",M181)),"Travel Agency",
        ISNUMBER(SEARCH("Hopeway Trading",M181)),"Trading Company",
        ISNUMBER(SEARCH("Interhealth Medical",M181)),"Medical Services",
        ISNUMBER(SEARCH("Ishaar",M181)),"Online Payment Service",
        ISNUMBER(SEARCH("ISO Arabia",M181)),"Certification",
        ISNUMBER(SEARCH("Khalid Saad Al Otaibi",M181)),"Trading Company",
        ISNUMBER(SEARCH("MERAS for Decoration",M181)),"Decor Company",
        ISNUMBER(SEARCH("Middle East Customs Clearance",M181)),"Customs",
        ISNUMBER(SEARCH("Ministry of Human Resources",M181)),"Government",
        ISNUMBER(SEARCH("My Business Services",M181)),"Service Provider",
        ISNUMBER(SEARCH("National Water Company",M181)),"Water Company",
        ISNUMBER(SEARCH("Rania Contracting",M181)),"Contracting",
        ISNUMBER(SEARCH("Rashid Ali Sheikh",M181)),"Shareholder",
        ISNUMBER(SEARCH("Sahab United Motors",M181)),"Car Show Room",
        ISNUMBER(SEARCH("Saud Mohammed Al Tamimi",M181)),"Shareholder",
        ISNUMBER(SEARCH("Saud Mohammed Tamimi",M181)),"Shareholder",
        ISNUMBER(SEARCH("Saudi Electric Company",M181)),"Electricity Company",
        ISNUMBER(SEARCH("Saudi Vetonit",M181)),"Building Materials",
        ISNUMBER(SEARCH("Shomoul Eng",M181)),"Safety",
        ISNUMBER(SEARCH("STC",M181)),"Telecom Company",
        ISNUMBER(SEARCH("The General Organization for Social Insurance",M181)),"Social Insurance Agency",
        ISNUMBER(SEARCH("TUV Rheinland",M181)),"Certification",
        ISNUMBER(SEARCH("Al Arabia Ceramic",M181)),"Building Materials",
        ISNUMBER(SEARCH("National Company for Building and Marketing",M181)),"Parent Company",
        ISNUMBER(SEARCH("Athraa Holding",M181)),"Holding Company",
        ISNUMBER(SEARCH("Al Rasan",M181)),"Contracting",
        ISNUMBER(SEARCH("Raboua Al Haid",M181)),"Trading Company",
        ISNUMBER(SEARCH("Al Jazeera Paint",M181)),"Manufacturer",
        ISNUMBER(SEARCH("Rania Works Contracting",M181)),"Contracting",
        ISNUMBER(SEARCH("Bandar Jarallah",M181)),"Trading Establishment",
        ISNUMBER(SEARCH("RS Infratec Saudi",M181)),"Same Company",
        ISNUMBER(SEARCH("Payroll",M181)),"Bank",
        ISNUMBER(SEARCH("Expatriate",M181)),"Government",
        ISNUMBER(SEARCH("Unknown Sender",M181)),"Unknown",
        TRUE,"Unknown"
    ),
    "-"
)</f>
        <v>Parent Company</v>
      </c>
      <c r="AA181" s="25" t="str" cm="1">
        <f t="array" ref="AA181">_xlfn.IFNA(
    _xlfn.IFS(
        Z181="Lender","Financing",
        Z181="Accounting","Accounting",
        Z181="Shareholder","Individual",
        Z181="Equipment Rental","Equipment Rental",
        Z181="Telecom Company","Telecom",
        Z181="Manufacturer","Manufacturer",
        Z181="Trading Company","Trading And Transport",
        Z181="Trading Establishment","Trading",
        Z181="Airlines","Airlines",
        Z181="Health Insurance","Insurance",
        Z181="Consultant","Consultant",
        Z181="Tax Collection","Government",
        Z181="Travel Agency","Travel Agency",
        Z181="Medical Services","Medical Center",
        Z181="Online Payment Service","Payment Facilitator",
        Z181="Certification","Safety",
        Z181="Decor Company","Design",
        Z181="Customs","Customs",
        Z181="Government","Government",
        Z181="Service Provider","Service Provider",
        Z181="Water Company","Water Company",
        Z181="Contracting","Contracting",
        Z181="Car Show Room","Car Trader",
        Z181="Electricity Company","Electricity Company",
        Z181="Building Materials","Building Materials",
        Z181="Safety","Safety",
        Z181="Social Insurance Agency","Government Fund",
        Z181="Parent Company","Holding Company",
        Z181="Holding Company","Holding Company",
        Z181="Same Company","Construction",
        Z181="Bank","Bank",
        Z181="Unknown","Unknown",
        TRUE,"-"
    ),
    "-"
)</f>
        <v>Holding Company</v>
      </c>
      <c r="AB181" s="25" t="str">
        <f t="shared" si="9"/>
        <v>-</v>
      </c>
      <c r="AC181" s="25" t="str" cm="1">
        <f t="array" ref="AC181">_xlfn.IFNA(
    _xlfn.IFS(
        Z181="Shareholder","Shareholder",
        Z181="Same Company","Same Company",
        Z181="Bank","Bank",
        Z181="Government","Government",
        Z181="Social Insurance Agency","Government",
        Z181="Parent Company","Customer",
        Z181="Lender","Lender",
        Z181="Unknown","Unknown",
        ISNUMBER(SEARCH("Abdullah Abdulkarim",M181)),"Service Provider",
        ISNUMBER(SEARCH("Abdullah Fahad",M181)),"Service Provider",
        ISNUMBER(SEARCH("Advanced Equipments",M181)),"Supplier",
        ISNUMBER(SEARCH("Al Banuk Sana",M181)),"Supplier",
        ISNUMBER(SEARCH("Al Khaleefa Factory",M181)),"Supplier",
        ISNUMBER(SEARCH("Al Saadeh Trading",M181)),"Supplier",
        ISNUMBER(SEARCH("Al Zaehaan",M181)),"Supplier",
        ISNUMBER(SEARCH("Ali Abdullah K Al Darwish",M181)),"Service Provider",
        ISNUMBER(SEARCH("Bupa Arabia",M181)),"Insurance Company",
        ISNUMBER(SEARCH("Dar Fahoosaat",M181)),"Service Provider",
        ISNUMBER(SEARCH("General Authority of Zakat",M181)),"Tax Authority",
        ISNUMBER(SEARCH("Gulf Voyager",M181)),"Service Provider",
        ISNUMBER(SEARCH("Hopeway Trading",M181)),"Supplier",
        ISNUMBER(SEARCH("Interhealth Medical",M181)),"Customer",
        ISNUMBER(SEARCH("Ishaar",M181)),"Service Provider",
        ISNUMBER(SEARCH("ISO Arabia",M181)),"Service Provider",
        ISNUMBER(SEARCH("Khalid Saad Al Otaibi",M181)),"Supplier",
        ISNUMBER(SEARCH("MERAS for Decoration",M181)),"Supplier",
        ISNUMBER(SEARCH("Middle East Customs Clearance",M181)),"Service Provider",
        ISNUMBER(SEARCH("Ministry of Human Resources",M181)),"Regulatory Agency",
        ISNUMBER(SEARCH("My Business Services",M181)),"Service Provider",
        ISNUMBER(SEARCH("National Water Company",M181)),"Utility Provider",
        ISNUMBER(SEARCH("Rania Contracting",M181)),"Supplier",
        ISNUMBER(SEARCH("Sahab United Motors",M181)),"Supplier",
        ISNUMBER(SEARCH("Saudi Electric Company",M181)),"Utility Provider",
        ISNUMBER(SEARCH("Saudi Vetonit",M181)),"Supplier",
        ISNUMBER(SEARCH("Shomoul Eng",M181)),"Service Provider",
        ISNUMBER(SEARCH("STC",M181)),"Utility Provider",
        ISNUMBER(SEARCH("The General Organization for Social Insurance",M181)),"Social Insurance Agency",
        ISNUMBER(SEARCH("TUV Rheinland",M181)),"Service Provider",
        ISNUMBER(SEARCH("Al Arabia Ceramic",M181)),"Supplier",
        ISNUMBER(SEARCH("National Company for Building",M181)),"Customer",
        ISNUMBER(SEARCH("Athraa Holding",M181)),"Customer",
        ISNUMBER(SEARCH("Al Rasan",M181)),"Supplier",
        ISNUMBER(SEARCH("Raboua Al Haid",M181)),"Customer",
        ISNUMBER(SEARCH("Al Jazeera Paint",M181)),"Supplier",
        ISNUMBER(SEARCH("Rania Works Contracting",M181)),"Supplier",
        ISNUMBER(SEARCH("Bandar Jarallah",M181)),"Supplier",
        TRUE,"Supplier"
    ),
    "-"
)</f>
        <v>Customer</v>
      </c>
      <c r="AD181" s="25" t="str" cm="1">
        <f t="array" ref="AD181">_xlfn.IFNA(
    _xlfn.IFS(
        AC181="Same Company","High",
        AC181="Shareholder","High",
        AC181="Government","High",
        AC181="Bank","High",
        AC181="Lender","High",
        AC181="Unknown","Low",
        AC181="-","Low",
        TRUE,"Medium"
    ),
    "-"
)</f>
        <v>Medium</v>
      </c>
      <c r="AE181" s="25" t="str">
        <f t="shared" si="10"/>
        <v>-</v>
      </c>
      <c r="AF181" s="25" t="str" cm="1">
        <f t="array" ref="AF181">_xlfn.IFNA(
    _xlfn.IFS(
        K181="Credit",
            _xlfn.IFS(
                OR(ISNUMBER(SEARCH("Rejected",L181)),ISNUMBER(SEARCH("Returned",L181))),"Other Income",
                TRUE,"Revenue"
            ),
        K181="Debit",
            _xlfn.IFS(
                ISNUMBER(SEARCH("Payroll",L181)),"OPEX",
                ISNUMBER(SEARCH("Expatriate",L181)),"OPEX",
                ISNUMBER(SEARCH("Zakat",M181)),"ZATCA",
                ISNUMBER(SEARCH("General Organization for Social Insurance",M181)),"OPEX",
                ISNUMBER(SEARCH("Saudi Electric",M181)),"OPEX",
                ISNUMBER(SEARCH("STC",M181)),"OPEX",
                ISNUMBER(SEARCH("National Water",M181)),"OPEX",
                ISNUMBER(SEARCH("Bupa",M181)),"OPEX",
                ISNUMBER(SEARCH("Abdullah Abdulkarim",M181)),"OPEX",
                ISNUMBER(SEARCH("Abdullah Fahad",M181)),"OPEX",
                ISNUMBER(SEARCH("ISO Arabia",M181)),"OPEX",
                ISNUMBER(SEARCH("Gulf Voyager",M181)),"OPEX",
                ISNUMBER(SEARCH("Ministry",M181)),"OPEX",
                ISNUMBER(SEARCH("General Authority of Zakat",M181)),"ZATCA",
                ISNUMBER(SEARCH("Rejected",L181)),"Other Income",
                TRUE,"COGS"
            ),
        TRUE,"-"
    ),
    "-"
)</f>
        <v>Revenue</v>
      </c>
      <c r="AG181" s="25" t="str" cm="1">
        <f t="array" ref="AG181">_xlfn.IFNA(
    _xlfn.IFS(
        ISNUMBER(SEARCH("Payroll",L181)),"Payroll",
        ISNUMBER(SEARCH("Expatriate",L181)),"Government Fees",
        ISNUMBER(SEARCH("Zakat",M181)),"Zakat",
        ISNUMBER(SEARCH("Social Insurance",M181)),"Social Insurance",
        ISNUMBER(SEARCH("Saudi Electric",M181)),"Electricity",
        ISNUMBER(SEARCH("STC",M181)),"Telecom",
        ISNUMBER(SEARCH("National Water",M181)),"Water",
        ISNUMBER(SEARCH("Bupa",M181)),"Insurance",
        ISNUMBER(SEARCH("Gulf Voyager",M181)),"Travel",
        ISNUMBER(SEARCH("Ministry",M181)),"Government Fees",
        ISNUMBER(SEARCH("Abdullah Abdulkarim",M181)),"Consulting",
        ISNUMBER(SEARCH("Abdullah Fahad",M181)),"Accounting",
        ISNUMBER(SEARCH("ISO Arabia",M181)),"Consulting",
        ISNUMBER(SEARCH("Rejected",L181)),"Refund",
        AF181="COGS","Inventory Purchase",
        AF181="Revenue","Revenue",
        AF181="OPEX","Other",
        AF181="ZATCA","Zakat",
        TRUE,"-"
    ),
    "-"
)</f>
        <v>Revenue</v>
      </c>
      <c r="AH181" s="25" t="str" cm="1">
        <f t="array" ref="AH181">_xlfn.IFNA(
    _xlfn.IFS(
        AF181="-","Low",
        AF181="Other","Low",
        TRUE,"Medium"
    ),
    "-"
)</f>
        <v>Medium</v>
      </c>
      <c r="AI181" s="25" t="str">
        <f t="shared" si="11"/>
        <v>-</v>
      </c>
    </row>
    <row r="182" spans="1:35" x14ac:dyDescent="0.25">
      <c r="A182" s="10">
        <v>59</v>
      </c>
      <c r="B182" s="10" t="s">
        <v>35</v>
      </c>
      <c r="C182" s="10" t="s">
        <v>36</v>
      </c>
      <c r="D182" s="10" t="s">
        <v>37</v>
      </c>
      <c r="E182" s="10" t="s">
        <v>38</v>
      </c>
      <c r="F182" s="11" t="s">
        <v>39</v>
      </c>
      <c r="G182" s="11" t="s">
        <v>40</v>
      </c>
      <c r="H182" s="12">
        <v>45026</v>
      </c>
      <c r="I182" s="20">
        <v>150775.89000000001</v>
      </c>
      <c r="J182" s="20">
        <v>150000</v>
      </c>
      <c r="K182" s="10" t="s">
        <v>116</v>
      </c>
      <c r="L182" s="9" t="s">
        <v>230</v>
      </c>
      <c r="M182" s="9" t="s">
        <v>231</v>
      </c>
      <c r="N182" s="9" t="s">
        <v>232</v>
      </c>
      <c r="O182" s="9" t="s">
        <v>233</v>
      </c>
      <c r="P182" s="15">
        <v>45026</v>
      </c>
      <c r="Q182" s="9" t="s">
        <v>274</v>
      </c>
      <c r="R182" s="16">
        <v>150000</v>
      </c>
      <c r="U182" s="9" t="s">
        <v>55</v>
      </c>
      <c r="V182" s="24" t="str" cm="1">
        <f t="array" ref="V182">_xlfn.IFNA(
    _xlfn.IFS(
        ISNUMBER(SEARCH("Fast Outgoing Transfer",L182)),"Transfer",
        ISNUMBER(SEARCH("Incoming Fast Transfer",L182)),"Transfer",
        ISNUMBER(SEARCH("Outgoing International Transfer",L182)),"Transfer",
        ISNUMBER(SEARCH("Bill Payment",L182)),"SADAD",
        ISNUMBER(SEARCH("Payroll",L182)),"Payroll",
        ISNUMBER(SEARCH("Cash Deposit",L182)),"Cash",
        ISNUMBER(SEARCH("Internal Transfer",L182)),"Transfer",
        ISNUMBER(SEARCH("Expatriate Services Payment",L182)),"SADAD",
        ISNUMBER(SEARCH("Rejected",L182)),"Transfer"
    ),
    "-"
)</f>
        <v>Transfer</v>
      </c>
      <c r="W182" s="25" t="str" cm="1">
        <f t="array" ref="W182">_xlfn.IFNA(
    _xlfn.IFS(
        AND(V182="Transfer",ISNUMBER(SEARCH("RIYAD BANK",L182))),"External FI",
        AND(V182="Transfer",ISNUMBER(SEARCH("Al Ahli",L182))),"External FI",
        AND(V182="Transfer",ISNUMBER(SEARCH("CIB via",L182))),"Local Transfer",
        AND(V182="Transfer",ISNUMBER(SEARCH("CIB)",L182))),"Local Transfer",
        AND(V182="Transfer",ISNUMBER(SEARCH("SMRT",L182))),"Local Transfer",
        AND(V182="Transfer",ISNUMBER(SEARCH("Al Murabba",L182))),"Local Transfer",
        AND(V182="Transfer",ISNUMBER(SEARCH("Internal Transfer",L182))),"Same FI",
        AND(V182="Transfer",ISNUMBER(SEARCH("Rejected",L182))),"Failed",
        V182="SADAD",
            _xlfn.IFS(
                ISNUMBER(SEARCH("Expatriate",L182)),"Expat Fees",
                TRUE,"Online Payment"
            ),
        V182="Payroll","Payroll",
        V182="Cash","Deposit",
        TRUE,"-"
    ),
    "-"
)</f>
        <v>External FI</v>
      </c>
      <c r="X182" s="25" t="str" cm="1">
        <f t="array" ref="X182">_xlfn.IFNA(
    _xlfn.IFS(
        V182="-","Low",
        W182="-","Low",
        TRUE,"High"
    ),
    "-"
)</f>
        <v>High</v>
      </c>
      <c r="Y182" s="25" t="str">
        <f t="shared" si="8"/>
        <v>-</v>
      </c>
      <c r="Z182" s="25" t="str" cm="1">
        <f t="array" ref="Z182">_xlfn.IFNA(
    _xlfn.IFS(
        ISNUMBER(SEARCH("Abdul Latif Jameel",M182)),"Lender",
        ISNUMBER(SEARCH("Abdullah Abdulkarim Al Sudais",M182)),"Accounting",
        ISNUMBER(SEARCH("Abdullah Fahad for Accounting",M182)),"Accounting",
        ISNUMBER(SEARCH("Abdullah Rashid Shaikh",M182)),"Shareholder",
        ISNUMBER(SEARCH("Advanced Equipments",M182)),"Equipment Rental",
        ISNUMBER(SEARCH("Al Banuk Sana",M182)),"Telecom Company",
        ISNUMBER(SEARCH("Al Khaleefa Factory",M182)),"Manufacturer",
        ISNUMBER(SEARCH("Al Saadeh Trading",M182)),"Trading Company",
        ISNUMBER(SEARCH("Al Zaehaan",M182)),"Trading Company",
        ISNUMBER(SEARCH("Ali Abdullah K Al Darwish",M182)),"Airlines",
        ISNUMBER(SEARCH("Bupa Arabia",M182)),"Health Insurance",
        ISNUMBER(SEARCH("Dar Fahoosaat",M182)),"Consultant",
        ISNUMBER(SEARCH("General Authority of Zakat",M182)),"Tax Collection",
        ISNUMBER(SEARCH("Gulf Voyager",M182)),"Travel Agency",
        ISNUMBER(SEARCH("Hopeway Trading",M182)),"Trading Company",
        ISNUMBER(SEARCH("Interhealth Medical",M182)),"Medical Services",
        ISNUMBER(SEARCH("Ishaar",M182)),"Online Payment Service",
        ISNUMBER(SEARCH("ISO Arabia",M182)),"Certification",
        ISNUMBER(SEARCH("Khalid Saad Al Otaibi",M182)),"Trading Company",
        ISNUMBER(SEARCH("MERAS for Decoration",M182)),"Decor Company",
        ISNUMBER(SEARCH("Middle East Customs Clearance",M182)),"Customs",
        ISNUMBER(SEARCH("Ministry of Human Resources",M182)),"Government",
        ISNUMBER(SEARCH("My Business Services",M182)),"Service Provider",
        ISNUMBER(SEARCH("National Water Company",M182)),"Water Company",
        ISNUMBER(SEARCH("Rania Contracting",M182)),"Contracting",
        ISNUMBER(SEARCH("Rashid Ali Sheikh",M182)),"Shareholder",
        ISNUMBER(SEARCH("Sahab United Motors",M182)),"Car Show Room",
        ISNUMBER(SEARCH("Saud Mohammed Al Tamimi",M182)),"Shareholder",
        ISNUMBER(SEARCH("Saud Mohammed Tamimi",M182)),"Shareholder",
        ISNUMBER(SEARCH("Saudi Electric Company",M182)),"Electricity Company",
        ISNUMBER(SEARCH("Saudi Vetonit",M182)),"Building Materials",
        ISNUMBER(SEARCH("Shomoul Eng",M182)),"Safety",
        ISNUMBER(SEARCH("STC",M182)),"Telecom Company",
        ISNUMBER(SEARCH("The General Organization for Social Insurance",M182)),"Social Insurance Agency",
        ISNUMBER(SEARCH("TUV Rheinland",M182)),"Certification",
        ISNUMBER(SEARCH("Al Arabia Ceramic",M182)),"Building Materials",
        ISNUMBER(SEARCH("National Company for Building and Marketing",M182)),"Parent Company",
        ISNUMBER(SEARCH("Athraa Holding",M182)),"Holding Company",
        ISNUMBER(SEARCH("Al Rasan",M182)),"Contracting",
        ISNUMBER(SEARCH("Raboua Al Haid",M182)),"Trading Company",
        ISNUMBER(SEARCH("Al Jazeera Paint",M182)),"Manufacturer",
        ISNUMBER(SEARCH("Rania Works Contracting",M182)),"Contracting",
        ISNUMBER(SEARCH("Bandar Jarallah",M182)),"Trading Establishment",
        ISNUMBER(SEARCH("RS Infratec Saudi",M182)),"Same Company",
        ISNUMBER(SEARCH("Payroll",M182)),"Bank",
        ISNUMBER(SEARCH("Expatriate",M182)),"Government",
        ISNUMBER(SEARCH("Unknown Sender",M182)),"Unknown",
        TRUE,"Unknown"
    ),
    "-"
)</f>
        <v>Parent Company</v>
      </c>
      <c r="AA182" s="25" t="str" cm="1">
        <f t="array" ref="AA182">_xlfn.IFNA(
    _xlfn.IFS(
        Z182="Lender","Financing",
        Z182="Accounting","Accounting",
        Z182="Shareholder","Individual",
        Z182="Equipment Rental","Equipment Rental",
        Z182="Telecom Company","Telecom",
        Z182="Manufacturer","Manufacturer",
        Z182="Trading Company","Trading And Transport",
        Z182="Trading Establishment","Trading",
        Z182="Airlines","Airlines",
        Z182="Health Insurance","Insurance",
        Z182="Consultant","Consultant",
        Z182="Tax Collection","Government",
        Z182="Travel Agency","Travel Agency",
        Z182="Medical Services","Medical Center",
        Z182="Online Payment Service","Payment Facilitator",
        Z182="Certification","Safety",
        Z182="Decor Company","Design",
        Z182="Customs","Customs",
        Z182="Government","Government",
        Z182="Service Provider","Service Provider",
        Z182="Water Company","Water Company",
        Z182="Contracting","Contracting",
        Z182="Car Show Room","Car Trader",
        Z182="Electricity Company","Electricity Company",
        Z182="Building Materials","Building Materials",
        Z182="Safety","Safety",
        Z182="Social Insurance Agency","Government Fund",
        Z182="Parent Company","Holding Company",
        Z182="Holding Company","Holding Company",
        Z182="Same Company","Construction",
        Z182="Bank","Bank",
        Z182="Unknown","Unknown",
        TRUE,"-"
    ),
    "-"
)</f>
        <v>Holding Company</v>
      </c>
      <c r="AB182" s="25" t="str">
        <f t="shared" si="9"/>
        <v>-</v>
      </c>
      <c r="AC182" s="25" t="str" cm="1">
        <f t="array" ref="AC182">_xlfn.IFNA(
    _xlfn.IFS(
        Z182="Shareholder","Shareholder",
        Z182="Same Company","Same Company",
        Z182="Bank","Bank",
        Z182="Government","Government",
        Z182="Social Insurance Agency","Government",
        Z182="Parent Company","Customer",
        Z182="Lender","Lender",
        Z182="Unknown","Unknown",
        ISNUMBER(SEARCH("Abdullah Abdulkarim",M182)),"Service Provider",
        ISNUMBER(SEARCH("Abdullah Fahad",M182)),"Service Provider",
        ISNUMBER(SEARCH("Advanced Equipments",M182)),"Supplier",
        ISNUMBER(SEARCH("Al Banuk Sana",M182)),"Supplier",
        ISNUMBER(SEARCH("Al Khaleefa Factory",M182)),"Supplier",
        ISNUMBER(SEARCH("Al Saadeh Trading",M182)),"Supplier",
        ISNUMBER(SEARCH("Al Zaehaan",M182)),"Supplier",
        ISNUMBER(SEARCH("Ali Abdullah K Al Darwish",M182)),"Service Provider",
        ISNUMBER(SEARCH("Bupa Arabia",M182)),"Insurance Company",
        ISNUMBER(SEARCH("Dar Fahoosaat",M182)),"Service Provider",
        ISNUMBER(SEARCH("General Authority of Zakat",M182)),"Tax Authority",
        ISNUMBER(SEARCH("Gulf Voyager",M182)),"Service Provider",
        ISNUMBER(SEARCH("Hopeway Trading",M182)),"Supplier",
        ISNUMBER(SEARCH("Interhealth Medical",M182)),"Customer",
        ISNUMBER(SEARCH("Ishaar",M182)),"Service Provider",
        ISNUMBER(SEARCH("ISO Arabia",M182)),"Service Provider",
        ISNUMBER(SEARCH("Khalid Saad Al Otaibi",M182)),"Supplier",
        ISNUMBER(SEARCH("MERAS for Decoration",M182)),"Supplier",
        ISNUMBER(SEARCH("Middle East Customs Clearance",M182)),"Service Provider",
        ISNUMBER(SEARCH("Ministry of Human Resources",M182)),"Regulatory Agency",
        ISNUMBER(SEARCH("My Business Services",M182)),"Service Provider",
        ISNUMBER(SEARCH("National Water Company",M182)),"Utility Provider",
        ISNUMBER(SEARCH("Rania Contracting",M182)),"Supplier",
        ISNUMBER(SEARCH("Sahab United Motors",M182)),"Supplier",
        ISNUMBER(SEARCH("Saudi Electric Company",M182)),"Utility Provider",
        ISNUMBER(SEARCH("Saudi Vetonit",M182)),"Supplier",
        ISNUMBER(SEARCH("Shomoul Eng",M182)),"Service Provider",
        ISNUMBER(SEARCH("STC",M182)),"Utility Provider",
        ISNUMBER(SEARCH("The General Organization for Social Insurance",M182)),"Social Insurance Agency",
        ISNUMBER(SEARCH("TUV Rheinland",M182)),"Service Provider",
        ISNUMBER(SEARCH("Al Arabia Ceramic",M182)),"Supplier",
        ISNUMBER(SEARCH("National Company for Building",M182)),"Customer",
        ISNUMBER(SEARCH("Athraa Holding",M182)),"Customer",
        ISNUMBER(SEARCH("Al Rasan",M182)),"Supplier",
        ISNUMBER(SEARCH("Raboua Al Haid",M182)),"Customer",
        ISNUMBER(SEARCH("Al Jazeera Paint",M182)),"Supplier",
        ISNUMBER(SEARCH("Rania Works Contracting",M182)),"Supplier",
        ISNUMBER(SEARCH("Bandar Jarallah",M182)),"Supplier",
        TRUE,"Supplier"
    ),
    "-"
)</f>
        <v>Customer</v>
      </c>
      <c r="AD182" s="25" t="str" cm="1">
        <f t="array" ref="AD182">_xlfn.IFNA(
    _xlfn.IFS(
        AC182="Same Company","High",
        AC182="Shareholder","High",
        AC182="Government","High",
        AC182="Bank","High",
        AC182="Lender","High",
        AC182="Unknown","Low",
        AC182="-","Low",
        TRUE,"Medium"
    ),
    "-"
)</f>
        <v>Medium</v>
      </c>
      <c r="AE182" s="25" t="str">
        <f t="shared" si="10"/>
        <v>-</v>
      </c>
      <c r="AF182" s="25" t="str" cm="1">
        <f t="array" ref="AF182">_xlfn.IFNA(
    _xlfn.IFS(
        K182="Credit",
            _xlfn.IFS(
                OR(ISNUMBER(SEARCH("Rejected",L182)),ISNUMBER(SEARCH("Returned",L182))),"Other Income",
                TRUE,"Revenue"
            ),
        K182="Debit",
            _xlfn.IFS(
                ISNUMBER(SEARCH("Payroll",L182)),"OPEX",
                ISNUMBER(SEARCH("Expatriate",L182)),"OPEX",
                ISNUMBER(SEARCH("Zakat",M182)),"ZATCA",
                ISNUMBER(SEARCH("General Organization for Social Insurance",M182)),"OPEX",
                ISNUMBER(SEARCH("Saudi Electric",M182)),"OPEX",
                ISNUMBER(SEARCH("STC",M182)),"OPEX",
                ISNUMBER(SEARCH("National Water",M182)),"OPEX",
                ISNUMBER(SEARCH("Bupa",M182)),"OPEX",
                ISNUMBER(SEARCH("Abdullah Abdulkarim",M182)),"OPEX",
                ISNUMBER(SEARCH("Abdullah Fahad",M182)),"OPEX",
                ISNUMBER(SEARCH("ISO Arabia",M182)),"OPEX",
                ISNUMBER(SEARCH("Gulf Voyager",M182)),"OPEX",
                ISNUMBER(SEARCH("Ministry",M182)),"OPEX",
                ISNUMBER(SEARCH("General Authority of Zakat",M182)),"ZATCA",
                ISNUMBER(SEARCH("Rejected",L182)),"Other Income",
                TRUE,"COGS"
            ),
        TRUE,"-"
    ),
    "-"
)</f>
        <v>Revenue</v>
      </c>
      <c r="AG182" s="25" t="str" cm="1">
        <f t="array" ref="AG182">_xlfn.IFNA(
    _xlfn.IFS(
        ISNUMBER(SEARCH("Payroll",L182)),"Payroll",
        ISNUMBER(SEARCH("Expatriate",L182)),"Government Fees",
        ISNUMBER(SEARCH("Zakat",M182)),"Zakat",
        ISNUMBER(SEARCH("Social Insurance",M182)),"Social Insurance",
        ISNUMBER(SEARCH("Saudi Electric",M182)),"Electricity",
        ISNUMBER(SEARCH("STC",M182)),"Telecom",
        ISNUMBER(SEARCH("National Water",M182)),"Water",
        ISNUMBER(SEARCH("Bupa",M182)),"Insurance",
        ISNUMBER(SEARCH("Gulf Voyager",M182)),"Travel",
        ISNUMBER(SEARCH("Ministry",M182)),"Government Fees",
        ISNUMBER(SEARCH("Abdullah Abdulkarim",M182)),"Consulting",
        ISNUMBER(SEARCH("Abdullah Fahad",M182)),"Accounting",
        ISNUMBER(SEARCH("ISO Arabia",M182)),"Consulting",
        ISNUMBER(SEARCH("Rejected",L182)),"Refund",
        AF182="COGS","Inventory Purchase",
        AF182="Revenue","Revenue",
        AF182="OPEX","Other",
        AF182="ZATCA","Zakat",
        TRUE,"-"
    ),
    "-"
)</f>
        <v>Revenue</v>
      </c>
      <c r="AH182" s="25" t="str" cm="1">
        <f t="array" ref="AH182">_xlfn.IFNA(
    _xlfn.IFS(
        AF182="-","Low",
        AF182="Other","Low",
        TRUE,"Medium"
    ),
    "-"
)</f>
        <v>Medium</v>
      </c>
      <c r="AI182" s="25" t="str">
        <f t="shared" si="11"/>
        <v>-</v>
      </c>
    </row>
    <row r="183" spans="1:35" x14ac:dyDescent="0.25">
      <c r="A183" s="10">
        <v>59</v>
      </c>
      <c r="B183" s="10" t="s">
        <v>35</v>
      </c>
      <c r="C183" s="10" t="s">
        <v>36</v>
      </c>
      <c r="D183" s="10" t="s">
        <v>37</v>
      </c>
      <c r="E183" s="10" t="s">
        <v>38</v>
      </c>
      <c r="F183" s="11" t="s">
        <v>39</v>
      </c>
      <c r="G183" s="11" t="s">
        <v>40</v>
      </c>
      <c r="H183" s="12">
        <v>45028</v>
      </c>
      <c r="I183" s="20">
        <v>107737.92</v>
      </c>
      <c r="J183" s="20">
        <v>100000</v>
      </c>
      <c r="K183" s="10" t="s">
        <v>116</v>
      </c>
      <c r="L183" s="9" t="s">
        <v>230</v>
      </c>
      <c r="M183" s="9" t="s">
        <v>231</v>
      </c>
      <c r="N183" s="9" t="s">
        <v>232</v>
      </c>
      <c r="O183" s="9" t="s">
        <v>233</v>
      </c>
      <c r="P183" s="15">
        <v>45028</v>
      </c>
      <c r="Q183" s="9" t="s">
        <v>275</v>
      </c>
      <c r="R183" s="16">
        <v>100000</v>
      </c>
      <c r="U183" s="9" t="s">
        <v>55</v>
      </c>
      <c r="V183" s="24" t="str" cm="1">
        <f t="array" ref="V183">_xlfn.IFNA(
    _xlfn.IFS(
        ISNUMBER(SEARCH("Fast Outgoing Transfer",L183)),"Transfer",
        ISNUMBER(SEARCH("Incoming Fast Transfer",L183)),"Transfer",
        ISNUMBER(SEARCH("Outgoing International Transfer",L183)),"Transfer",
        ISNUMBER(SEARCH("Bill Payment",L183)),"SADAD",
        ISNUMBER(SEARCH("Payroll",L183)),"Payroll",
        ISNUMBER(SEARCH("Cash Deposit",L183)),"Cash",
        ISNUMBER(SEARCH("Internal Transfer",L183)),"Transfer",
        ISNUMBER(SEARCH("Expatriate Services Payment",L183)),"SADAD",
        ISNUMBER(SEARCH("Rejected",L183)),"Transfer"
    ),
    "-"
)</f>
        <v>Transfer</v>
      </c>
      <c r="W183" s="25" t="str" cm="1">
        <f t="array" ref="W183">_xlfn.IFNA(
    _xlfn.IFS(
        AND(V183="Transfer",ISNUMBER(SEARCH("RIYAD BANK",L183))),"External FI",
        AND(V183="Transfer",ISNUMBER(SEARCH("Al Ahli",L183))),"External FI",
        AND(V183="Transfer",ISNUMBER(SEARCH("CIB via",L183))),"Local Transfer",
        AND(V183="Transfer",ISNUMBER(SEARCH("CIB)",L183))),"Local Transfer",
        AND(V183="Transfer",ISNUMBER(SEARCH("SMRT",L183))),"Local Transfer",
        AND(V183="Transfer",ISNUMBER(SEARCH("Al Murabba",L183))),"Local Transfer",
        AND(V183="Transfer",ISNUMBER(SEARCH("Internal Transfer",L183))),"Same FI",
        AND(V183="Transfer",ISNUMBER(SEARCH("Rejected",L183))),"Failed",
        V183="SADAD",
            _xlfn.IFS(
                ISNUMBER(SEARCH("Expatriate",L183)),"Expat Fees",
                TRUE,"Online Payment"
            ),
        V183="Payroll","Payroll",
        V183="Cash","Deposit",
        TRUE,"-"
    ),
    "-"
)</f>
        <v>External FI</v>
      </c>
      <c r="X183" s="25" t="str" cm="1">
        <f t="array" ref="X183">_xlfn.IFNA(
    _xlfn.IFS(
        V183="-","Low",
        W183="-","Low",
        TRUE,"High"
    ),
    "-"
)</f>
        <v>High</v>
      </c>
      <c r="Y183" s="25" t="str">
        <f t="shared" si="8"/>
        <v>-</v>
      </c>
      <c r="Z183" s="25" t="str" cm="1">
        <f t="array" ref="Z183">_xlfn.IFNA(
    _xlfn.IFS(
        ISNUMBER(SEARCH("Abdul Latif Jameel",M183)),"Lender",
        ISNUMBER(SEARCH("Abdullah Abdulkarim Al Sudais",M183)),"Accounting",
        ISNUMBER(SEARCH("Abdullah Fahad for Accounting",M183)),"Accounting",
        ISNUMBER(SEARCH("Abdullah Rashid Shaikh",M183)),"Shareholder",
        ISNUMBER(SEARCH("Advanced Equipments",M183)),"Equipment Rental",
        ISNUMBER(SEARCH("Al Banuk Sana",M183)),"Telecom Company",
        ISNUMBER(SEARCH("Al Khaleefa Factory",M183)),"Manufacturer",
        ISNUMBER(SEARCH("Al Saadeh Trading",M183)),"Trading Company",
        ISNUMBER(SEARCH("Al Zaehaan",M183)),"Trading Company",
        ISNUMBER(SEARCH("Ali Abdullah K Al Darwish",M183)),"Airlines",
        ISNUMBER(SEARCH("Bupa Arabia",M183)),"Health Insurance",
        ISNUMBER(SEARCH("Dar Fahoosaat",M183)),"Consultant",
        ISNUMBER(SEARCH("General Authority of Zakat",M183)),"Tax Collection",
        ISNUMBER(SEARCH("Gulf Voyager",M183)),"Travel Agency",
        ISNUMBER(SEARCH("Hopeway Trading",M183)),"Trading Company",
        ISNUMBER(SEARCH("Interhealth Medical",M183)),"Medical Services",
        ISNUMBER(SEARCH("Ishaar",M183)),"Online Payment Service",
        ISNUMBER(SEARCH("ISO Arabia",M183)),"Certification",
        ISNUMBER(SEARCH("Khalid Saad Al Otaibi",M183)),"Trading Company",
        ISNUMBER(SEARCH("MERAS for Decoration",M183)),"Decor Company",
        ISNUMBER(SEARCH("Middle East Customs Clearance",M183)),"Customs",
        ISNUMBER(SEARCH("Ministry of Human Resources",M183)),"Government",
        ISNUMBER(SEARCH("My Business Services",M183)),"Service Provider",
        ISNUMBER(SEARCH("National Water Company",M183)),"Water Company",
        ISNUMBER(SEARCH("Rania Contracting",M183)),"Contracting",
        ISNUMBER(SEARCH("Rashid Ali Sheikh",M183)),"Shareholder",
        ISNUMBER(SEARCH("Sahab United Motors",M183)),"Car Show Room",
        ISNUMBER(SEARCH("Saud Mohammed Al Tamimi",M183)),"Shareholder",
        ISNUMBER(SEARCH("Saud Mohammed Tamimi",M183)),"Shareholder",
        ISNUMBER(SEARCH("Saudi Electric Company",M183)),"Electricity Company",
        ISNUMBER(SEARCH("Saudi Vetonit",M183)),"Building Materials",
        ISNUMBER(SEARCH("Shomoul Eng",M183)),"Safety",
        ISNUMBER(SEARCH("STC",M183)),"Telecom Company",
        ISNUMBER(SEARCH("The General Organization for Social Insurance",M183)),"Social Insurance Agency",
        ISNUMBER(SEARCH("TUV Rheinland",M183)),"Certification",
        ISNUMBER(SEARCH("Al Arabia Ceramic",M183)),"Building Materials",
        ISNUMBER(SEARCH("National Company for Building and Marketing",M183)),"Parent Company",
        ISNUMBER(SEARCH("Athraa Holding",M183)),"Holding Company",
        ISNUMBER(SEARCH("Al Rasan",M183)),"Contracting",
        ISNUMBER(SEARCH("Raboua Al Haid",M183)),"Trading Company",
        ISNUMBER(SEARCH("Al Jazeera Paint",M183)),"Manufacturer",
        ISNUMBER(SEARCH("Rania Works Contracting",M183)),"Contracting",
        ISNUMBER(SEARCH("Bandar Jarallah",M183)),"Trading Establishment",
        ISNUMBER(SEARCH("RS Infratec Saudi",M183)),"Same Company",
        ISNUMBER(SEARCH("Payroll",M183)),"Bank",
        ISNUMBER(SEARCH("Expatriate",M183)),"Government",
        ISNUMBER(SEARCH("Unknown Sender",M183)),"Unknown",
        TRUE,"Unknown"
    ),
    "-"
)</f>
        <v>Parent Company</v>
      </c>
      <c r="AA183" s="25" t="str" cm="1">
        <f t="array" ref="AA183">_xlfn.IFNA(
    _xlfn.IFS(
        Z183="Lender","Financing",
        Z183="Accounting","Accounting",
        Z183="Shareholder","Individual",
        Z183="Equipment Rental","Equipment Rental",
        Z183="Telecom Company","Telecom",
        Z183="Manufacturer","Manufacturer",
        Z183="Trading Company","Trading And Transport",
        Z183="Trading Establishment","Trading",
        Z183="Airlines","Airlines",
        Z183="Health Insurance","Insurance",
        Z183="Consultant","Consultant",
        Z183="Tax Collection","Government",
        Z183="Travel Agency","Travel Agency",
        Z183="Medical Services","Medical Center",
        Z183="Online Payment Service","Payment Facilitator",
        Z183="Certification","Safety",
        Z183="Decor Company","Design",
        Z183="Customs","Customs",
        Z183="Government","Government",
        Z183="Service Provider","Service Provider",
        Z183="Water Company","Water Company",
        Z183="Contracting","Contracting",
        Z183="Car Show Room","Car Trader",
        Z183="Electricity Company","Electricity Company",
        Z183="Building Materials","Building Materials",
        Z183="Safety","Safety",
        Z183="Social Insurance Agency","Government Fund",
        Z183="Parent Company","Holding Company",
        Z183="Holding Company","Holding Company",
        Z183="Same Company","Construction",
        Z183="Bank","Bank",
        Z183="Unknown","Unknown",
        TRUE,"-"
    ),
    "-"
)</f>
        <v>Holding Company</v>
      </c>
      <c r="AB183" s="25" t="str">
        <f t="shared" si="9"/>
        <v>-</v>
      </c>
      <c r="AC183" s="25" t="str" cm="1">
        <f t="array" ref="AC183">_xlfn.IFNA(
    _xlfn.IFS(
        Z183="Shareholder","Shareholder",
        Z183="Same Company","Same Company",
        Z183="Bank","Bank",
        Z183="Government","Government",
        Z183="Social Insurance Agency","Government",
        Z183="Parent Company","Customer",
        Z183="Lender","Lender",
        Z183="Unknown","Unknown",
        ISNUMBER(SEARCH("Abdullah Abdulkarim",M183)),"Service Provider",
        ISNUMBER(SEARCH("Abdullah Fahad",M183)),"Service Provider",
        ISNUMBER(SEARCH("Advanced Equipments",M183)),"Supplier",
        ISNUMBER(SEARCH("Al Banuk Sana",M183)),"Supplier",
        ISNUMBER(SEARCH("Al Khaleefa Factory",M183)),"Supplier",
        ISNUMBER(SEARCH("Al Saadeh Trading",M183)),"Supplier",
        ISNUMBER(SEARCH("Al Zaehaan",M183)),"Supplier",
        ISNUMBER(SEARCH("Ali Abdullah K Al Darwish",M183)),"Service Provider",
        ISNUMBER(SEARCH("Bupa Arabia",M183)),"Insurance Company",
        ISNUMBER(SEARCH("Dar Fahoosaat",M183)),"Service Provider",
        ISNUMBER(SEARCH("General Authority of Zakat",M183)),"Tax Authority",
        ISNUMBER(SEARCH("Gulf Voyager",M183)),"Service Provider",
        ISNUMBER(SEARCH("Hopeway Trading",M183)),"Supplier",
        ISNUMBER(SEARCH("Interhealth Medical",M183)),"Customer",
        ISNUMBER(SEARCH("Ishaar",M183)),"Service Provider",
        ISNUMBER(SEARCH("ISO Arabia",M183)),"Service Provider",
        ISNUMBER(SEARCH("Khalid Saad Al Otaibi",M183)),"Supplier",
        ISNUMBER(SEARCH("MERAS for Decoration",M183)),"Supplier",
        ISNUMBER(SEARCH("Middle East Customs Clearance",M183)),"Service Provider",
        ISNUMBER(SEARCH("Ministry of Human Resources",M183)),"Regulatory Agency",
        ISNUMBER(SEARCH("My Business Services",M183)),"Service Provider",
        ISNUMBER(SEARCH("National Water Company",M183)),"Utility Provider",
        ISNUMBER(SEARCH("Rania Contracting",M183)),"Supplier",
        ISNUMBER(SEARCH("Sahab United Motors",M183)),"Supplier",
        ISNUMBER(SEARCH("Saudi Electric Company",M183)),"Utility Provider",
        ISNUMBER(SEARCH("Saudi Vetonit",M183)),"Supplier",
        ISNUMBER(SEARCH("Shomoul Eng",M183)),"Service Provider",
        ISNUMBER(SEARCH("STC",M183)),"Utility Provider",
        ISNUMBER(SEARCH("The General Organization for Social Insurance",M183)),"Social Insurance Agency",
        ISNUMBER(SEARCH("TUV Rheinland",M183)),"Service Provider",
        ISNUMBER(SEARCH("Al Arabia Ceramic",M183)),"Supplier",
        ISNUMBER(SEARCH("National Company for Building",M183)),"Customer",
        ISNUMBER(SEARCH("Athraa Holding",M183)),"Customer",
        ISNUMBER(SEARCH("Al Rasan",M183)),"Supplier",
        ISNUMBER(SEARCH("Raboua Al Haid",M183)),"Customer",
        ISNUMBER(SEARCH("Al Jazeera Paint",M183)),"Supplier",
        ISNUMBER(SEARCH("Rania Works Contracting",M183)),"Supplier",
        ISNUMBER(SEARCH("Bandar Jarallah",M183)),"Supplier",
        TRUE,"Supplier"
    ),
    "-"
)</f>
        <v>Customer</v>
      </c>
      <c r="AD183" s="25" t="str" cm="1">
        <f t="array" ref="AD183">_xlfn.IFNA(
    _xlfn.IFS(
        AC183="Same Company","High",
        AC183="Shareholder","High",
        AC183="Government","High",
        AC183="Bank","High",
        AC183="Lender","High",
        AC183="Unknown","Low",
        AC183="-","Low",
        TRUE,"Medium"
    ),
    "-"
)</f>
        <v>Medium</v>
      </c>
      <c r="AE183" s="25" t="str">
        <f t="shared" si="10"/>
        <v>-</v>
      </c>
      <c r="AF183" s="25" t="str" cm="1">
        <f t="array" ref="AF183">_xlfn.IFNA(
    _xlfn.IFS(
        K183="Credit",
            _xlfn.IFS(
                OR(ISNUMBER(SEARCH("Rejected",L183)),ISNUMBER(SEARCH("Returned",L183))),"Other Income",
                TRUE,"Revenue"
            ),
        K183="Debit",
            _xlfn.IFS(
                ISNUMBER(SEARCH("Payroll",L183)),"OPEX",
                ISNUMBER(SEARCH("Expatriate",L183)),"OPEX",
                ISNUMBER(SEARCH("Zakat",M183)),"ZATCA",
                ISNUMBER(SEARCH("General Organization for Social Insurance",M183)),"OPEX",
                ISNUMBER(SEARCH("Saudi Electric",M183)),"OPEX",
                ISNUMBER(SEARCH("STC",M183)),"OPEX",
                ISNUMBER(SEARCH("National Water",M183)),"OPEX",
                ISNUMBER(SEARCH("Bupa",M183)),"OPEX",
                ISNUMBER(SEARCH("Abdullah Abdulkarim",M183)),"OPEX",
                ISNUMBER(SEARCH("Abdullah Fahad",M183)),"OPEX",
                ISNUMBER(SEARCH("ISO Arabia",M183)),"OPEX",
                ISNUMBER(SEARCH("Gulf Voyager",M183)),"OPEX",
                ISNUMBER(SEARCH("Ministry",M183)),"OPEX",
                ISNUMBER(SEARCH("General Authority of Zakat",M183)),"ZATCA",
                ISNUMBER(SEARCH("Rejected",L183)),"Other Income",
                TRUE,"COGS"
            ),
        TRUE,"-"
    ),
    "-"
)</f>
        <v>Revenue</v>
      </c>
      <c r="AG183" s="25" t="str" cm="1">
        <f t="array" ref="AG183">_xlfn.IFNA(
    _xlfn.IFS(
        ISNUMBER(SEARCH("Payroll",L183)),"Payroll",
        ISNUMBER(SEARCH("Expatriate",L183)),"Government Fees",
        ISNUMBER(SEARCH("Zakat",M183)),"Zakat",
        ISNUMBER(SEARCH("Social Insurance",M183)),"Social Insurance",
        ISNUMBER(SEARCH("Saudi Electric",M183)),"Electricity",
        ISNUMBER(SEARCH("STC",M183)),"Telecom",
        ISNUMBER(SEARCH("National Water",M183)),"Water",
        ISNUMBER(SEARCH("Bupa",M183)),"Insurance",
        ISNUMBER(SEARCH("Gulf Voyager",M183)),"Travel",
        ISNUMBER(SEARCH("Ministry",M183)),"Government Fees",
        ISNUMBER(SEARCH("Abdullah Abdulkarim",M183)),"Consulting",
        ISNUMBER(SEARCH("Abdullah Fahad",M183)),"Accounting",
        ISNUMBER(SEARCH("ISO Arabia",M183)),"Consulting",
        ISNUMBER(SEARCH("Rejected",L183)),"Refund",
        AF183="COGS","Inventory Purchase",
        AF183="Revenue","Revenue",
        AF183="OPEX","Other",
        AF183="ZATCA","Zakat",
        TRUE,"-"
    ),
    "-"
)</f>
        <v>Revenue</v>
      </c>
      <c r="AH183" s="25" t="str" cm="1">
        <f t="array" ref="AH183">_xlfn.IFNA(
    _xlfn.IFS(
        AF183="-","Low",
        AF183="Other","Low",
        TRUE,"Medium"
    ),
    "-"
)</f>
        <v>Medium</v>
      </c>
      <c r="AI183" s="25" t="str">
        <f t="shared" si="11"/>
        <v>-</v>
      </c>
    </row>
    <row r="184" spans="1:35" x14ac:dyDescent="0.25">
      <c r="A184" s="10">
        <v>59</v>
      </c>
      <c r="B184" s="10" t="s">
        <v>35</v>
      </c>
      <c r="C184" s="10" t="s">
        <v>36</v>
      </c>
      <c r="D184" s="10" t="s">
        <v>37</v>
      </c>
      <c r="E184" s="10" t="s">
        <v>38</v>
      </c>
      <c r="F184" s="11" t="s">
        <v>39</v>
      </c>
      <c r="G184" s="10" t="s">
        <v>40</v>
      </c>
      <c r="H184" s="12">
        <v>45029</v>
      </c>
      <c r="I184" s="20">
        <v>131230.96</v>
      </c>
      <c r="J184" s="20">
        <v>100000</v>
      </c>
      <c r="K184" s="10" t="s">
        <v>116</v>
      </c>
      <c r="L184" s="9" t="s">
        <v>230</v>
      </c>
      <c r="M184" s="9" t="s">
        <v>231</v>
      </c>
      <c r="N184" s="9" t="s">
        <v>232</v>
      </c>
      <c r="O184" s="9" t="s">
        <v>233</v>
      </c>
      <c r="P184" s="15">
        <v>45029</v>
      </c>
      <c r="Q184" s="9" t="s">
        <v>276</v>
      </c>
      <c r="R184" s="16">
        <v>100000</v>
      </c>
      <c r="U184" s="9" t="s">
        <v>55</v>
      </c>
      <c r="V184" s="24" t="str" cm="1">
        <f t="array" ref="V184">_xlfn.IFNA(
    _xlfn.IFS(
        ISNUMBER(SEARCH("Fast Outgoing Transfer",L184)),"Transfer",
        ISNUMBER(SEARCH("Incoming Fast Transfer",L184)),"Transfer",
        ISNUMBER(SEARCH("Outgoing International Transfer",L184)),"Transfer",
        ISNUMBER(SEARCH("Bill Payment",L184)),"SADAD",
        ISNUMBER(SEARCH("Payroll",L184)),"Payroll",
        ISNUMBER(SEARCH("Cash Deposit",L184)),"Cash",
        ISNUMBER(SEARCH("Internal Transfer",L184)),"Transfer",
        ISNUMBER(SEARCH("Expatriate Services Payment",L184)),"SADAD",
        ISNUMBER(SEARCH("Rejected",L184)),"Transfer"
    ),
    "-"
)</f>
        <v>Transfer</v>
      </c>
      <c r="W184" s="25" t="str" cm="1">
        <f t="array" ref="W184">_xlfn.IFNA(
    _xlfn.IFS(
        AND(V184="Transfer",ISNUMBER(SEARCH("RIYAD BANK",L184))),"External FI",
        AND(V184="Transfer",ISNUMBER(SEARCH("Al Ahli",L184))),"External FI",
        AND(V184="Transfer",ISNUMBER(SEARCH("CIB via",L184))),"Local Transfer",
        AND(V184="Transfer",ISNUMBER(SEARCH("CIB)",L184))),"Local Transfer",
        AND(V184="Transfer",ISNUMBER(SEARCH("SMRT",L184))),"Local Transfer",
        AND(V184="Transfer",ISNUMBER(SEARCH("Al Murabba",L184))),"Local Transfer",
        AND(V184="Transfer",ISNUMBER(SEARCH("Internal Transfer",L184))),"Same FI",
        AND(V184="Transfer",ISNUMBER(SEARCH("Rejected",L184))),"Failed",
        V184="SADAD",
            _xlfn.IFS(
                ISNUMBER(SEARCH("Expatriate",L184)),"Expat Fees",
                TRUE,"Online Payment"
            ),
        V184="Payroll","Payroll",
        V184="Cash","Deposit",
        TRUE,"-"
    ),
    "-"
)</f>
        <v>External FI</v>
      </c>
      <c r="X184" s="25" t="str" cm="1">
        <f t="array" ref="X184">_xlfn.IFNA(
    _xlfn.IFS(
        V184="-","Low",
        W184="-","Low",
        TRUE,"High"
    ),
    "-"
)</f>
        <v>High</v>
      </c>
      <c r="Y184" s="25" t="str">
        <f t="shared" si="8"/>
        <v>-</v>
      </c>
      <c r="Z184" s="25" t="str" cm="1">
        <f t="array" ref="Z184">_xlfn.IFNA(
    _xlfn.IFS(
        ISNUMBER(SEARCH("Abdul Latif Jameel",M184)),"Lender",
        ISNUMBER(SEARCH("Abdullah Abdulkarim Al Sudais",M184)),"Accounting",
        ISNUMBER(SEARCH("Abdullah Fahad for Accounting",M184)),"Accounting",
        ISNUMBER(SEARCH("Abdullah Rashid Shaikh",M184)),"Shareholder",
        ISNUMBER(SEARCH("Advanced Equipments",M184)),"Equipment Rental",
        ISNUMBER(SEARCH("Al Banuk Sana",M184)),"Telecom Company",
        ISNUMBER(SEARCH("Al Khaleefa Factory",M184)),"Manufacturer",
        ISNUMBER(SEARCH("Al Saadeh Trading",M184)),"Trading Company",
        ISNUMBER(SEARCH("Al Zaehaan",M184)),"Trading Company",
        ISNUMBER(SEARCH("Ali Abdullah K Al Darwish",M184)),"Airlines",
        ISNUMBER(SEARCH("Bupa Arabia",M184)),"Health Insurance",
        ISNUMBER(SEARCH("Dar Fahoosaat",M184)),"Consultant",
        ISNUMBER(SEARCH("General Authority of Zakat",M184)),"Tax Collection",
        ISNUMBER(SEARCH("Gulf Voyager",M184)),"Travel Agency",
        ISNUMBER(SEARCH("Hopeway Trading",M184)),"Trading Company",
        ISNUMBER(SEARCH("Interhealth Medical",M184)),"Medical Services",
        ISNUMBER(SEARCH("Ishaar",M184)),"Online Payment Service",
        ISNUMBER(SEARCH("ISO Arabia",M184)),"Certification",
        ISNUMBER(SEARCH("Khalid Saad Al Otaibi",M184)),"Trading Company",
        ISNUMBER(SEARCH("MERAS for Decoration",M184)),"Decor Company",
        ISNUMBER(SEARCH("Middle East Customs Clearance",M184)),"Customs",
        ISNUMBER(SEARCH("Ministry of Human Resources",M184)),"Government",
        ISNUMBER(SEARCH("My Business Services",M184)),"Service Provider",
        ISNUMBER(SEARCH("National Water Company",M184)),"Water Company",
        ISNUMBER(SEARCH("Rania Contracting",M184)),"Contracting",
        ISNUMBER(SEARCH("Rashid Ali Sheikh",M184)),"Shareholder",
        ISNUMBER(SEARCH("Sahab United Motors",M184)),"Car Show Room",
        ISNUMBER(SEARCH("Saud Mohammed Al Tamimi",M184)),"Shareholder",
        ISNUMBER(SEARCH("Saud Mohammed Tamimi",M184)),"Shareholder",
        ISNUMBER(SEARCH("Saudi Electric Company",M184)),"Electricity Company",
        ISNUMBER(SEARCH("Saudi Vetonit",M184)),"Building Materials",
        ISNUMBER(SEARCH("Shomoul Eng",M184)),"Safety",
        ISNUMBER(SEARCH("STC",M184)),"Telecom Company",
        ISNUMBER(SEARCH("The General Organization for Social Insurance",M184)),"Social Insurance Agency",
        ISNUMBER(SEARCH("TUV Rheinland",M184)),"Certification",
        ISNUMBER(SEARCH("Al Arabia Ceramic",M184)),"Building Materials",
        ISNUMBER(SEARCH("National Company for Building and Marketing",M184)),"Parent Company",
        ISNUMBER(SEARCH("Athraa Holding",M184)),"Holding Company",
        ISNUMBER(SEARCH("Al Rasan",M184)),"Contracting",
        ISNUMBER(SEARCH("Raboua Al Haid",M184)),"Trading Company",
        ISNUMBER(SEARCH("Al Jazeera Paint",M184)),"Manufacturer",
        ISNUMBER(SEARCH("Rania Works Contracting",M184)),"Contracting",
        ISNUMBER(SEARCH("Bandar Jarallah",M184)),"Trading Establishment",
        ISNUMBER(SEARCH("RS Infratec Saudi",M184)),"Same Company",
        ISNUMBER(SEARCH("Payroll",M184)),"Bank",
        ISNUMBER(SEARCH("Expatriate",M184)),"Government",
        ISNUMBER(SEARCH("Unknown Sender",M184)),"Unknown",
        TRUE,"Unknown"
    ),
    "-"
)</f>
        <v>Parent Company</v>
      </c>
      <c r="AA184" s="25" t="str" cm="1">
        <f t="array" ref="AA184">_xlfn.IFNA(
    _xlfn.IFS(
        Z184="Lender","Financing",
        Z184="Accounting","Accounting",
        Z184="Shareholder","Individual",
        Z184="Equipment Rental","Equipment Rental",
        Z184="Telecom Company","Telecom",
        Z184="Manufacturer","Manufacturer",
        Z184="Trading Company","Trading And Transport",
        Z184="Trading Establishment","Trading",
        Z184="Airlines","Airlines",
        Z184="Health Insurance","Insurance",
        Z184="Consultant","Consultant",
        Z184="Tax Collection","Government",
        Z184="Travel Agency","Travel Agency",
        Z184="Medical Services","Medical Center",
        Z184="Online Payment Service","Payment Facilitator",
        Z184="Certification","Safety",
        Z184="Decor Company","Design",
        Z184="Customs","Customs",
        Z184="Government","Government",
        Z184="Service Provider","Service Provider",
        Z184="Water Company","Water Company",
        Z184="Contracting","Contracting",
        Z184="Car Show Room","Car Trader",
        Z184="Electricity Company","Electricity Company",
        Z184="Building Materials","Building Materials",
        Z184="Safety","Safety",
        Z184="Social Insurance Agency","Government Fund",
        Z184="Parent Company","Holding Company",
        Z184="Holding Company","Holding Company",
        Z184="Same Company","Construction",
        Z184="Bank","Bank",
        Z184="Unknown","Unknown",
        TRUE,"-"
    ),
    "-"
)</f>
        <v>Holding Company</v>
      </c>
      <c r="AB184" s="25" t="str">
        <f t="shared" si="9"/>
        <v>-</v>
      </c>
      <c r="AC184" s="25" t="str" cm="1">
        <f t="array" ref="AC184">_xlfn.IFNA(
    _xlfn.IFS(
        Z184="Shareholder","Shareholder",
        Z184="Same Company","Same Company",
        Z184="Bank","Bank",
        Z184="Government","Government",
        Z184="Social Insurance Agency","Government",
        Z184="Parent Company","Customer",
        Z184="Lender","Lender",
        Z184="Unknown","Unknown",
        ISNUMBER(SEARCH("Abdullah Abdulkarim",M184)),"Service Provider",
        ISNUMBER(SEARCH("Abdullah Fahad",M184)),"Service Provider",
        ISNUMBER(SEARCH("Advanced Equipments",M184)),"Supplier",
        ISNUMBER(SEARCH("Al Banuk Sana",M184)),"Supplier",
        ISNUMBER(SEARCH("Al Khaleefa Factory",M184)),"Supplier",
        ISNUMBER(SEARCH("Al Saadeh Trading",M184)),"Supplier",
        ISNUMBER(SEARCH("Al Zaehaan",M184)),"Supplier",
        ISNUMBER(SEARCH("Ali Abdullah K Al Darwish",M184)),"Service Provider",
        ISNUMBER(SEARCH("Bupa Arabia",M184)),"Insurance Company",
        ISNUMBER(SEARCH("Dar Fahoosaat",M184)),"Service Provider",
        ISNUMBER(SEARCH("General Authority of Zakat",M184)),"Tax Authority",
        ISNUMBER(SEARCH("Gulf Voyager",M184)),"Service Provider",
        ISNUMBER(SEARCH("Hopeway Trading",M184)),"Supplier",
        ISNUMBER(SEARCH("Interhealth Medical",M184)),"Customer",
        ISNUMBER(SEARCH("Ishaar",M184)),"Service Provider",
        ISNUMBER(SEARCH("ISO Arabia",M184)),"Service Provider",
        ISNUMBER(SEARCH("Khalid Saad Al Otaibi",M184)),"Supplier",
        ISNUMBER(SEARCH("MERAS for Decoration",M184)),"Supplier",
        ISNUMBER(SEARCH("Middle East Customs Clearance",M184)),"Service Provider",
        ISNUMBER(SEARCH("Ministry of Human Resources",M184)),"Regulatory Agency",
        ISNUMBER(SEARCH("My Business Services",M184)),"Service Provider",
        ISNUMBER(SEARCH("National Water Company",M184)),"Utility Provider",
        ISNUMBER(SEARCH("Rania Contracting",M184)),"Supplier",
        ISNUMBER(SEARCH("Sahab United Motors",M184)),"Supplier",
        ISNUMBER(SEARCH("Saudi Electric Company",M184)),"Utility Provider",
        ISNUMBER(SEARCH("Saudi Vetonit",M184)),"Supplier",
        ISNUMBER(SEARCH("Shomoul Eng",M184)),"Service Provider",
        ISNUMBER(SEARCH("STC",M184)),"Utility Provider",
        ISNUMBER(SEARCH("The General Organization for Social Insurance",M184)),"Social Insurance Agency",
        ISNUMBER(SEARCH("TUV Rheinland",M184)),"Service Provider",
        ISNUMBER(SEARCH("Al Arabia Ceramic",M184)),"Supplier",
        ISNUMBER(SEARCH("National Company for Building",M184)),"Customer",
        ISNUMBER(SEARCH("Athraa Holding",M184)),"Customer",
        ISNUMBER(SEARCH("Al Rasan",M184)),"Supplier",
        ISNUMBER(SEARCH("Raboua Al Haid",M184)),"Customer",
        ISNUMBER(SEARCH("Al Jazeera Paint",M184)),"Supplier",
        ISNUMBER(SEARCH("Rania Works Contracting",M184)),"Supplier",
        ISNUMBER(SEARCH("Bandar Jarallah",M184)),"Supplier",
        TRUE,"Supplier"
    ),
    "-"
)</f>
        <v>Customer</v>
      </c>
      <c r="AD184" s="25" t="str" cm="1">
        <f t="array" ref="AD184">_xlfn.IFNA(
    _xlfn.IFS(
        AC184="Same Company","High",
        AC184="Shareholder","High",
        AC184="Government","High",
        AC184="Bank","High",
        AC184="Lender","High",
        AC184="Unknown","Low",
        AC184="-","Low",
        TRUE,"Medium"
    ),
    "-"
)</f>
        <v>Medium</v>
      </c>
      <c r="AE184" s="25" t="str">
        <f t="shared" si="10"/>
        <v>-</v>
      </c>
      <c r="AF184" s="25" t="str" cm="1">
        <f t="array" ref="AF184">_xlfn.IFNA(
    _xlfn.IFS(
        K184="Credit",
            _xlfn.IFS(
                OR(ISNUMBER(SEARCH("Rejected",L184)),ISNUMBER(SEARCH("Returned",L184))),"Other Income",
                TRUE,"Revenue"
            ),
        K184="Debit",
            _xlfn.IFS(
                ISNUMBER(SEARCH("Payroll",L184)),"OPEX",
                ISNUMBER(SEARCH("Expatriate",L184)),"OPEX",
                ISNUMBER(SEARCH("Zakat",M184)),"ZATCA",
                ISNUMBER(SEARCH("General Organization for Social Insurance",M184)),"OPEX",
                ISNUMBER(SEARCH("Saudi Electric",M184)),"OPEX",
                ISNUMBER(SEARCH("STC",M184)),"OPEX",
                ISNUMBER(SEARCH("National Water",M184)),"OPEX",
                ISNUMBER(SEARCH("Bupa",M184)),"OPEX",
                ISNUMBER(SEARCH("Abdullah Abdulkarim",M184)),"OPEX",
                ISNUMBER(SEARCH("Abdullah Fahad",M184)),"OPEX",
                ISNUMBER(SEARCH("ISO Arabia",M184)),"OPEX",
                ISNUMBER(SEARCH("Gulf Voyager",M184)),"OPEX",
                ISNUMBER(SEARCH("Ministry",M184)),"OPEX",
                ISNUMBER(SEARCH("General Authority of Zakat",M184)),"ZATCA",
                ISNUMBER(SEARCH("Rejected",L184)),"Other Income",
                TRUE,"COGS"
            ),
        TRUE,"-"
    ),
    "-"
)</f>
        <v>Revenue</v>
      </c>
      <c r="AG184" s="25" t="str" cm="1">
        <f t="array" ref="AG184">_xlfn.IFNA(
    _xlfn.IFS(
        ISNUMBER(SEARCH("Payroll",L184)),"Payroll",
        ISNUMBER(SEARCH("Expatriate",L184)),"Government Fees",
        ISNUMBER(SEARCH("Zakat",M184)),"Zakat",
        ISNUMBER(SEARCH("Social Insurance",M184)),"Social Insurance",
        ISNUMBER(SEARCH("Saudi Electric",M184)),"Electricity",
        ISNUMBER(SEARCH("STC",M184)),"Telecom",
        ISNUMBER(SEARCH("National Water",M184)),"Water",
        ISNUMBER(SEARCH("Bupa",M184)),"Insurance",
        ISNUMBER(SEARCH("Gulf Voyager",M184)),"Travel",
        ISNUMBER(SEARCH("Ministry",M184)),"Government Fees",
        ISNUMBER(SEARCH("Abdullah Abdulkarim",M184)),"Consulting",
        ISNUMBER(SEARCH("Abdullah Fahad",M184)),"Accounting",
        ISNUMBER(SEARCH("ISO Arabia",M184)),"Consulting",
        ISNUMBER(SEARCH("Rejected",L184)),"Refund",
        AF184="COGS","Inventory Purchase",
        AF184="Revenue","Revenue",
        AF184="OPEX","Other",
        AF184="ZATCA","Zakat",
        TRUE,"-"
    ),
    "-"
)</f>
        <v>Revenue</v>
      </c>
      <c r="AH184" s="25" t="str" cm="1">
        <f t="array" ref="AH184">_xlfn.IFNA(
    _xlfn.IFS(
        AF184="-","Low",
        AF184="Other","Low",
        TRUE,"Medium"
    ),
    "-"
)</f>
        <v>Medium</v>
      </c>
      <c r="AI184" s="25" t="str">
        <f t="shared" si="11"/>
        <v>-</v>
      </c>
    </row>
    <row r="185" spans="1:35" x14ac:dyDescent="0.25">
      <c r="A185" s="10">
        <v>59</v>
      </c>
      <c r="B185" s="10" t="s">
        <v>35</v>
      </c>
      <c r="C185" s="10" t="s">
        <v>36</v>
      </c>
      <c r="D185" s="10" t="s">
        <v>37</v>
      </c>
      <c r="E185" s="10" t="s">
        <v>38</v>
      </c>
      <c r="F185" s="11" t="s">
        <v>39</v>
      </c>
      <c r="G185" s="11" t="s">
        <v>40</v>
      </c>
      <c r="H185" s="12">
        <v>45029</v>
      </c>
      <c r="I185" s="20">
        <v>100783.22</v>
      </c>
      <c r="J185" s="20">
        <v>100000</v>
      </c>
      <c r="K185" s="10" t="s">
        <v>116</v>
      </c>
      <c r="L185" s="9" t="s">
        <v>230</v>
      </c>
      <c r="M185" s="9" t="s">
        <v>231</v>
      </c>
      <c r="N185" s="9" t="s">
        <v>232</v>
      </c>
      <c r="O185" s="9" t="s">
        <v>233</v>
      </c>
      <c r="P185" s="15">
        <v>45029</v>
      </c>
      <c r="Q185" s="9" t="s">
        <v>277</v>
      </c>
      <c r="R185" s="16">
        <v>100000</v>
      </c>
      <c r="U185" s="9" t="s">
        <v>55</v>
      </c>
      <c r="V185" s="24" t="str" cm="1">
        <f t="array" ref="V185">_xlfn.IFNA(
    _xlfn.IFS(
        ISNUMBER(SEARCH("Fast Outgoing Transfer",L185)),"Transfer",
        ISNUMBER(SEARCH("Incoming Fast Transfer",L185)),"Transfer",
        ISNUMBER(SEARCH("Outgoing International Transfer",L185)),"Transfer",
        ISNUMBER(SEARCH("Bill Payment",L185)),"SADAD",
        ISNUMBER(SEARCH("Payroll",L185)),"Payroll",
        ISNUMBER(SEARCH("Cash Deposit",L185)),"Cash",
        ISNUMBER(SEARCH("Internal Transfer",L185)),"Transfer",
        ISNUMBER(SEARCH("Expatriate Services Payment",L185)),"SADAD",
        ISNUMBER(SEARCH("Rejected",L185)),"Transfer"
    ),
    "-"
)</f>
        <v>Transfer</v>
      </c>
      <c r="W185" s="25" t="str" cm="1">
        <f t="array" ref="W185">_xlfn.IFNA(
    _xlfn.IFS(
        AND(V185="Transfer",ISNUMBER(SEARCH("RIYAD BANK",L185))),"External FI",
        AND(V185="Transfer",ISNUMBER(SEARCH("Al Ahli",L185))),"External FI",
        AND(V185="Transfer",ISNUMBER(SEARCH("CIB via",L185))),"Local Transfer",
        AND(V185="Transfer",ISNUMBER(SEARCH("CIB)",L185))),"Local Transfer",
        AND(V185="Transfer",ISNUMBER(SEARCH("SMRT",L185))),"Local Transfer",
        AND(V185="Transfer",ISNUMBER(SEARCH("Al Murabba",L185))),"Local Transfer",
        AND(V185="Transfer",ISNUMBER(SEARCH("Internal Transfer",L185))),"Same FI",
        AND(V185="Transfer",ISNUMBER(SEARCH("Rejected",L185))),"Failed",
        V185="SADAD",
            _xlfn.IFS(
                ISNUMBER(SEARCH("Expatriate",L185)),"Expat Fees",
                TRUE,"Online Payment"
            ),
        V185="Payroll","Payroll",
        V185="Cash","Deposit",
        TRUE,"-"
    ),
    "-"
)</f>
        <v>External FI</v>
      </c>
      <c r="X185" s="25" t="str" cm="1">
        <f t="array" ref="X185">_xlfn.IFNA(
    _xlfn.IFS(
        V185="-","Low",
        W185="-","Low",
        TRUE,"High"
    ),
    "-"
)</f>
        <v>High</v>
      </c>
      <c r="Y185" s="25" t="str">
        <f t="shared" si="8"/>
        <v>-</v>
      </c>
      <c r="Z185" s="25" t="str" cm="1">
        <f t="array" ref="Z185">_xlfn.IFNA(
    _xlfn.IFS(
        ISNUMBER(SEARCH("Abdul Latif Jameel",M185)),"Lender",
        ISNUMBER(SEARCH("Abdullah Abdulkarim Al Sudais",M185)),"Accounting",
        ISNUMBER(SEARCH("Abdullah Fahad for Accounting",M185)),"Accounting",
        ISNUMBER(SEARCH("Abdullah Rashid Shaikh",M185)),"Shareholder",
        ISNUMBER(SEARCH("Advanced Equipments",M185)),"Equipment Rental",
        ISNUMBER(SEARCH("Al Banuk Sana",M185)),"Telecom Company",
        ISNUMBER(SEARCH("Al Khaleefa Factory",M185)),"Manufacturer",
        ISNUMBER(SEARCH("Al Saadeh Trading",M185)),"Trading Company",
        ISNUMBER(SEARCH("Al Zaehaan",M185)),"Trading Company",
        ISNUMBER(SEARCH("Ali Abdullah K Al Darwish",M185)),"Airlines",
        ISNUMBER(SEARCH("Bupa Arabia",M185)),"Health Insurance",
        ISNUMBER(SEARCH("Dar Fahoosaat",M185)),"Consultant",
        ISNUMBER(SEARCH("General Authority of Zakat",M185)),"Tax Collection",
        ISNUMBER(SEARCH("Gulf Voyager",M185)),"Travel Agency",
        ISNUMBER(SEARCH("Hopeway Trading",M185)),"Trading Company",
        ISNUMBER(SEARCH("Interhealth Medical",M185)),"Medical Services",
        ISNUMBER(SEARCH("Ishaar",M185)),"Online Payment Service",
        ISNUMBER(SEARCH("ISO Arabia",M185)),"Certification",
        ISNUMBER(SEARCH("Khalid Saad Al Otaibi",M185)),"Trading Company",
        ISNUMBER(SEARCH("MERAS for Decoration",M185)),"Decor Company",
        ISNUMBER(SEARCH("Middle East Customs Clearance",M185)),"Customs",
        ISNUMBER(SEARCH("Ministry of Human Resources",M185)),"Government",
        ISNUMBER(SEARCH("My Business Services",M185)),"Service Provider",
        ISNUMBER(SEARCH("National Water Company",M185)),"Water Company",
        ISNUMBER(SEARCH("Rania Contracting",M185)),"Contracting",
        ISNUMBER(SEARCH("Rashid Ali Sheikh",M185)),"Shareholder",
        ISNUMBER(SEARCH("Sahab United Motors",M185)),"Car Show Room",
        ISNUMBER(SEARCH("Saud Mohammed Al Tamimi",M185)),"Shareholder",
        ISNUMBER(SEARCH("Saud Mohammed Tamimi",M185)),"Shareholder",
        ISNUMBER(SEARCH("Saudi Electric Company",M185)),"Electricity Company",
        ISNUMBER(SEARCH("Saudi Vetonit",M185)),"Building Materials",
        ISNUMBER(SEARCH("Shomoul Eng",M185)),"Safety",
        ISNUMBER(SEARCH("STC",M185)),"Telecom Company",
        ISNUMBER(SEARCH("The General Organization for Social Insurance",M185)),"Social Insurance Agency",
        ISNUMBER(SEARCH("TUV Rheinland",M185)),"Certification",
        ISNUMBER(SEARCH("Al Arabia Ceramic",M185)),"Building Materials",
        ISNUMBER(SEARCH("National Company for Building and Marketing",M185)),"Parent Company",
        ISNUMBER(SEARCH("Athraa Holding",M185)),"Holding Company",
        ISNUMBER(SEARCH("Al Rasan",M185)),"Contracting",
        ISNUMBER(SEARCH("Raboua Al Haid",M185)),"Trading Company",
        ISNUMBER(SEARCH("Al Jazeera Paint",M185)),"Manufacturer",
        ISNUMBER(SEARCH("Rania Works Contracting",M185)),"Contracting",
        ISNUMBER(SEARCH("Bandar Jarallah",M185)),"Trading Establishment",
        ISNUMBER(SEARCH("RS Infratec Saudi",M185)),"Same Company",
        ISNUMBER(SEARCH("Payroll",M185)),"Bank",
        ISNUMBER(SEARCH("Expatriate",M185)),"Government",
        ISNUMBER(SEARCH("Unknown Sender",M185)),"Unknown",
        TRUE,"Unknown"
    ),
    "-"
)</f>
        <v>Parent Company</v>
      </c>
      <c r="AA185" s="25" t="str" cm="1">
        <f t="array" ref="AA185">_xlfn.IFNA(
    _xlfn.IFS(
        Z185="Lender","Financing",
        Z185="Accounting","Accounting",
        Z185="Shareholder","Individual",
        Z185="Equipment Rental","Equipment Rental",
        Z185="Telecom Company","Telecom",
        Z185="Manufacturer","Manufacturer",
        Z185="Trading Company","Trading And Transport",
        Z185="Trading Establishment","Trading",
        Z185="Airlines","Airlines",
        Z185="Health Insurance","Insurance",
        Z185="Consultant","Consultant",
        Z185="Tax Collection","Government",
        Z185="Travel Agency","Travel Agency",
        Z185="Medical Services","Medical Center",
        Z185="Online Payment Service","Payment Facilitator",
        Z185="Certification","Safety",
        Z185="Decor Company","Design",
        Z185="Customs","Customs",
        Z185="Government","Government",
        Z185="Service Provider","Service Provider",
        Z185="Water Company","Water Company",
        Z185="Contracting","Contracting",
        Z185="Car Show Room","Car Trader",
        Z185="Electricity Company","Electricity Company",
        Z185="Building Materials","Building Materials",
        Z185="Safety","Safety",
        Z185="Social Insurance Agency","Government Fund",
        Z185="Parent Company","Holding Company",
        Z185="Holding Company","Holding Company",
        Z185="Same Company","Construction",
        Z185="Bank","Bank",
        Z185="Unknown","Unknown",
        TRUE,"-"
    ),
    "-"
)</f>
        <v>Holding Company</v>
      </c>
      <c r="AB185" s="25" t="str">
        <f t="shared" si="9"/>
        <v>-</v>
      </c>
      <c r="AC185" s="25" t="str" cm="1">
        <f t="array" ref="AC185">_xlfn.IFNA(
    _xlfn.IFS(
        Z185="Shareholder","Shareholder",
        Z185="Same Company","Same Company",
        Z185="Bank","Bank",
        Z185="Government","Government",
        Z185="Social Insurance Agency","Government",
        Z185="Parent Company","Customer",
        Z185="Lender","Lender",
        Z185="Unknown","Unknown",
        ISNUMBER(SEARCH("Abdullah Abdulkarim",M185)),"Service Provider",
        ISNUMBER(SEARCH("Abdullah Fahad",M185)),"Service Provider",
        ISNUMBER(SEARCH("Advanced Equipments",M185)),"Supplier",
        ISNUMBER(SEARCH("Al Banuk Sana",M185)),"Supplier",
        ISNUMBER(SEARCH("Al Khaleefa Factory",M185)),"Supplier",
        ISNUMBER(SEARCH("Al Saadeh Trading",M185)),"Supplier",
        ISNUMBER(SEARCH("Al Zaehaan",M185)),"Supplier",
        ISNUMBER(SEARCH("Ali Abdullah K Al Darwish",M185)),"Service Provider",
        ISNUMBER(SEARCH("Bupa Arabia",M185)),"Insurance Company",
        ISNUMBER(SEARCH("Dar Fahoosaat",M185)),"Service Provider",
        ISNUMBER(SEARCH("General Authority of Zakat",M185)),"Tax Authority",
        ISNUMBER(SEARCH("Gulf Voyager",M185)),"Service Provider",
        ISNUMBER(SEARCH("Hopeway Trading",M185)),"Supplier",
        ISNUMBER(SEARCH("Interhealth Medical",M185)),"Customer",
        ISNUMBER(SEARCH("Ishaar",M185)),"Service Provider",
        ISNUMBER(SEARCH("ISO Arabia",M185)),"Service Provider",
        ISNUMBER(SEARCH("Khalid Saad Al Otaibi",M185)),"Supplier",
        ISNUMBER(SEARCH("MERAS for Decoration",M185)),"Supplier",
        ISNUMBER(SEARCH("Middle East Customs Clearance",M185)),"Service Provider",
        ISNUMBER(SEARCH("Ministry of Human Resources",M185)),"Regulatory Agency",
        ISNUMBER(SEARCH("My Business Services",M185)),"Service Provider",
        ISNUMBER(SEARCH("National Water Company",M185)),"Utility Provider",
        ISNUMBER(SEARCH("Rania Contracting",M185)),"Supplier",
        ISNUMBER(SEARCH("Sahab United Motors",M185)),"Supplier",
        ISNUMBER(SEARCH("Saudi Electric Company",M185)),"Utility Provider",
        ISNUMBER(SEARCH("Saudi Vetonit",M185)),"Supplier",
        ISNUMBER(SEARCH("Shomoul Eng",M185)),"Service Provider",
        ISNUMBER(SEARCH("STC",M185)),"Utility Provider",
        ISNUMBER(SEARCH("The General Organization for Social Insurance",M185)),"Social Insurance Agency",
        ISNUMBER(SEARCH("TUV Rheinland",M185)),"Service Provider",
        ISNUMBER(SEARCH("Al Arabia Ceramic",M185)),"Supplier",
        ISNUMBER(SEARCH("National Company for Building",M185)),"Customer",
        ISNUMBER(SEARCH("Athraa Holding",M185)),"Customer",
        ISNUMBER(SEARCH("Al Rasan",M185)),"Supplier",
        ISNUMBER(SEARCH("Raboua Al Haid",M185)),"Customer",
        ISNUMBER(SEARCH("Al Jazeera Paint",M185)),"Supplier",
        ISNUMBER(SEARCH("Rania Works Contracting",M185)),"Supplier",
        ISNUMBER(SEARCH("Bandar Jarallah",M185)),"Supplier",
        TRUE,"Supplier"
    ),
    "-"
)</f>
        <v>Customer</v>
      </c>
      <c r="AD185" s="25" t="str" cm="1">
        <f t="array" ref="AD185">_xlfn.IFNA(
    _xlfn.IFS(
        AC185="Same Company","High",
        AC185="Shareholder","High",
        AC185="Government","High",
        AC185="Bank","High",
        AC185="Lender","High",
        AC185="Unknown","Low",
        AC185="-","Low",
        TRUE,"Medium"
    ),
    "-"
)</f>
        <v>Medium</v>
      </c>
      <c r="AE185" s="25" t="str">
        <f t="shared" si="10"/>
        <v>-</v>
      </c>
      <c r="AF185" s="25" t="str" cm="1">
        <f t="array" ref="AF185">_xlfn.IFNA(
    _xlfn.IFS(
        K185="Credit",
            _xlfn.IFS(
                OR(ISNUMBER(SEARCH("Rejected",L185)),ISNUMBER(SEARCH("Returned",L185))),"Other Income",
                TRUE,"Revenue"
            ),
        K185="Debit",
            _xlfn.IFS(
                ISNUMBER(SEARCH("Payroll",L185)),"OPEX",
                ISNUMBER(SEARCH("Expatriate",L185)),"OPEX",
                ISNUMBER(SEARCH("Zakat",M185)),"ZATCA",
                ISNUMBER(SEARCH("General Organization for Social Insurance",M185)),"OPEX",
                ISNUMBER(SEARCH("Saudi Electric",M185)),"OPEX",
                ISNUMBER(SEARCH("STC",M185)),"OPEX",
                ISNUMBER(SEARCH("National Water",M185)),"OPEX",
                ISNUMBER(SEARCH("Bupa",M185)),"OPEX",
                ISNUMBER(SEARCH("Abdullah Abdulkarim",M185)),"OPEX",
                ISNUMBER(SEARCH("Abdullah Fahad",M185)),"OPEX",
                ISNUMBER(SEARCH("ISO Arabia",M185)),"OPEX",
                ISNUMBER(SEARCH("Gulf Voyager",M185)),"OPEX",
                ISNUMBER(SEARCH("Ministry",M185)),"OPEX",
                ISNUMBER(SEARCH("General Authority of Zakat",M185)),"ZATCA",
                ISNUMBER(SEARCH("Rejected",L185)),"Other Income",
                TRUE,"COGS"
            ),
        TRUE,"-"
    ),
    "-"
)</f>
        <v>Revenue</v>
      </c>
      <c r="AG185" s="25" t="str" cm="1">
        <f t="array" ref="AG185">_xlfn.IFNA(
    _xlfn.IFS(
        ISNUMBER(SEARCH("Payroll",L185)),"Payroll",
        ISNUMBER(SEARCH("Expatriate",L185)),"Government Fees",
        ISNUMBER(SEARCH("Zakat",M185)),"Zakat",
        ISNUMBER(SEARCH("Social Insurance",M185)),"Social Insurance",
        ISNUMBER(SEARCH("Saudi Electric",M185)),"Electricity",
        ISNUMBER(SEARCH("STC",M185)),"Telecom",
        ISNUMBER(SEARCH("National Water",M185)),"Water",
        ISNUMBER(SEARCH("Bupa",M185)),"Insurance",
        ISNUMBER(SEARCH("Gulf Voyager",M185)),"Travel",
        ISNUMBER(SEARCH("Ministry",M185)),"Government Fees",
        ISNUMBER(SEARCH("Abdullah Abdulkarim",M185)),"Consulting",
        ISNUMBER(SEARCH("Abdullah Fahad",M185)),"Accounting",
        ISNUMBER(SEARCH("ISO Arabia",M185)),"Consulting",
        ISNUMBER(SEARCH("Rejected",L185)),"Refund",
        AF185="COGS","Inventory Purchase",
        AF185="Revenue","Revenue",
        AF185="OPEX","Other",
        AF185="ZATCA","Zakat",
        TRUE,"-"
    ),
    "-"
)</f>
        <v>Revenue</v>
      </c>
      <c r="AH185" s="25" t="str" cm="1">
        <f t="array" ref="AH185">_xlfn.IFNA(
    _xlfn.IFS(
        AF185="-","Low",
        AF185="Other","Low",
        TRUE,"Medium"
    ),
    "-"
)</f>
        <v>Medium</v>
      </c>
      <c r="AI185" s="25" t="str">
        <f t="shared" si="11"/>
        <v>-</v>
      </c>
    </row>
    <row r="186" spans="1:35" x14ac:dyDescent="0.25">
      <c r="A186" s="10">
        <v>59</v>
      </c>
      <c r="B186" s="10" t="s">
        <v>35</v>
      </c>
      <c r="C186" s="10" t="s">
        <v>36</v>
      </c>
      <c r="D186" s="10" t="s">
        <v>37</v>
      </c>
      <c r="E186" s="10" t="s">
        <v>38</v>
      </c>
      <c r="F186" s="11" t="s">
        <v>39</v>
      </c>
      <c r="G186" s="10" t="s">
        <v>40</v>
      </c>
      <c r="H186" s="12">
        <v>45032</v>
      </c>
      <c r="I186" s="20">
        <v>828017.16</v>
      </c>
      <c r="J186" s="20">
        <v>800000</v>
      </c>
      <c r="K186" s="10" t="s">
        <v>116</v>
      </c>
      <c r="L186" s="9" t="s">
        <v>278</v>
      </c>
      <c r="M186" s="9" t="s">
        <v>231</v>
      </c>
      <c r="O186" s="9" t="s">
        <v>226</v>
      </c>
      <c r="P186" s="15">
        <v>45032</v>
      </c>
      <c r="Q186" s="9" t="s">
        <v>279</v>
      </c>
      <c r="R186" s="16">
        <v>800000</v>
      </c>
      <c r="U186" s="9" t="s">
        <v>55</v>
      </c>
      <c r="V186" s="24" t="str" cm="1">
        <f t="array" ref="V186">_xlfn.IFNA(
    _xlfn.IFS(
        ISNUMBER(SEARCH("Fast Outgoing Transfer",L186)),"Transfer",
        ISNUMBER(SEARCH("Incoming Fast Transfer",L186)),"Transfer",
        ISNUMBER(SEARCH("Outgoing International Transfer",L186)),"Transfer",
        ISNUMBER(SEARCH("Bill Payment",L186)),"SADAD",
        ISNUMBER(SEARCH("Payroll",L186)),"Payroll",
        ISNUMBER(SEARCH("Cash Deposit",L186)),"Cash",
        ISNUMBER(SEARCH("Internal Transfer",L186)),"Transfer",
        ISNUMBER(SEARCH("Expatriate Services Payment",L186)),"SADAD",
        ISNUMBER(SEARCH("Rejected",L186)),"Transfer"
    ),
    "-"
)</f>
        <v>Transfer</v>
      </c>
      <c r="W186" s="25" t="str" cm="1">
        <f t="array" ref="W186">_xlfn.IFNA(
    _xlfn.IFS(
        AND(V186="Transfer",ISNUMBER(SEARCH("RIYAD BANK",L186))),"External FI",
        AND(V186="Transfer",ISNUMBER(SEARCH("Al Ahli",L186))),"External FI",
        AND(V186="Transfer",ISNUMBER(SEARCH("CIB via",L186))),"Local Transfer",
        AND(V186="Transfer",ISNUMBER(SEARCH("CIB)",L186))),"Local Transfer",
        AND(V186="Transfer",ISNUMBER(SEARCH("SMRT",L186))),"Local Transfer",
        AND(V186="Transfer",ISNUMBER(SEARCH("Al Murabba",L186))),"Local Transfer",
        AND(V186="Transfer",ISNUMBER(SEARCH("Internal Transfer",L186))),"Same FI",
        AND(V186="Transfer",ISNUMBER(SEARCH("Rejected",L186))),"Failed",
        V186="SADAD",
            _xlfn.IFS(
                ISNUMBER(SEARCH("Expatriate",L186)),"Expat Fees",
                TRUE,"Online Payment"
            ),
        V186="Payroll","Payroll",
        V186="Cash","Deposit",
        TRUE,"-"
    ),
    "-"
)</f>
        <v>Local Transfer</v>
      </c>
      <c r="X186" s="25" t="str" cm="1">
        <f t="array" ref="X186">_xlfn.IFNA(
    _xlfn.IFS(
        V186="-","Low",
        W186="-","Low",
        TRUE,"High"
    ),
    "-"
)</f>
        <v>High</v>
      </c>
      <c r="Y186" s="25" t="str">
        <f t="shared" si="8"/>
        <v>-</v>
      </c>
      <c r="Z186" s="25" t="str" cm="1">
        <f t="array" ref="Z186">_xlfn.IFNA(
    _xlfn.IFS(
        ISNUMBER(SEARCH("Abdul Latif Jameel",M186)),"Lender",
        ISNUMBER(SEARCH("Abdullah Abdulkarim Al Sudais",M186)),"Accounting",
        ISNUMBER(SEARCH("Abdullah Fahad for Accounting",M186)),"Accounting",
        ISNUMBER(SEARCH("Abdullah Rashid Shaikh",M186)),"Shareholder",
        ISNUMBER(SEARCH("Advanced Equipments",M186)),"Equipment Rental",
        ISNUMBER(SEARCH("Al Banuk Sana",M186)),"Telecom Company",
        ISNUMBER(SEARCH("Al Khaleefa Factory",M186)),"Manufacturer",
        ISNUMBER(SEARCH("Al Saadeh Trading",M186)),"Trading Company",
        ISNUMBER(SEARCH("Al Zaehaan",M186)),"Trading Company",
        ISNUMBER(SEARCH("Ali Abdullah K Al Darwish",M186)),"Airlines",
        ISNUMBER(SEARCH("Bupa Arabia",M186)),"Health Insurance",
        ISNUMBER(SEARCH("Dar Fahoosaat",M186)),"Consultant",
        ISNUMBER(SEARCH("General Authority of Zakat",M186)),"Tax Collection",
        ISNUMBER(SEARCH("Gulf Voyager",M186)),"Travel Agency",
        ISNUMBER(SEARCH("Hopeway Trading",M186)),"Trading Company",
        ISNUMBER(SEARCH("Interhealth Medical",M186)),"Medical Services",
        ISNUMBER(SEARCH("Ishaar",M186)),"Online Payment Service",
        ISNUMBER(SEARCH("ISO Arabia",M186)),"Certification",
        ISNUMBER(SEARCH("Khalid Saad Al Otaibi",M186)),"Trading Company",
        ISNUMBER(SEARCH("MERAS for Decoration",M186)),"Decor Company",
        ISNUMBER(SEARCH("Middle East Customs Clearance",M186)),"Customs",
        ISNUMBER(SEARCH("Ministry of Human Resources",M186)),"Government",
        ISNUMBER(SEARCH("My Business Services",M186)),"Service Provider",
        ISNUMBER(SEARCH("National Water Company",M186)),"Water Company",
        ISNUMBER(SEARCH("Rania Contracting",M186)),"Contracting",
        ISNUMBER(SEARCH("Rashid Ali Sheikh",M186)),"Shareholder",
        ISNUMBER(SEARCH("Sahab United Motors",M186)),"Car Show Room",
        ISNUMBER(SEARCH("Saud Mohammed Al Tamimi",M186)),"Shareholder",
        ISNUMBER(SEARCH("Saud Mohammed Tamimi",M186)),"Shareholder",
        ISNUMBER(SEARCH("Saudi Electric Company",M186)),"Electricity Company",
        ISNUMBER(SEARCH("Saudi Vetonit",M186)),"Building Materials",
        ISNUMBER(SEARCH("Shomoul Eng",M186)),"Safety",
        ISNUMBER(SEARCH("STC",M186)),"Telecom Company",
        ISNUMBER(SEARCH("The General Organization for Social Insurance",M186)),"Social Insurance Agency",
        ISNUMBER(SEARCH("TUV Rheinland",M186)),"Certification",
        ISNUMBER(SEARCH("Al Arabia Ceramic",M186)),"Building Materials",
        ISNUMBER(SEARCH("National Company for Building and Marketing",M186)),"Parent Company",
        ISNUMBER(SEARCH("Athraa Holding",M186)),"Holding Company",
        ISNUMBER(SEARCH("Al Rasan",M186)),"Contracting",
        ISNUMBER(SEARCH("Raboua Al Haid",M186)),"Trading Company",
        ISNUMBER(SEARCH("Al Jazeera Paint",M186)),"Manufacturer",
        ISNUMBER(SEARCH("Rania Works Contracting",M186)),"Contracting",
        ISNUMBER(SEARCH("Bandar Jarallah",M186)),"Trading Establishment",
        ISNUMBER(SEARCH("RS Infratec Saudi",M186)),"Same Company",
        ISNUMBER(SEARCH("Payroll",M186)),"Bank",
        ISNUMBER(SEARCH("Expatriate",M186)),"Government",
        ISNUMBER(SEARCH("Unknown Sender",M186)),"Unknown",
        TRUE,"Unknown"
    ),
    "-"
)</f>
        <v>Parent Company</v>
      </c>
      <c r="AA186" s="25" t="str" cm="1">
        <f t="array" ref="AA186">_xlfn.IFNA(
    _xlfn.IFS(
        Z186="Lender","Financing",
        Z186="Accounting","Accounting",
        Z186="Shareholder","Individual",
        Z186="Equipment Rental","Equipment Rental",
        Z186="Telecom Company","Telecom",
        Z186="Manufacturer","Manufacturer",
        Z186="Trading Company","Trading And Transport",
        Z186="Trading Establishment","Trading",
        Z186="Airlines","Airlines",
        Z186="Health Insurance","Insurance",
        Z186="Consultant","Consultant",
        Z186="Tax Collection","Government",
        Z186="Travel Agency","Travel Agency",
        Z186="Medical Services","Medical Center",
        Z186="Online Payment Service","Payment Facilitator",
        Z186="Certification","Safety",
        Z186="Decor Company","Design",
        Z186="Customs","Customs",
        Z186="Government","Government",
        Z186="Service Provider","Service Provider",
        Z186="Water Company","Water Company",
        Z186="Contracting","Contracting",
        Z186="Car Show Room","Car Trader",
        Z186="Electricity Company","Electricity Company",
        Z186="Building Materials","Building Materials",
        Z186="Safety","Safety",
        Z186="Social Insurance Agency","Government Fund",
        Z186="Parent Company","Holding Company",
        Z186="Holding Company","Holding Company",
        Z186="Same Company","Construction",
        Z186="Bank","Bank",
        Z186="Unknown","Unknown",
        TRUE,"-"
    ),
    "-"
)</f>
        <v>Holding Company</v>
      </c>
      <c r="AB186" s="25" t="str">
        <f t="shared" si="9"/>
        <v>-</v>
      </c>
      <c r="AC186" s="25" t="str" cm="1">
        <f t="array" ref="AC186">_xlfn.IFNA(
    _xlfn.IFS(
        Z186="Shareholder","Shareholder",
        Z186="Same Company","Same Company",
        Z186="Bank","Bank",
        Z186="Government","Government",
        Z186="Social Insurance Agency","Government",
        Z186="Parent Company","Customer",
        Z186="Lender","Lender",
        Z186="Unknown","Unknown",
        ISNUMBER(SEARCH("Abdullah Abdulkarim",M186)),"Service Provider",
        ISNUMBER(SEARCH("Abdullah Fahad",M186)),"Service Provider",
        ISNUMBER(SEARCH("Advanced Equipments",M186)),"Supplier",
        ISNUMBER(SEARCH("Al Banuk Sana",M186)),"Supplier",
        ISNUMBER(SEARCH("Al Khaleefa Factory",M186)),"Supplier",
        ISNUMBER(SEARCH("Al Saadeh Trading",M186)),"Supplier",
        ISNUMBER(SEARCH("Al Zaehaan",M186)),"Supplier",
        ISNUMBER(SEARCH("Ali Abdullah K Al Darwish",M186)),"Service Provider",
        ISNUMBER(SEARCH("Bupa Arabia",M186)),"Insurance Company",
        ISNUMBER(SEARCH("Dar Fahoosaat",M186)),"Service Provider",
        ISNUMBER(SEARCH("General Authority of Zakat",M186)),"Tax Authority",
        ISNUMBER(SEARCH("Gulf Voyager",M186)),"Service Provider",
        ISNUMBER(SEARCH("Hopeway Trading",M186)),"Supplier",
        ISNUMBER(SEARCH("Interhealth Medical",M186)),"Customer",
        ISNUMBER(SEARCH("Ishaar",M186)),"Service Provider",
        ISNUMBER(SEARCH("ISO Arabia",M186)),"Service Provider",
        ISNUMBER(SEARCH("Khalid Saad Al Otaibi",M186)),"Supplier",
        ISNUMBER(SEARCH("MERAS for Decoration",M186)),"Supplier",
        ISNUMBER(SEARCH("Middle East Customs Clearance",M186)),"Service Provider",
        ISNUMBER(SEARCH("Ministry of Human Resources",M186)),"Regulatory Agency",
        ISNUMBER(SEARCH("My Business Services",M186)),"Service Provider",
        ISNUMBER(SEARCH("National Water Company",M186)),"Utility Provider",
        ISNUMBER(SEARCH("Rania Contracting",M186)),"Supplier",
        ISNUMBER(SEARCH("Sahab United Motors",M186)),"Supplier",
        ISNUMBER(SEARCH("Saudi Electric Company",M186)),"Utility Provider",
        ISNUMBER(SEARCH("Saudi Vetonit",M186)),"Supplier",
        ISNUMBER(SEARCH("Shomoul Eng",M186)),"Service Provider",
        ISNUMBER(SEARCH("STC",M186)),"Utility Provider",
        ISNUMBER(SEARCH("The General Organization for Social Insurance",M186)),"Social Insurance Agency",
        ISNUMBER(SEARCH("TUV Rheinland",M186)),"Service Provider",
        ISNUMBER(SEARCH("Al Arabia Ceramic",M186)),"Supplier",
        ISNUMBER(SEARCH("National Company for Building",M186)),"Customer",
        ISNUMBER(SEARCH("Athraa Holding",M186)),"Customer",
        ISNUMBER(SEARCH("Al Rasan",M186)),"Supplier",
        ISNUMBER(SEARCH("Raboua Al Haid",M186)),"Customer",
        ISNUMBER(SEARCH("Al Jazeera Paint",M186)),"Supplier",
        ISNUMBER(SEARCH("Rania Works Contracting",M186)),"Supplier",
        ISNUMBER(SEARCH("Bandar Jarallah",M186)),"Supplier",
        TRUE,"Supplier"
    ),
    "-"
)</f>
        <v>Customer</v>
      </c>
      <c r="AD186" s="25" t="str" cm="1">
        <f t="array" ref="AD186">_xlfn.IFNA(
    _xlfn.IFS(
        AC186="Same Company","High",
        AC186="Shareholder","High",
        AC186="Government","High",
        AC186="Bank","High",
        AC186="Lender","High",
        AC186="Unknown","Low",
        AC186="-","Low",
        TRUE,"Medium"
    ),
    "-"
)</f>
        <v>Medium</v>
      </c>
      <c r="AE186" s="25" t="str">
        <f t="shared" si="10"/>
        <v>-</v>
      </c>
      <c r="AF186" s="25" t="str" cm="1">
        <f t="array" ref="AF186">_xlfn.IFNA(
    _xlfn.IFS(
        K186="Credit",
            _xlfn.IFS(
                OR(ISNUMBER(SEARCH("Rejected",L186)),ISNUMBER(SEARCH("Returned",L186))),"Other Income",
                TRUE,"Revenue"
            ),
        K186="Debit",
            _xlfn.IFS(
                ISNUMBER(SEARCH("Payroll",L186)),"OPEX",
                ISNUMBER(SEARCH("Expatriate",L186)),"OPEX",
                ISNUMBER(SEARCH("Zakat",M186)),"ZATCA",
                ISNUMBER(SEARCH("General Organization for Social Insurance",M186)),"OPEX",
                ISNUMBER(SEARCH("Saudi Electric",M186)),"OPEX",
                ISNUMBER(SEARCH("STC",M186)),"OPEX",
                ISNUMBER(SEARCH("National Water",M186)),"OPEX",
                ISNUMBER(SEARCH("Bupa",M186)),"OPEX",
                ISNUMBER(SEARCH("Abdullah Abdulkarim",M186)),"OPEX",
                ISNUMBER(SEARCH("Abdullah Fahad",M186)),"OPEX",
                ISNUMBER(SEARCH("ISO Arabia",M186)),"OPEX",
                ISNUMBER(SEARCH("Gulf Voyager",M186)),"OPEX",
                ISNUMBER(SEARCH("Ministry",M186)),"OPEX",
                ISNUMBER(SEARCH("General Authority of Zakat",M186)),"ZATCA",
                ISNUMBER(SEARCH("Rejected",L186)),"Other Income",
                TRUE,"COGS"
            ),
        TRUE,"-"
    ),
    "-"
)</f>
        <v>Revenue</v>
      </c>
      <c r="AG186" s="25" t="str" cm="1">
        <f t="array" ref="AG186">_xlfn.IFNA(
    _xlfn.IFS(
        ISNUMBER(SEARCH("Payroll",L186)),"Payroll",
        ISNUMBER(SEARCH("Expatriate",L186)),"Government Fees",
        ISNUMBER(SEARCH("Zakat",M186)),"Zakat",
        ISNUMBER(SEARCH("Social Insurance",M186)),"Social Insurance",
        ISNUMBER(SEARCH("Saudi Electric",M186)),"Electricity",
        ISNUMBER(SEARCH("STC",M186)),"Telecom",
        ISNUMBER(SEARCH("National Water",M186)),"Water",
        ISNUMBER(SEARCH("Bupa",M186)),"Insurance",
        ISNUMBER(SEARCH("Gulf Voyager",M186)),"Travel",
        ISNUMBER(SEARCH("Ministry",M186)),"Government Fees",
        ISNUMBER(SEARCH("Abdullah Abdulkarim",M186)),"Consulting",
        ISNUMBER(SEARCH("Abdullah Fahad",M186)),"Accounting",
        ISNUMBER(SEARCH("ISO Arabia",M186)),"Consulting",
        ISNUMBER(SEARCH("Rejected",L186)),"Refund",
        AF186="COGS","Inventory Purchase",
        AF186="Revenue","Revenue",
        AF186="OPEX","Other",
        AF186="ZATCA","Zakat",
        TRUE,"-"
    ),
    "-"
)</f>
        <v>Revenue</v>
      </c>
      <c r="AH186" s="25" t="str" cm="1">
        <f t="array" ref="AH186">_xlfn.IFNA(
    _xlfn.IFS(
        AF186="-","Low",
        AF186="Other","Low",
        TRUE,"Medium"
    ),
    "-"
)</f>
        <v>Medium</v>
      </c>
      <c r="AI186" s="25" t="str">
        <f t="shared" si="11"/>
        <v>-</v>
      </c>
    </row>
    <row r="187" spans="1:35" x14ac:dyDescent="0.25">
      <c r="A187" s="10">
        <v>59</v>
      </c>
      <c r="B187" s="10" t="s">
        <v>35</v>
      </c>
      <c r="C187" s="10" t="s">
        <v>36</v>
      </c>
      <c r="D187" s="10" t="s">
        <v>37</v>
      </c>
      <c r="E187" s="10" t="s">
        <v>38</v>
      </c>
      <c r="F187" s="11" t="s">
        <v>39</v>
      </c>
      <c r="G187" s="11" t="s">
        <v>40</v>
      </c>
      <c r="H187" s="12">
        <v>45033</v>
      </c>
      <c r="I187" s="20">
        <v>155282.54</v>
      </c>
      <c r="J187" s="20">
        <v>100000</v>
      </c>
      <c r="K187" s="10" t="s">
        <v>116</v>
      </c>
      <c r="L187" s="9" t="s">
        <v>224</v>
      </c>
      <c r="M187" s="9" t="s">
        <v>231</v>
      </c>
      <c r="O187" s="9" t="s">
        <v>226</v>
      </c>
      <c r="P187" s="15">
        <v>45033</v>
      </c>
      <c r="Q187" s="9" t="s">
        <v>280</v>
      </c>
      <c r="R187" s="16">
        <v>100000</v>
      </c>
      <c r="U187" s="9" t="s">
        <v>55</v>
      </c>
      <c r="V187" s="24" t="str" cm="1">
        <f t="array" ref="V187">_xlfn.IFNA(
    _xlfn.IFS(
        ISNUMBER(SEARCH("Fast Outgoing Transfer",L187)),"Transfer",
        ISNUMBER(SEARCH("Incoming Fast Transfer",L187)),"Transfer",
        ISNUMBER(SEARCH("Outgoing International Transfer",L187)),"Transfer",
        ISNUMBER(SEARCH("Bill Payment",L187)),"SADAD",
        ISNUMBER(SEARCH("Payroll",L187)),"Payroll",
        ISNUMBER(SEARCH("Cash Deposit",L187)),"Cash",
        ISNUMBER(SEARCH("Internal Transfer",L187)),"Transfer",
        ISNUMBER(SEARCH("Expatriate Services Payment",L187)),"SADAD",
        ISNUMBER(SEARCH("Rejected",L187)),"Transfer"
    ),
    "-"
)</f>
        <v>Transfer</v>
      </c>
      <c r="W187" s="25" t="str" cm="1">
        <f t="array" ref="W187">_xlfn.IFNA(
    _xlfn.IFS(
        AND(V187="Transfer",ISNUMBER(SEARCH("RIYAD BANK",L187))),"External FI",
        AND(V187="Transfer",ISNUMBER(SEARCH("Al Ahli",L187))),"External FI",
        AND(V187="Transfer",ISNUMBER(SEARCH("CIB via",L187))),"Local Transfer",
        AND(V187="Transfer",ISNUMBER(SEARCH("CIB)",L187))),"Local Transfer",
        AND(V187="Transfer",ISNUMBER(SEARCH("SMRT",L187))),"Local Transfer",
        AND(V187="Transfer",ISNUMBER(SEARCH("Al Murabba",L187))),"Local Transfer",
        AND(V187="Transfer",ISNUMBER(SEARCH("Internal Transfer",L187))),"Same FI",
        AND(V187="Transfer",ISNUMBER(SEARCH("Rejected",L187))),"Failed",
        V187="SADAD",
            _xlfn.IFS(
                ISNUMBER(SEARCH("Expatriate",L187)),"Expat Fees",
                TRUE,"Online Payment"
            ),
        V187="Payroll","Payroll",
        V187="Cash","Deposit",
        TRUE,"-"
    ),
    "-"
)</f>
        <v>Local Transfer</v>
      </c>
      <c r="X187" s="25" t="str" cm="1">
        <f t="array" ref="X187">_xlfn.IFNA(
    _xlfn.IFS(
        V187="-","Low",
        W187="-","Low",
        TRUE,"High"
    ),
    "-"
)</f>
        <v>High</v>
      </c>
      <c r="Y187" s="25" t="str">
        <f t="shared" si="8"/>
        <v>-</v>
      </c>
      <c r="Z187" s="25" t="str" cm="1">
        <f t="array" ref="Z187">_xlfn.IFNA(
    _xlfn.IFS(
        ISNUMBER(SEARCH("Abdul Latif Jameel",M187)),"Lender",
        ISNUMBER(SEARCH("Abdullah Abdulkarim Al Sudais",M187)),"Accounting",
        ISNUMBER(SEARCH("Abdullah Fahad for Accounting",M187)),"Accounting",
        ISNUMBER(SEARCH("Abdullah Rashid Shaikh",M187)),"Shareholder",
        ISNUMBER(SEARCH("Advanced Equipments",M187)),"Equipment Rental",
        ISNUMBER(SEARCH("Al Banuk Sana",M187)),"Telecom Company",
        ISNUMBER(SEARCH("Al Khaleefa Factory",M187)),"Manufacturer",
        ISNUMBER(SEARCH("Al Saadeh Trading",M187)),"Trading Company",
        ISNUMBER(SEARCH("Al Zaehaan",M187)),"Trading Company",
        ISNUMBER(SEARCH("Ali Abdullah K Al Darwish",M187)),"Airlines",
        ISNUMBER(SEARCH("Bupa Arabia",M187)),"Health Insurance",
        ISNUMBER(SEARCH("Dar Fahoosaat",M187)),"Consultant",
        ISNUMBER(SEARCH("General Authority of Zakat",M187)),"Tax Collection",
        ISNUMBER(SEARCH("Gulf Voyager",M187)),"Travel Agency",
        ISNUMBER(SEARCH("Hopeway Trading",M187)),"Trading Company",
        ISNUMBER(SEARCH("Interhealth Medical",M187)),"Medical Services",
        ISNUMBER(SEARCH("Ishaar",M187)),"Online Payment Service",
        ISNUMBER(SEARCH("ISO Arabia",M187)),"Certification",
        ISNUMBER(SEARCH("Khalid Saad Al Otaibi",M187)),"Trading Company",
        ISNUMBER(SEARCH("MERAS for Decoration",M187)),"Decor Company",
        ISNUMBER(SEARCH("Middle East Customs Clearance",M187)),"Customs",
        ISNUMBER(SEARCH("Ministry of Human Resources",M187)),"Government",
        ISNUMBER(SEARCH("My Business Services",M187)),"Service Provider",
        ISNUMBER(SEARCH("National Water Company",M187)),"Water Company",
        ISNUMBER(SEARCH("Rania Contracting",M187)),"Contracting",
        ISNUMBER(SEARCH("Rashid Ali Sheikh",M187)),"Shareholder",
        ISNUMBER(SEARCH("Sahab United Motors",M187)),"Car Show Room",
        ISNUMBER(SEARCH("Saud Mohammed Al Tamimi",M187)),"Shareholder",
        ISNUMBER(SEARCH("Saud Mohammed Tamimi",M187)),"Shareholder",
        ISNUMBER(SEARCH("Saudi Electric Company",M187)),"Electricity Company",
        ISNUMBER(SEARCH("Saudi Vetonit",M187)),"Building Materials",
        ISNUMBER(SEARCH("Shomoul Eng",M187)),"Safety",
        ISNUMBER(SEARCH("STC",M187)),"Telecom Company",
        ISNUMBER(SEARCH("The General Organization for Social Insurance",M187)),"Social Insurance Agency",
        ISNUMBER(SEARCH("TUV Rheinland",M187)),"Certification",
        ISNUMBER(SEARCH("Al Arabia Ceramic",M187)),"Building Materials",
        ISNUMBER(SEARCH("National Company for Building and Marketing",M187)),"Parent Company",
        ISNUMBER(SEARCH("Athraa Holding",M187)),"Holding Company",
        ISNUMBER(SEARCH("Al Rasan",M187)),"Contracting",
        ISNUMBER(SEARCH("Raboua Al Haid",M187)),"Trading Company",
        ISNUMBER(SEARCH("Al Jazeera Paint",M187)),"Manufacturer",
        ISNUMBER(SEARCH("Rania Works Contracting",M187)),"Contracting",
        ISNUMBER(SEARCH("Bandar Jarallah",M187)),"Trading Establishment",
        ISNUMBER(SEARCH("RS Infratec Saudi",M187)),"Same Company",
        ISNUMBER(SEARCH("Payroll",M187)),"Bank",
        ISNUMBER(SEARCH("Expatriate",M187)),"Government",
        ISNUMBER(SEARCH("Unknown Sender",M187)),"Unknown",
        TRUE,"Unknown"
    ),
    "-"
)</f>
        <v>Parent Company</v>
      </c>
      <c r="AA187" s="25" t="str" cm="1">
        <f t="array" ref="AA187">_xlfn.IFNA(
    _xlfn.IFS(
        Z187="Lender","Financing",
        Z187="Accounting","Accounting",
        Z187="Shareholder","Individual",
        Z187="Equipment Rental","Equipment Rental",
        Z187="Telecom Company","Telecom",
        Z187="Manufacturer","Manufacturer",
        Z187="Trading Company","Trading And Transport",
        Z187="Trading Establishment","Trading",
        Z187="Airlines","Airlines",
        Z187="Health Insurance","Insurance",
        Z187="Consultant","Consultant",
        Z187="Tax Collection","Government",
        Z187="Travel Agency","Travel Agency",
        Z187="Medical Services","Medical Center",
        Z187="Online Payment Service","Payment Facilitator",
        Z187="Certification","Safety",
        Z187="Decor Company","Design",
        Z187="Customs","Customs",
        Z187="Government","Government",
        Z187="Service Provider","Service Provider",
        Z187="Water Company","Water Company",
        Z187="Contracting","Contracting",
        Z187="Car Show Room","Car Trader",
        Z187="Electricity Company","Electricity Company",
        Z187="Building Materials","Building Materials",
        Z187="Safety","Safety",
        Z187="Social Insurance Agency","Government Fund",
        Z187="Parent Company","Holding Company",
        Z187="Holding Company","Holding Company",
        Z187="Same Company","Construction",
        Z187="Bank","Bank",
        Z187="Unknown","Unknown",
        TRUE,"-"
    ),
    "-"
)</f>
        <v>Holding Company</v>
      </c>
      <c r="AB187" s="25" t="str">
        <f t="shared" si="9"/>
        <v>-</v>
      </c>
      <c r="AC187" s="25" t="str" cm="1">
        <f t="array" ref="AC187">_xlfn.IFNA(
    _xlfn.IFS(
        Z187="Shareholder","Shareholder",
        Z187="Same Company","Same Company",
        Z187="Bank","Bank",
        Z187="Government","Government",
        Z187="Social Insurance Agency","Government",
        Z187="Parent Company","Customer",
        Z187="Lender","Lender",
        Z187="Unknown","Unknown",
        ISNUMBER(SEARCH("Abdullah Abdulkarim",M187)),"Service Provider",
        ISNUMBER(SEARCH("Abdullah Fahad",M187)),"Service Provider",
        ISNUMBER(SEARCH("Advanced Equipments",M187)),"Supplier",
        ISNUMBER(SEARCH("Al Banuk Sana",M187)),"Supplier",
        ISNUMBER(SEARCH("Al Khaleefa Factory",M187)),"Supplier",
        ISNUMBER(SEARCH("Al Saadeh Trading",M187)),"Supplier",
        ISNUMBER(SEARCH("Al Zaehaan",M187)),"Supplier",
        ISNUMBER(SEARCH("Ali Abdullah K Al Darwish",M187)),"Service Provider",
        ISNUMBER(SEARCH("Bupa Arabia",M187)),"Insurance Company",
        ISNUMBER(SEARCH("Dar Fahoosaat",M187)),"Service Provider",
        ISNUMBER(SEARCH("General Authority of Zakat",M187)),"Tax Authority",
        ISNUMBER(SEARCH("Gulf Voyager",M187)),"Service Provider",
        ISNUMBER(SEARCH("Hopeway Trading",M187)),"Supplier",
        ISNUMBER(SEARCH("Interhealth Medical",M187)),"Customer",
        ISNUMBER(SEARCH("Ishaar",M187)),"Service Provider",
        ISNUMBER(SEARCH("ISO Arabia",M187)),"Service Provider",
        ISNUMBER(SEARCH("Khalid Saad Al Otaibi",M187)),"Supplier",
        ISNUMBER(SEARCH("MERAS for Decoration",M187)),"Supplier",
        ISNUMBER(SEARCH("Middle East Customs Clearance",M187)),"Service Provider",
        ISNUMBER(SEARCH("Ministry of Human Resources",M187)),"Regulatory Agency",
        ISNUMBER(SEARCH("My Business Services",M187)),"Service Provider",
        ISNUMBER(SEARCH("National Water Company",M187)),"Utility Provider",
        ISNUMBER(SEARCH("Rania Contracting",M187)),"Supplier",
        ISNUMBER(SEARCH("Sahab United Motors",M187)),"Supplier",
        ISNUMBER(SEARCH("Saudi Electric Company",M187)),"Utility Provider",
        ISNUMBER(SEARCH("Saudi Vetonit",M187)),"Supplier",
        ISNUMBER(SEARCH("Shomoul Eng",M187)),"Service Provider",
        ISNUMBER(SEARCH("STC",M187)),"Utility Provider",
        ISNUMBER(SEARCH("The General Organization for Social Insurance",M187)),"Social Insurance Agency",
        ISNUMBER(SEARCH("TUV Rheinland",M187)),"Service Provider",
        ISNUMBER(SEARCH("Al Arabia Ceramic",M187)),"Supplier",
        ISNUMBER(SEARCH("National Company for Building",M187)),"Customer",
        ISNUMBER(SEARCH("Athraa Holding",M187)),"Customer",
        ISNUMBER(SEARCH("Al Rasan",M187)),"Supplier",
        ISNUMBER(SEARCH("Raboua Al Haid",M187)),"Customer",
        ISNUMBER(SEARCH("Al Jazeera Paint",M187)),"Supplier",
        ISNUMBER(SEARCH("Rania Works Contracting",M187)),"Supplier",
        ISNUMBER(SEARCH("Bandar Jarallah",M187)),"Supplier",
        TRUE,"Supplier"
    ),
    "-"
)</f>
        <v>Customer</v>
      </c>
      <c r="AD187" s="25" t="str" cm="1">
        <f t="array" ref="AD187">_xlfn.IFNA(
    _xlfn.IFS(
        AC187="Same Company","High",
        AC187="Shareholder","High",
        AC187="Government","High",
        AC187="Bank","High",
        AC187="Lender","High",
        AC187="Unknown","Low",
        AC187="-","Low",
        TRUE,"Medium"
    ),
    "-"
)</f>
        <v>Medium</v>
      </c>
      <c r="AE187" s="25" t="str">
        <f t="shared" si="10"/>
        <v>-</v>
      </c>
      <c r="AF187" s="25" t="str" cm="1">
        <f t="array" ref="AF187">_xlfn.IFNA(
    _xlfn.IFS(
        K187="Credit",
            _xlfn.IFS(
                OR(ISNUMBER(SEARCH("Rejected",L187)),ISNUMBER(SEARCH("Returned",L187))),"Other Income",
                TRUE,"Revenue"
            ),
        K187="Debit",
            _xlfn.IFS(
                ISNUMBER(SEARCH("Payroll",L187)),"OPEX",
                ISNUMBER(SEARCH("Expatriate",L187)),"OPEX",
                ISNUMBER(SEARCH("Zakat",M187)),"ZATCA",
                ISNUMBER(SEARCH("General Organization for Social Insurance",M187)),"OPEX",
                ISNUMBER(SEARCH("Saudi Electric",M187)),"OPEX",
                ISNUMBER(SEARCH("STC",M187)),"OPEX",
                ISNUMBER(SEARCH("National Water",M187)),"OPEX",
                ISNUMBER(SEARCH("Bupa",M187)),"OPEX",
                ISNUMBER(SEARCH("Abdullah Abdulkarim",M187)),"OPEX",
                ISNUMBER(SEARCH("Abdullah Fahad",M187)),"OPEX",
                ISNUMBER(SEARCH("ISO Arabia",M187)),"OPEX",
                ISNUMBER(SEARCH("Gulf Voyager",M187)),"OPEX",
                ISNUMBER(SEARCH("Ministry",M187)),"OPEX",
                ISNUMBER(SEARCH("General Authority of Zakat",M187)),"ZATCA",
                ISNUMBER(SEARCH("Rejected",L187)),"Other Income",
                TRUE,"COGS"
            ),
        TRUE,"-"
    ),
    "-"
)</f>
        <v>Revenue</v>
      </c>
      <c r="AG187" s="25" t="str" cm="1">
        <f t="array" ref="AG187">_xlfn.IFNA(
    _xlfn.IFS(
        ISNUMBER(SEARCH("Payroll",L187)),"Payroll",
        ISNUMBER(SEARCH("Expatriate",L187)),"Government Fees",
        ISNUMBER(SEARCH("Zakat",M187)),"Zakat",
        ISNUMBER(SEARCH("Social Insurance",M187)),"Social Insurance",
        ISNUMBER(SEARCH("Saudi Electric",M187)),"Electricity",
        ISNUMBER(SEARCH("STC",M187)),"Telecom",
        ISNUMBER(SEARCH("National Water",M187)),"Water",
        ISNUMBER(SEARCH("Bupa",M187)),"Insurance",
        ISNUMBER(SEARCH("Gulf Voyager",M187)),"Travel",
        ISNUMBER(SEARCH("Ministry",M187)),"Government Fees",
        ISNUMBER(SEARCH("Abdullah Abdulkarim",M187)),"Consulting",
        ISNUMBER(SEARCH("Abdullah Fahad",M187)),"Accounting",
        ISNUMBER(SEARCH("ISO Arabia",M187)),"Consulting",
        ISNUMBER(SEARCH("Rejected",L187)),"Refund",
        AF187="COGS","Inventory Purchase",
        AF187="Revenue","Revenue",
        AF187="OPEX","Other",
        AF187="ZATCA","Zakat",
        TRUE,"-"
    ),
    "-"
)</f>
        <v>Revenue</v>
      </c>
      <c r="AH187" s="25" t="str" cm="1">
        <f t="array" ref="AH187">_xlfn.IFNA(
    _xlfn.IFS(
        AF187="-","Low",
        AF187="Other","Low",
        TRUE,"Medium"
    ),
    "-"
)</f>
        <v>Medium</v>
      </c>
      <c r="AI187" s="25" t="str">
        <f t="shared" si="11"/>
        <v>-</v>
      </c>
    </row>
    <row r="188" spans="1:35" x14ac:dyDescent="0.25">
      <c r="A188" s="10">
        <v>59</v>
      </c>
      <c r="B188" s="10" t="s">
        <v>35</v>
      </c>
      <c r="C188" s="10" t="s">
        <v>36</v>
      </c>
      <c r="D188" s="10" t="s">
        <v>37</v>
      </c>
      <c r="E188" s="10" t="s">
        <v>38</v>
      </c>
      <c r="F188" s="11" t="s">
        <v>39</v>
      </c>
      <c r="G188" s="10" t="s">
        <v>40</v>
      </c>
      <c r="H188" s="12">
        <v>45034</v>
      </c>
      <c r="I188" s="20">
        <v>135234.62</v>
      </c>
      <c r="J188" s="20">
        <v>125000</v>
      </c>
      <c r="K188" s="10" t="s">
        <v>116</v>
      </c>
      <c r="L188" s="9" t="s">
        <v>224</v>
      </c>
      <c r="M188" s="9" t="s">
        <v>231</v>
      </c>
      <c r="O188" s="9" t="s">
        <v>226</v>
      </c>
      <c r="P188" s="15">
        <v>45034</v>
      </c>
      <c r="Q188" s="9" t="s">
        <v>281</v>
      </c>
      <c r="R188" s="16">
        <v>125000</v>
      </c>
      <c r="U188" s="9" t="s">
        <v>55</v>
      </c>
      <c r="V188" s="24" t="str" cm="1">
        <f t="array" ref="V188">_xlfn.IFNA(
    _xlfn.IFS(
        ISNUMBER(SEARCH("Fast Outgoing Transfer",L188)),"Transfer",
        ISNUMBER(SEARCH("Incoming Fast Transfer",L188)),"Transfer",
        ISNUMBER(SEARCH("Outgoing International Transfer",L188)),"Transfer",
        ISNUMBER(SEARCH("Bill Payment",L188)),"SADAD",
        ISNUMBER(SEARCH("Payroll",L188)),"Payroll",
        ISNUMBER(SEARCH("Cash Deposit",L188)),"Cash",
        ISNUMBER(SEARCH("Internal Transfer",L188)),"Transfer",
        ISNUMBER(SEARCH("Expatriate Services Payment",L188)),"SADAD",
        ISNUMBER(SEARCH("Rejected",L188)),"Transfer"
    ),
    "-"
)</f>
        <v>Transfer</v>
      </c>
      <c r="W188" s="25" t="str" cm="1">
        <f t="array" ref="W188">_xlfn.IFNA(
    _xlfn.IFS(
        AND(V188="Transfer",ISNUMBER(SEARCH("RIYAD BANK",L188))),"External FI",
        AND(V188="Transfer",ISNUMBER(SEARCH("Al Ahli",L188))),"External FI",
        AND(V188="Transfer",ISNUMBER(SEARCH("CIB via",L188))),"Local Transfer",
        AND(V188="Transfer",ISNUMBER(SEARCH("CIB)",L188))),"Local Transfer",
        AND(V188="Transfer",ISNUMBER(SEARCH("SMRT",L188))),"Local Transfer",
        AND(V188="Transfer",ISNUMBER(SEARCH("Al Murabba",L188))),"Local Transfer",
        AND(V188="Transfer",ISNUMBER(SEARCH("Internal Transfer",L188))),"Same FI",
        AND(V188="Transfer",ISNUMBER(SEARCH("Rejected",L188))),"Failed",
        V188="SADAD",
            _xlfn.IFS(
                ISNUMBER(SEARCH("Expatriate",L188)),"Expat Fees",
                TRUE,"Online Payment"
            ),
        V188="Payroll","Payroll",
        V188="Cash","Deposit",
        TRUE,"-"
    ),
    "-"
)</f>
        <v>Local Transfer</v>
      </c>
      <c r="X188" s="25" t="str" cm="1">
        <f t="array" ref="X188">_xlfn.IFNA(
    _xlfn.IFS(
        V188="-","Low",
        W188="-","Low",
        TRUE,"High"
    ),
    "-"
)</f>
        <v>High</v>
      </c>
      <c r="Y188" s="25" t="str">
        <f t="shared" si="8"/>
        <v>-</v>
      </c>
      <c r="Z188" s="25" t="str" cm="1">
        <f t="array" ref="Z188">_xlfn.IFNA(
    _xlfn.IFS(
        ISNUMBER(SEARCH("Abdul Latif Jameel",M188)),"Lender",
        ISNUMBER(SEARCH("Abdullah Abdulkarim Al Sudais",M188)),"Accounting",
        ISNUMBER(SEARCH("Abdullah Fahad for Accounting",M188)),"Accounting",
        ISNUMBER(SEARCH("Abdullah Rashid Shaikh",M188)),"Shareholder",
        ISNUMBER(SEARCH("Advanced Equipments",M188)),"Equipment Rental",
        ISNUMBER(SEARCH("Al Banuk Sana",M188)),"Telecom Company",
        ISNUMBER(SEARCH("Al Khaleefa Factory",M188)),"Manufacturer",
        ISNUMBER(SEARCH("Al Saadeh Trading",M188)),"Trading Company",
        ISNUMBER(SEARCH("Al Zaehaan",M188)),"Trading Company",
        ISNUMBER(SEARCH("Ali Abdullah K Al Darwish",M188)),"Airlines",
        ISNUMBER(SEARCH("Bupa Arabia",M188)),"Health Insurance",
        ISNUMBER(SEARCH("Dar Fahoosaat",M188)),"Consultant",
        ISNUMBER(SEARCH("General Authority of Zakat",M188)),"Tax Collection",
        ISNUMBER(SEARCH("Gulf Voyager",M188)),"Travel Agency",
        ISNUMBER(SEARCH("Hopeway Trading",M188)),"Trading Company",
        ISNUMBER(SEARCH("Interhealth Medical",M188)),"Medical Services",
        ISNUMBER(SEARCH("Ishaar",M188)),"Online Payment Service",
        ISNUMBER(SEARCH("ISO Arabia",M188)),"Certification",
        ISNUMBER(SEARCH("Khalid Saad Al Otaibi",M188)),"Trading Company",
        ISNUMBER(SEARCH("MERAS for Decoration",M188)),"Decor Company",
        ISNUMBER(SEARCH("Middle East Customs Clearance",M188)),"Customs",
        ISNUMBER(SEARCH("Ministry of Human Resources",M188)),"Government",
        ISNUMBER(SEARCH("My Business Services",M188)),"Service Provider",
        ISNUMBER(SEARCH("National Water Company",M188)),"Water Company",
        ISNUMBER(SEARCH("Rania Contracting",M188)),"Contracting",
        ISNUMBER(SEARCH("Rashid Ali Sheikh",M188)),"Shareholder",
        ISNUMBER(SEARCH("Sahab United Motors",M188)),"Car Show Room",
        ISNUMBER(SEARCH("Saud Mohammed Al Tamimi",M188)),"Shareholder",
        ISNUMBER(SEARCH("Saud Mohammed Tamimi",M188)),"Shareholder",
        ISNUMBER(SEARCH("Saudi Electric Company",M188)),"Electricity Company",
        ISNUMBER(SEARCH("Saudi Vetonit",M188)),"Building Materials",
        ISNUMBER(SEARCH("Shomoul Eng",M188)),"Safety",
        ISNUMBER(SEARCH("STC",M188)),"Telecom Company",
        ISNUMBER(SEARCH("The General Organization for Social Insurance",M188)),"Social Insurance Agency",
        ISNUMBER(SEARCH("TUV Rheinland",M188)),"Certification",
        ISNUMBER(SEARCH("Al Arabia Ceramic",M188)),"Building Materials",
        ISNUMBER(SEARCH("National Company for Building and Marketing",M188)),"Parent Company",
        ISNUMBER(SEARCH("Athraa Holding",M188)),"Holding Company",
        ISNUMBER(SEARCH("Al Rasan",M188)),"Contracting",
        ISNUMBER(SEARCH("Raboua Al Haid",M188)),"Trading Company",
        ISNUMBER(SEARCH("Al Jazeera Paint",M188)),"Manufacturer",
        ISNUMBER(SEARCH("Rania Works Contracting",M188)),"Contracting",
        ISNUMBER(SEARCH("Bandar Jarallah",M188)),"Trading Establishment",
        ISNUMBER(SEARCH("RS Infratec Saudi",M188)),"Same Company",
        ISNUMBER(SEARCH("Payroll",M188)),"Bank",
        ISNUMBER(SEARCH("Expatriate",M188)),"Government",
        ISNUMBER(SEARCH("Unknown Sender",M188)),"Unknown",
        TRUE,"Unknown"
    ),
    "-"
)</f>
        <v>Parent Company</v>
      </c>
      <c r="AA188" s="25" t="str" cm="1">
        <f t="array" ref="AA188">_xlfn.IFNA(
    _xlfn.IFS(
        Z188="Lender","Financing",
        Z188="Accounting","Accounting",
        Z188="Shareholder","Individual",
        Z188="Equipment Rental","Equipment Rental",
        Z188="Telecom Company","Telecom",
        Z188="Manufacturer","Manufacturer",
        Z188="Trading Company","Trading And Transport",
        Z188="Trading Establishment","Trading",
        Z188="Airlines","Airlines",
        Z188="Health Insurance","Insurance",
        Z188="Consultant","Consultant",
        Z188="Tax Collection","Government",
        Z188="Travel Agency","Travel Agency",
        Z188="Medical Services","Medical Center",
        Z188="Online Payment Service","Payment Facilitator",
        Z188="Certification","Safety",
        Z188="Decor Company","Design",
        Z188="Customs","Customs",
        Z188="Government","Government",
        Z188="Service Provider","Service Provider",
        Z188="Water Company","Water Company",
        Z188="Contracting","Contracting",
        Z188="Car Show Room","Car Trader",
        Z188="Electricity Company","Electricity Company",
        Z188="Building Materials","Building Materials",
        Z188="Safety","Safety",
        Z188="Social Insurance Agency","Government Fund",
        Z188="Parent Company","Holding Company",
        Z188="Holding Company","Holding Company",
        Z188="Same Company","Construction",
        Z188="Bank","Bank",
        Z188="Unknown","Unknown",
        TRUE,"-"
    ),
    "-"
)</f>
        <v>Holding Company</v>
      </c>
      <c r="AB188" s="25" t="str">
        <f t="shared" si="9"/>
        <v>-</v>
      </c>
      <c r="AC188" s="25" t="str" cm="1">
        <f t="array" ref="AC188">_xlfn.IFNA(
    _xlfn.IFS(
        Z188="Shareholder","Shareholder",
        Z188="Same Company","Same Company",
        Z188="Bank","Bank",
        Z188="Government","Government",
        Z188="Social Insurance Agency","Government",
        Z188="Parent Company","Customer",
        Z188="Lender","Lender",
        Z188="Unknown","Unknown",
        ISNUMBER(SEARCH("Abdullah Abdulkarim",M188)),"Service Provider",
        ISNUMBER(SEARCH("Abdullah Fahad",M188)),"Service Provider",
        ISNUMBER(SEARCH("Advanced Equipments",M188)),"Supplier",
        ISNUMBER(SEARCH("Al Banuk Sana",M188)),"Supplier",
        ISNUMBER(SEARCH("Al Khaleefa Factory",M188)),"Supplier",
        ISNUMBER(SEARCH("Al Saadeh Trading",M188)),"Supplier",
        ISNUMBER(SEARCH("Al Zaehaan",M188)),"Supplier",
        ISNUMBER(SEARCH("Ali Abdullah K Al Darwish",M188)),"Service Provider",
        ISNUMBER(SEARCH("Bupa Arabia",M188)),"Insurance Company",
        ISNUMBER(SEARCH("Dar Fahoosaat",M188)),"Service Provider",
        ISNUMBER(SEARCH("General Authority of Zakat",M188)),"Tax Authority",
        ISNUMBER(SEARCH("Gulf Voyager",M188)),"Service Provider",
        ISNUMBER(SEARCH("Hopeway Trading",M188)),"Supplier",
        ISNUMBER(SEARCH("Interhealth Medical",M188)),"Customer",
        ISNUMBER(SEARCH("Ishaar",M188)),"Service Provider",
        ISNUMBER(SEARCH("ISO Arabia",M188)),"Service Provider",
        ISNUMBER(SEARCH("Khalid Saad Al Otaibi",M188)),"Supplier",
        ISNUMBER(SEARCH("MERAS for Decoration",M188)),"Supplier",
        ISNUMBER(SEARCH("Middle East Customs Clearance",M188)),"Service Provider",
        ISNUMBER(SEARCH("Ministry of Human Resources",M188)),"Regulatory Agency",
        ISNUMBER(SEARCH("My Business Services",M188)),"Service Provider",
        ISNUMBER(SEARCH("National Water Company",M188)),"Utility Provider",
        ISNUMBER(SEARCH("Rania Contracting",M188)),"Supplier",
        ISNUMBER(SEARCH("Sahab United Motors",M188)),"Supplier",
        ISNUMBER(SEARCH("Saudi Electric Company",M188)),"Utility Provider",
        ISNUMBER(SEARCH("Saudi Vetonit",M188)),"Supplier",
        ISNUMBER(SEARCH("Shomoul Eng",M188)),"Service Provider",
        ISNUMBER(SEARCH("STC",M188)),"Utility Provider",
        ISNUMBER(SEARCH("The General Organization for Social Insurance",M188)),"Social Insurance Agency",
        ISNUMBER(SEARCH("TUV Rheinland",M188)),"Service Provider",
        ISNUMBER(SEARCH("Al Arabia Ceramic",M188)),"Supplier",
        ISNUMBER(SEARCH("National Company for Building",M188)),"Customer",
        ISNUMBER(SEARCH("Athraa Holding",M188)),"Customer",
        ISNUMBER(SEARCH("Al Rasan",M188)),"Supplier",
        ISNUMBER(SEARCH("Raboua Al Haid",M188)),"Customer",
        ISNUMBER(SEARCH("Al Jazeera Paint",M188)),"Supplier",
        ISNUMBER(SEARCH("Rania Works Contracting",M188)),"Supplier",
        ISNUMBER(SEARCH("Bandar Jarallah",M188)),"Supplier",
        TRUE,"Supplier"
    ),
    "-"
)</f>
        <v>Customer</v>
      </c>
      <c r="AD188" s="25" t="str" cm="1">
        <f t="array" ref="AD188">_xlfn.IFNA(
    _xlfn.IFS(
        AC188="Same Company","High",
        AC188="Shareholder","High",
        AC188="Government","High",
        AC188="Bank","High",
        AC188="Lender","High",
        AC188="Unknown","Low",
        AC188="-","Low",
        TRUE,"Medium"
    ),
    "-"
)</f>
        <v>Medium</v>
      </c>
      <c r="AE188" s="25" t="str">
        <f t="shared" si="10"/>
        <v>-</v>
      </c>
      <c r="AF188" s="25" t="str" cm="1">
        <f t="array" ref="AF188">_xlfn.IFNA(
    _xlfn.IFS(
        K188="Credit",
            _xlfn.IFS(
                OR(ISNUMBER(SEARCH("Rejected",L188)),ISNUMBER(SEARCH("Returned",L188))),"Other Income",
                TRUE,"Revenue"
            ),
        K188="Debit",
            _xlfn.IFS(
                ISNUMBER(SEARCH("Payroll",L188)),"OPEX",
                ISNUMBER(SEARCH("Expatriate",L188)),"OPEX",
                ISNUMBER(SEARCH("Zakat",M188)),"ZATCA",
                ISNUMBER(SEARCH("General Organization for Social Insurance",M188)),"OPEX",
                ISNUMBER(SEARCH("Saudi Electric",M188)),"OPEX",
                ISNUMBER(SEARCH("STC",M188)),"OPEX",
                ISNUMBER(SEARCH("National Water",M188)),"OPEX",
                ISNUMBER(SEARCH("Bupa",M188)),"OPEX",
                ISNUMBER(SEARCH("Abdullah Abdulkarim",M188)),"OPEX",
                ISNUMBER(SEARCH("Abdullah Fahad",M188)),"OPEX",
                ISNUMBER(SEARCH("ISO Arabia",M188)),"OPEX",
                ISNUMBER(SEARCH("Gulf Voyager",M188)),"OPEX",
                ISNUMBER(SEARCH("Ministry",M188)),"OPEX",
                ISNUMBER(SEARCH("General Authority of Zakat",M188)),"ZATCA",
                ISNUMBER(SEARCH("Rejected",L188)),"Other Income",
                TRUE,"COGS"
            ),
        TRUE,"-"
    ),
    "-"
)</f>
        <v>Revenue</v>
      </c>
      <c r="AG188" s="25" t="str" cm="1">
        <f t="array" ref="AG188">_xlfn.IFNA(
    _xlfn.IFS(
        ISNUMBER(SEARCH("Payroll",L188)),"Payroll",
        ISNUMBER(SEARCH("Expatriate",L188)),"Government Fees",
        ISNUMBER(SEARCH("Zakat",M188)),"Zakat",
        ISNUMBER(SEARCH("Social Insurance",M188)),"Social Insurance",
        ISNUMBER(SEARCH("Saudi Electric",M188)),"Electricity",
        ISNUMBER(SEARCH("STC",M188)),"Telecom",
        ISNUMBER(SEARCH("National Water",M188)),"Water",
        ISNUMBER(SEARCH("Bupa",M188)),"Insurance",
        ISNUMBER(SEARCH("Gulf Voyager",M188)),"Travel",
        ISNUMBER(SEARCH("Ministry",M188)),"Government Fees",
        ISNUMBER(SEARCH("Abdullah Abdulkarim",M188)),"Consulting",
        ISNUMBER(SEARCH("Abdullah Fahad",M188)),"Accounting",
        ISNUMBER(SEARCH("ISO Arabia",M188)),"Consulting",
        ISNUMBER(SEARCH("Rejected",L188)),"Refund",
        AF188="COGS","Inventory Purchase",
        AF188="Revenue","Revenue",
        AF188="OPEX","Other",
        AF188="ZATCA","Zakat",
        TRUE,"-"
    ),
    "-"
)</f>
        <v>Revenue</v>
      </c>
      <c r="AH188" s="25" t="str" cm="1">
        <f t="array" ref="AH188">_xlfn.IFNA(
    _xlfn.IFS(
        AF188="-","Low",
        AF188="Other","Low",
        TRUE,"Medium"
    ),
    "-"
)</f>
        <v>Medium</v>
      </c>
      <c r="AI188" s="25" t="str">
        <f t="shared" si="11"/>
        <v>-</v>
      </c>
    </row>
    <row r="189" spans="1:35" x14ac:dyDescent="0.25">
      <c r="A189" s="10">
        <v>59</v>
      </c>
      <c r="B189" s="10" t="s">
        <v>35</v>
      </c>
      <c r="C189" s="10" t="s">
        <v>36</v>
      </c>
      <c r="D189" s="10" t="s">
        <v>37</v>
      </c>
      <c r="E189" s="10" t="s">
        <v>38</v>
      </c>
      <c r="F189" s="11" t="s">
        <v>39</v>
      </c>
      <c r="G189" s="11" t="s">
        <v>40</v>
      </c>
      <c r="H189" s="12">
        <v>45043</v>
      </c>
      <c r="I189" s="20">
        <v>102517.58</v>
      </c>
      <c r="J189" s="20">
        <v>100000</v>
      </c>
      <c r="K189" s="10" t="s">
        <v>116</v>
      </c>
      <c r="L189" s="9" t="s">
        <v>224</v>
      </c>
      <c r="M189" s="9" t="s">
        <v>231</v>
      </c>
      <c r="O189" s="9" t="s">
        <v>226</v>
      </c>
      <c r="P189" s="15">
        <v>45043</v>
      </c>
      <c r="Q189" s="9" t="s">
        <v>282</v>
      </c>
      <c r="R189" s="16">
        <v>100000</v>
      </c>
      <c r="U189" s="9" t="s">
        <v>55</v>
      </c>
      <c r="V189" s="24" t="str" cm="1">
        <f t="array" ref="V189">_xlfn.IFNA(
    _xlfn.IFS(
        ISNUMBER(SEARCH("Fast Outgoing Transfer",L189)),"Transfer",
        ISNUMBER(SEARCH("Incoming Fast Transfer",L189)),"Transfer",
        ISNUMBER(SEARCH("Outgoing International Transfer",L189)),"Transfer",
        ISNUMBER(SEARCH("Bill Payment",L189)),"SADAD",
        ISNUMBER(SEARCH("Payroll",L189)),"Payroll",
        ISNUMBER(SEARCH("Cash Deposit",L189)),"Cash",
        ISNUMBER(SEARCH("Internal Transfer",L189)),"Transfer",
        ISNUMBER(SEARCH("Expatriate Services Payment",L189)),"SADAD",
        ISNUMBER(SEARCH("Rejected",L189)),"Transfer"
    ),
    "-"
)</f>
        <v>Transfer</v>
      </c>
      <c r="W189" s="25" t="str" cm="1">
        <f t="array" ref="W189">_xlfn.IFNA(
    _xlfn.IFS(
        AND(V189="Transfer",ISNUMBER(SEARCH("RIYAD BANK",L189))),"External FI",
        AND(V189="Transfer",ISNUMBER(SEARCH("Al Ahli",L189))),"External FI",
        AND(V189="Transfer",ISNUMBER(SEARCH("CIB via",L189))),"Local Transfer",
        AND(V189="Transfer",ISNUMBER(SEARCH("CIB)",L189))),"Local Transfer",
        AND(V189="Transfer",ISNUMBER(SEARCH("SMRT",L189))),"Local Transfer",
        AND(V189="Transfer",ISNUMBER(SEARCH("Al Murabba",L189))),"Local Transfer",
        AND(V189="Transfer",ISNUMBER(SEARCH("Internal Transfer",L189))),"Same FI",
        AND(V189="Transfer",ISNUMBER(SEARCH("Rejected",L189))),"Failed",
        V189="SADAD",
            _xlfn.IFS(
                ISNUMBER(SEARCH("Expatriate",L189)),"Expat Fees",
                TRUE,"Online Payment"
            ),
        V189="Payroll","Payroll",
        V189="Cash","Deposit",
        TRUE,"-"
    ),
    "-"
)</f>
        <v>Local Transfer</v>
      </c>
      <c r="X189" s="25" t="str" cm="1">
        <f t="array" ref="X189">_xlfn.IFNA(
    _xlfn.IFS(
        V189="-","Low",
        W189="-","Low",
        TRUE,"High"
    ),
    "-"
)</f>
        <v>High</v>
      </c>
      <c r="Y189" s="25" t="str">
        <f t="shared" si="8"/>
        <v>-</v>
      </c>
      <c r="Z189" s="25" t="str" cm="1">
        <f t="array" ref="Z189">_xlfn.IFNA(
    _xlfn.IFS(
        ISNUMBER(SEARCH("Abdul Latif Jameel",M189)),"Lender",
        ISNUMBER(SEARCH("Abdullah Abdulkarim Al Sudais",M189)),"Accounting",
        ISNUMBER(SEARCH("Abdullah Fahad for Accounting",M189)),"Accounting",
        ISNUMBER(SEARCH("Abdullah Rashid Shaikh",M189)),"Shareholder",
        ISNUMBER(SEARCH("Advanced Equipments",M189)),"Equipment Rental",
        ISNUMBER(SEARCH("Al Banuk Sana",M189)),"Telecom Company",
        ISNUMBER(SEARCH("Al Khaleefa Factory",M189)),"Manufacturer",
        ISNUMBER(SEARCH("Al Saadeh Trading",M189)),"Trading Company",
        ISNUMBER(SEARCH("Al Zaehaan",M189)),"Trading Company",
        ISNUMBER(SEARCH("Ali Abdullah K Al Darwish",M189)),"Airlines",
        ISNUMBER(SEARCH("Bupa Arabia",M189)),"Health Insurance",
        ISNUMBER(SEARCH("Dar Fahoosaat",M189)),"Consultant",
        ISNUMBER(SEARCH("General Authority of Zakat",M189)),"Tax Collection",
        ISNUMBER(SEARCH("Gulf Voyager",M189)),"Travel Agency",
        ISNUMBER(SEARCH("Hopeway Trading",M189)),"Trading Company",
        ISNUMBER(SEARCH("Interhealth Medical",M189)),"Medical Services",
        ISNUMBER(SEARCH("Ishaar",M189)),"Online Payment Service",
        ISNUMBER(SEARCH("ISO Arabia",M189)),"Certification",
        ISNUMBER(SEARCH("Khalid Saad Al Otaibi",M189)),"Trading Company",
        ISNUMBER(SEARCH("MERAS for Decoration",M189)),"Decor Company",
        ISNUMBER(SEARCH("Middle East Customs Clearance",M189)),"Customs",
        ISNUMBER(SEARCH("Ministry of Human Resources",M189)),"Government",
        ISNUMBER(SEARCH("My Business Services",M189)),"Service Provider",
        ISNUMBER(SEARCH("National Water Company",M189)),"Water Company",
        ISNUMBER(SEARCH("Rania Contracting",M189)),"Contracting",
        ISNUMBER(SEARCH("Rashid Ali Sheikh",M189)),"Shareholder",
        ISNUMBER(SEARCH("Sahab United Motors",M189)),"Car Show Room",
        ISNUMBER(SEARCH("Saud Mohammed Al Tamimi",M189)),"Shareholder",
        ISNUMBER(SEARCH("Saud Mohammed Tamimi",M189)),"Shareholder",
        ISNUMBER(SEARCH("Saudi Electric Company",M189)),"Electricity Company",
        ISNUMBER(SEARCH("Saudi Vetonit",M189)),"Building Materials",
        ISNUMBER(SEARCH("Shomoul Eng",M189)),"Safety",
        ISNUMBER(SEARCH("STC",M189)),"Telecom Company",
        ISNUMBER(SEARCH("The General Organization for Social Insurance",M189)),"Social Insurance Agency",
        ISNUMBER(SEARCH("TUV Rheinland",M189)),"Certification",
        ISNUMBER(SEARCH("Al Arabia Ceramic",M189)),"Building Materials",
        ISNUMBER(SEARCH("National Company for Building and Marketing",M189)),"Parent Company",
        ISNUMBER(SEARCH("Athraa Holding",M189)),"Holding Company",
        ISNUMBER(SEARCH("Al Rasan",M189)),"Contracting",
        ISNUMBER(SEARCH("Raboua Al Haid",M189)),"Trading Company",
        ISNUMBER(SEARCH("Al Jazeera Paint",M189)),"Manufacturer",
        ISNUMBER(SEARCH("Rania Works Contracting",M189)),"Contracting",
        ISNUMBER(SEARCH("Bandar Jarallah",M189)),"Trading Establishment",
        ISNUMBER(SEARCH("RS Infratec Saudi",M189)),"Same Company",
        ISNUMBER(SEARCH("Payroll",M189)),"Bank",
        ISNUMBER(SEARCH("Expatriate",M189)),"Government",
        ISNUMBER(SEARCH("Unknown Sender",M189)),"Unknown",
        TRUE,"Unknown"
    ),
    "-"
)</f>
        <v>Parent Company</v>
      </c>
      <c r="AA189" s="25" t="str" cm="1">
        <f t="array" ref="AA189">_xlfn.IFNA(
    _xlfn.IFS(
        Z189="Lender","Financing",
        Z189="Accounting","Accounting",
        Z189="Shareholder","Individual",
        Z189="Equipment Rental","Equipment Rental",
        Z189="Telecom Company","Telecom",
        Z189="Manufacturer","Manufacturer",
        Z189="Trading Company","Trading And Transport",
        Z189="Trading Establishment","Trading",
        Z189="Airlines","Airlines",
        Z189="Health Insurance","Insurance",
        Z189="Consultant","Consultant",
        Z189="Tax Collection","Government",
        Z189="Travel Agency","Travel Agency",
        Z189="Medical Services","Medical Center",
        Z189="Online Payment Service","Payment Facilitator",
        Z189="Certification","Safety",
        Z189="Decor Company","Design",
        Z189="Customs","Customs",
        Z189="Government","Government",
        Z189="Service Provider","Service Provider",
        Z189="Water Company","Water Company",
        Z189="Contracting","Contracting",
        Z189="Car Show Room","Car Trader",
        Z189="Electricity Company","Electricity Company",
        Z189="Building Materials","Building Materials",
        Z189="Safety","Safety",
        Z189="Social Insurance Agency","Government Fund",
        Z189="Parent Company","Holding Company",
        Z189="Holding Company","Holding Company",
        Z189="Same Company","Construction",
        Z189="Bank","Bank",
        Z189="Unknown","Unknown",
        TRUE,"-"
    ),
    "-"
)</f>
        <v>Holding Company</v>
      </c>
      <c r="AB189" s="25" t="str">
        <f t="shared" si="9"/>
        <v>-</v>
      </c>
      <c r="AC189" s="25" t="str" cm="1">
        <f t="array" ref="AC189">_xlfn.IFNA(
    _xlfn.IFS(
        Z189="Shareholder","Shareholder",
        Z189="Same Company","Same Company",
        Z189="Bank","Bank",
        Z189="Government","Government",
        Z189="Social Insurance Agency","Government",
        Z189="Parent Company","Customer",
        Z189="Lender","Lender",
        Z189="Unknown","Unknown",
        ISNUMBER(SEARCH("Abdullah Abdulkarim",M189)),"Service Provider",
        ISNUMBER(SEARCH("Abdullah Fahad",M189)),"Service Provider",
        ISNUMBER(SEARCH("Advanced Equipments",M189)),"Supplier",
        ISNUMBER(SEARCH("Al Banuk Sana",M189)),"Supplier",
        ISNUMBER(SEARCH("Al Khaleefa Factory",M189)),"Supplier",
        ISNUMBER(SEARCH("Al Saadeh Trading",M189)),"Supplier",
        ISNUMBER(SEARCH("Al Zaehaan",M189)),"Supplier",
        ISNUMBER(SEARCH("Ali Abdullah K Al Darwish",M189)),"Service Provider",
        ISNUMBER(SEARCH("Bupa Arabia",M189)),"Insurance Company",
        ISNUMBER(SEARCH("Dar Fahoosaat",M189)),"Service Provider",
        ISNUMBER(SEARCH("General Authority of Zakat",M189)),"Tax Authority",
        ISNUMBER(SEARCH("Gulf Voyager",M189)),"Service Provider",
        ISNUMBER(SEARCH("Hopeway Trading",M189)),"Supplier",
        ISNUMBER(SEARCH("Interhealth Medical",M189)),"Customer",
        ISNUMBER(SEARCH("Ishaar",M189)),"Service Provider",
        ISNUMBER(SEARCH("ISO Arabia",M189)),"Service Provider",
        ISNUMBER(SEARCH("Khalid Saad Al Otaibi",M189)),"Supplier",
        ISNUMBER(SEARCH("MERAS for Decoration",M189)),"Supplier",
        ISNUMBER(SEARCH("Middle East Customs Clearance",M189)),"Service Provider",
        ISNUMBER(SEARCH("Ministry of Human Resources",M189)),"Regulatory Agency",
        ISNUMBER(SEARCH("My Business Services",M189)),"Service Provider",
        ISNUMBER(SEARCH("National Water Company",M189)),"Utility Provider",
        ISNUMBER(SEARCH("Rania Contracting",M189)),"Supplier",
        ISNUMBER(SEARCH("Sahab United Motors",M189)),"Supplier",
        ISNUMBER(SEARCH("Saudi Electric Company",M189)),"Utility Provider",
        ISNUMBER(SEARCH("Saudi Vetonit",M189)),"Supplier",
        ISNUMBER(SEARCH("Shomoul Eng",M189)),"Service Provider",
        ISNUMBER(SEARCH("STC",M189)),"Utility Provider",
        ISNUMBER(SEARCH("The General Organization for Social Insurance",M189)),"Social Insurance Agency",
        ISNUMBER(SEARCH("TUV Rheinland",M189)),"Service Provider",
        ISNUMBER(SEARCH("Al Arabia Ceramic",M189)),"Supplier",
        ISNUMBER(SEARCH("National Company for Building",M189)),"Customer",
        ISNUMBER(SEARCH("Athraa Holding",M189)),"Customer",
        ISNUMBER(SEARCH("Al Rasan",M189)),"Supplier",
        ISNUMBER(SEARCH("Raboua Al Haid",M189)),"Customer",
        ISNUMBER(SEARCH("Al Jazeera Paint",M189)),"Supplier",
        ISNUMBER(SEARCH("Rania Works Contracting",M189)),"Supplier",
        ISNUMBER(SEARCH("Bandar Jarallah",M189)),"Supplier",
        TRUE,"Supplier"
    ),
    "-"
)</f>
        <v>Customer</v>
      </c>
      <c r="AD189" s="25" t="str" cm="1">
        <f t="array" ref="AD189">_xlfn.IFNA(
    _xlfn.IFS(
        AC189="Same Company","High",
        AC189="Shareholder","High",
        AC189="Government","High",
        AC189="Bank","High",
        AC189="Lender","High",
        AC189="Unknown","Low",
        AC189="-","Low",
        TRUE,"Medium"
    ),
    "-"
)</f>
        <v>Medium</v>
      </c>
      <c r="AE189" s="25" t="str">
        <f t="shared" si="10"/>
        <v>-</v>
      </c>
      <c r="AF189" s="25" t="str" cm="1">
        <f t="array" ref="AF189">_xlfn.IFNA(
    _xlfn.IFS(
        K189="Credit",
            _xlfn.IFS(
                OR(ISNUMBER(SEARCH("Rejected",L189)),ISNUMBER(SEARCH("Returned",L189))),"Other Income",
                TRUE,"Revenue"
            ),
        K189="Debit",
            _xlfn.IFS(
                ISNUMBER(SEARCH("Payroll",L189)),"OPEX",
                ISNUMBER(SEARCH("Expatriate",L189)),"OPEX",
                ISNUMBER(SEARCH("Zakat",M189)),"ZATCA",
                ISNUMBER(SEARCH("General Organization for Social Insurance",M189)),"OPEX",
                ISNUMBER(SEARCH("Saudi Electric",M189)),"OPEX",
                ISNUMBER(SEARCH("STC",M189)),"OPEX",
                ISNUMBER(SEARCH("National Water",M189)),"OPEX",
                ISNUMBER(SEARCH("Bupa",M189)),"OPEX",
                ISNUMBER(SEARCH("Abdullah Abdulkarim",M189)),"OPEX",
                ISNUMBER(SEARCH("Abdullah Fahad",M189)),"OPEX",
                ISNUMBER(SEARCH("ISO Arabia",M189)),"OPEX",
                ISNUMBER(SEARCH("Gulf Voyager",M189)),"OPEX",
                ISNUMBER(SEARCH("Ministry",M189)),"OPEX",
                ISNUMBER(SEARCH("General Authority of Zakat",M189)),"ZATCA",
                ISNUMBER(SEARCH("Rejected",L189)),"Other Income",
                TRUE,"COGS"
            ),
        TRUE,"-"
    ),
    "-"
)</f>
        <v>Revenue</v>
      </c>
      <c r="AG189" s="25" t="str" cm="1">
        <f t="array" ref="AG189">_xlfn.IFNA(
    _xlfn.IFS(
        ISNUMBER(SEARCH("Payroll",L189)),"Payroll",
        ISNUMBER(SEARCH("Expatriate",L189)),"Government Fees",
        ISNUMBER(SEARCH("Zakat",M189)),"Zakat",
        ISNUMBER(SEARCH("Social Insurance",M189)),"Social Insurance",
        ISNUMBER(SEARCH("Saudi Electric",M189)),"Electricity",
        ISNUMBER(SEARCH("STC",M189)),"Telecom",
        ISNUMBER(SEARCH("National Water",M189)),"Water",
        ISNUMBER(SEARCH("Bupa",M189)),"Insurance",
        ISNUMBER(SEARCH("Gulf Voyager",M189)),"Travel",
        ISNUMBER(SEARCH("Ministry",M189)),"Government Fees",
        ISNUMBER(SEARCH("Abdullah Abdulkarim",M189)),"Consulting",
        ISNUMBER(SEARCH("Abdullah Fahad",M189)),"Accounting",
        ISNUMBER(SEARCH("ISO Arabia",M189)),"Consulting",
        ISNUMBER(SEARCH("Rejected",L189)),"Refund",
        AF189="COGS","Inventory Purchase",
        AF189="Revenue","Revenue",
        AF189="OPEX","Other",
        AF189="ZATCA","Zakat",
        TRUE,"-"
    ),
    "-"
)</f>
        <v>Revenue</v>
      </c>
      <c r="AH189" s="25" t="str" cm="1">
        <f t="array" ref="AH189">_xlfn.IFNA(
    _xlfn.IFS(
        AF189="-","Low",
        AF189="Other","Low",
        TRUE,"Medium"
    ),
    "-"
)</f>
        <v>Medium</v>
      </c>
      <c r="AI189" s="25" t="str">
        <f t="shared" si="11"/>
        <v>-</v>
      </c>
    </row>
    <row r="190" spans="1:35" x14ac:dyDescent="0.25">
      <c r="A190" s="10">
        <v>59</v>
      </c>
      <c r="B190" s="10" t="s">
        <v>35</v>
      </c>
      <c r="C190" s="10" t="s">
        <v>36</v>
      </c>
      <c r="D190" s="10" t="s">
        <v>37</v>
      </c>
      <c r="E190" s="10" t="s">
        <v>38</v>
      </c>
      <c r="F190" s="11" t="s">
        <v>39</v>
      </c>
      <c r="G190" s="11" t="s">
        <v>40</v>
      </c>
      <c r="H190" s="12">
        <v>45048</v>
      </c>
      <c r="I190" s="20">
        <v>122878.27</v>
      </c>
      <c r="J190" s="20">
        <v>120000</v>
      </c>
      <c r="K190" s="10" t="s">
        <v>116</v>
      </c>
      <c r="L190" s="9" t="s">
        <v>224</v>
      </c>
      <c r="M190" s="9" t="s">
        <v>231</v>
      </c>
      <c r="O190" s="9" t="s">
        <v>226</v>
      </c>
      <c r="P190" s="15">
        <v>45048</v>
      </c>
      <c r="Q190" s="9" t="s">
        <v>283</v>
      </c>
      <c r="R190" s="16">
        <v>120000</v>
      </c>
      <c r="U190" s="9" t="s">
        <v>55</v>
      </c>
      <c r="V190" s="24" t="str" cm="1">
        <f t="array" ref="V190">_xlfn.IFNA(
    _xlfn.IFS(
        ISNUMBER(SEARCH("Fast Outgoing Transfer",L190)),"Transfer",
        ISNUMBER(SEARCH("Incoming Fast Transfer",L190)),"Transfer",
        ISNUMBER(SEARCH("Outgoing International Transfer",L190)),"Transfer",
        ISNUMBER(SEARCH("Bill Payment",L190)),"SADAD",
        ISNUMBER(SEARCH("Payroll",L190)),"Payroll",
        ISNUMBER(SEARCH("Cash Deposit",L190)),"Cash",
        ISNUMBER(SEARCH("Internal Transfer",L190)),"Transfer",
        ISNUMBER(SEARCH("Expatriate Services Payment",L190)),"SADAD",
        ISNUMBER(SEARCH("Rejected",L190)),"Transfer"
    ),
    "-"
)</f>
        <v>Transfer</v>
      </c>
      <c r="W190" s="25" t="str" cm="1">
        <f t="array" ref="W190">_xlfn.IFNA(
    _xlfn.IFS(
        AND(V190="Transfer",ISNUMBER(SEARCH("RIYAD BANK",L190))),"External FI",
        AND(V190="Transfer",ISNUMBER(SEARCH("Al Ahli",L190))),"External FI",
        AND(V190="Transfer",ISNUMBER(SEARCH("CIB via",L190))),"Local Transfer",
        AND(V190="Transfer",ISNUMBER(SEARCH("CIB)",L190))),"Local Transfer",
        AND(V190="Transfer",ISNUMBER(SEARCH("SMRT",L190))),"Local Transfer",
        AND(V190="Transfer",ISNUMBER(SEARCH("Al Murabba",L190))),"Local Transfer",
        AND(V190="Transfer",ISNUMBER(SEARCH("Internal Transfer",L190))),"Same FI",
        AND(V190="Transfer",ISNUMBER(SEARCH("Rejected",L190))),"Failed",
        V190="SADAD",
            _xlfn.IFS(
                ISNUMBER(SEARCH("Expatriate",L190)),"Expat Fees",
                TRUE,"Online Payment"
            ),
        V190="Payroll","Payroll",
        V190="Cash","Deposit",
        TRUE,"-"
    ),
    "-"
)</f>
        <v>Local Transfer</v>
      </c>
      <c r="X190" s="25" t="str" cm="1">
        <f t="array" ref="X190">_xlfn.IFNA(
    _xlfn.IFS(
        V190="-","Low",
        W190="-","Low",
        TRUE,"High"
    ),
    "-"
)</f>
        <v>High</v>
      </c>
      <c r="Y190" s="25" t="str">
        <f t="shared" si="8"/>
        <v>-</v>
      </c>
      <c r="Z190" s="25" t="str" cm="1">
        <f t="array" ref="Z190">_xlfn.IFNA(
    _xlfn.IFS(
        ISNUMBER(SEARCH("Abdul Latif Jameel",M190)),"Lender",
        ISNUMBER(SEARCH("Abdullah Abdulkarim Al Sudais",M190)),"Accounting",
        ISNUMBER(SEARCH("Abdullah Fahad for Accounting",M190)),"Accounting",
        ISNUMBER(SEARCH("Abdullah Rashid Shaikh",M190)),"Shareholder",
        ISNUMBER(SEARCH("Advanced Equipments",M190)),"Equipment Rental",
        ISNUMBER(SEARCH("Al Banuk Sana",M190)),"Telecom Company",
        ISNUMBER(SEARCH("Al Khaleefa Factory",M190)),"Manufacturer",
        ISNUMBER(SEARCH("Al Saadeh Trading",M190)),"Trading Company",
        ISNUMBER(SEARCH("Al Zaehaan",M190)),"Trading Company",
        ISNUMBER(SEARCH("Ali Abdullah K Al Darwish",M190)),"Airlines",
        ISNUMBER(SEARCH("Bupa Arabia",M190)),"Health Insurance",
        ISNUMBER(SEARCH("Dar Fahoosaat",M190)),"Consultant",
        ISNUMBER(SEARCH("General Authority of Zakat",M190)),"Tax Collection",
        ISNUMBER(SEARCH("Gulf Voyager",M190)),"Travel Agency",
        ISNUMBER(SEARCH("Hopeway Trading",M190)),"Trading Company",
        ISNUMBER(SEARCH("Interhealth Medical",M190)),"Medical Services",
        ISNUMBER(SEARCH("Ishaar",M190)),"Online Payment Service",
        ISNUMBER(SEARCH("ISO Arabia",M190)),"Certification",
        ISNUMBER(SEARCH("Khalid Saad Al Otaibi",M190)),"Trading Company",
        ISNUMBER(SEARCH("MERAS for Decoration",M190)),"Decor Company",
        ISNUMBER(SEARCH("Middle East Customs Clearance",M190)),"Customs",
        ISNUMBER(SEARCH("Ministry of Human Resources",M190)),"Government",
        ISNUMBER(SEARCH("My Business Services",M190)),"Service Provider",
        ISNUMBER(SEARCH("National Water Company",M190)),"Water Company",
        ISNUMBER(SEARCH("Rania Contracting",M190)),"Contracting",
        ISNUMBER(SEARCH("Rashid Ali Sheikh",M190)),"Shareholder",
        ISNUMBER(SEARCH("Sahab United Motors",M190)),"Car Show Room",
        ISNUMBER(SEARCH("Saud Mohammed Al Tamimi",M190)),"Shareholder",
        ISNUMBER(SEARCH("Saud Mohammed Tamimi",M190)),"Shareholder",
        ISNUMBER(SEARCH("Saudi Electric Company",M190)),"Electricity Company",
        ISNUMBER(SEARCH("Saudi Vetonit",M190)),"Building Materials",
        ISNUMBER(SEARCH("Shomoul Eng",M190)),"Safety",
        ISNUMBER(SEARCH("STC",M190)),"Telecom Company",
        ISNUMBER(SEARCH("The General Organization for Social Insurance",M190)),"Social Insurance Agency",
        ISNUMBER(SEARCH("TUV Rheinland",M190)),"Certification",
        ISNUMBER(SEARCH("Al Arabia Ceramic",M190)),"Building Materials",
        ISNUMBER(SEARCH("National Company for Building and Marketing",M190)),"Parent Company",
        ISNUMBER(SEARCH("Athraa Holding",M190)),"Holding Company",
        ISNUMBER(SEARCH("Al Rasan",M190)),"Contracting",
        ISNUMBER(SEARCH("Raboua Al Haid",M190)),"Trading Company",
        ISNUMBER(SEARCH("Al Jazeera Paint",M190)),"Manufacturer",
        ISNUMBER(SEARCH("Rania Works Contracting",M190)),"Contracting",
        ISNUMBER(SEARCH("Bandar Jarallah",M190)),"Trading Establishment",
        ISNUMBER(SEARCH("RS Infratec Saudi",M190)),"Same Company",
        ISNUMBER(SEARCH("Payroll",M190)),"Bank",
        ISNUMBER(SEARCH("Expatriate",M190)),"Government",
        ISNUMBER(SEARCH("Unknown Sender",M190)),"Unknown",
        TRUE,"Unknown"
    ),
    "-"
)</f>
        <v>Parent Company</v>
      </c>
      <c r="AA190" s="25" t="str" cm="1">
        <f t="array" ref="AA190">_xlfn.IFNA(
    _xlfn.IFS(
        Z190="Lender","Financing",
        Z190="Accounting","Accounting",
        Z190="Shareholder","Individual",
        Z190="Equipment Rental","Equipment Rental",
        Z190="Telecom Company","Telecom",
        Z190="Manufacturer","Manufacturer",
        Z190="Trading Company","Trading And Transport",
        Z190="Trading Establishment","Trading",
        Z190="Airlines","Airlines",
        Z190="Health Insurance","Insurance",
        Z190="Consultant","Consultant",
        Z190="Tax Collection","Government",
        Z190="Travel Agency","Travel Agency",
        Z190="Medical Services","Medical Center",
        Z190="Online Payment Service","Payment Facilitator",
        Z190="Certification","Safety",
        Z190="Decor Company","Design",
        Z190="Customs","Customs",
        Z190="Government","Government",
        Z190="Service Provider","Service Provider",
        Z190="Water Company","Water Company",
        Z190="Contracting","Contracting",
        Z190="Car Show Room","Car Trader",
        Z190="Electricity Company","Electricity Company",
        Z190="Building Materials","Building Materials",
        Z190="Safety","Safety",
        Z190="Social Insurance Agency","Government Fund",
        Z190="Parent Company","Holding Company",
        Z190="Holding Company","Holding Company",
        Z190="Same Company","Construction",
        Z190="Bank","Bank",
        Z190="Unknown","Unknown",
        TRUE,"-"
    ),
    "-"
)</f>
        <v>Holding Company</v>
      </c>
      <c r="AB190" s="25" t="str">
        <f t="shared" si="9"/>
        <v>-</v>
      </c>
      <c r="AC190" s="25" t="str" cm="1">
        <f t="array" ref="AC190">_xlfn.IFNA(
    _xlfn.IFS(
        Z190="Shareholder","Shareholder",
        Z190="Same Company","Same Company",
        Z190="Bank","Bank",
        Z190="Government","Government",
        Z190="Social Insurance Agency","Government",
        Z190="Parent Company","Customer",
        Z190="Lender","Lender",
        Z190="Unknown","Unknown",
        ISNUMBER(SEARCH("Abdullah Abdulkarim",M190)),"Service Provider",
        ISNUMBER(SEARCH("Abdullah Fahad",M190)),"Service Provider",
        ISNUMBER(SEARCH("Advanced Equipments",M190)),"Supplier",
        ISNUMBER(SEARCH("Al Banuk Sana",M190)),"Supplier",
        ISNUMBER(SEARCH("Al Khaleefa Factory",M190)),"Supplier",
        ISNUMBER(SEARCH("Al Saadeh Trading",M190)),"Supplier",
        ISNUMBER(SEARCH("Al Zaehaan",M190)),"Supplier",
        ISNUMBER(SEARCH("Ali Abdullah K Al Darwish",M190)),"Service Provider",
        ISNUMBER(SEARCH("Bupa Arabia",M190)),"Insurance Company",
        ISNUMBER(SEARCH("Dar Fahoosaat",M190)),"Service Provider",
        ISNUMBER(SEARCH("General Authority of Zakat",M190)),"Tax Authority",
        ISNUMBER(SEARCH("Gulf Voyager",M190)),"Service Provider",
        ISNUMBER(SEARCH("Hopeway Trading",M190)),"Supplier",
        ISNUMBER(SEARCH("Interhealth Medical",M190)),"Customer",
        ISNUMBER(SEARCH("Ishaar",M190)),"Service Provider",
        ISNUMBER(SEARCH("ISO Arabia",M190)),"Service Provider",
        ISNUMBER(SEARCH("Khalid Saad Al Otaibi",M190)),"Supplier",
        ISNUMBER(SEARCH("MERAS for Decoration",M190)),"Supplier",
        ISNUMBER(SEARCH("Middle East Customs Clearance",M190)),"Service Provider",
        ISNUMBER(SEARCH("Ministry of Human Resources",M190)),"Regulatory Agency",
        ISNUMBER(SEARCH("My Business Services",M190)),"Service Provider",
        ISNUMBER(SEARCH("National Water Company",M190)),"Utility Provider",
        ISNUMBER(SEARCH("Rania Contracting",M190)),"Supplier",
        ISNUMBER(SEARCH("Sahab United Motors",M190)),"Supplier",
        ISNUMBER(SEARCH("Saudi Electric Company",M190)),"Utility Provider",
        ISNUMBER(SEARCH("Saudi Vetonit",M190)),"Supplier",
        ISNUMBER(SEARCH("Shomoul Eng",M190)),"Service Provider",
        ISNUMBER(SEARCH("STC",M190)),"Utility Provider",
        ISNUMBER(SEARCH("The General Organization for Social Insurance",M190)),"Social Insurance Agency",
        ISNUMBER(SEARCH("TUV Rheinland",M190)),"Service Provider",
        ISNUMBER(SEARCH("Al Arabia Ceramic",M190)),"Supplier",
        ISNUMBER(SEARCH("National Company for Building",M190)),"Customer",
        ISNUMBER(SEARCH("Athraa Holding",M190)),"Customer",
        ISNUMBER(SEARCH("Al Rasan",M190)),"Supplier",
        ISNUMBER(SEARCH("Raboua Al Haid",M190)),"Customer",
        ISNUMBER(SEARCH("Al Jazeera Paint",M190)),"Supplier",
        ISNUMBER(SEARCH("Rania Works Contracting",M190)),"Supplier",
        ISNUMBER(SEARCH("Bandar Jarallah",M190)),"Supplier",
        TRUE,"Supplier"
    ),
    "-"
)</f>
        <v>Customer</v>
      </c>
      <c r="AD190" s="25" t="str" cm="1">
        <f t="array" ref="AD190">_xlfn.IFNA(
    _xlfn.IFS(
        AC190="Same Company","High",
        AC190="Shareholder","High",
        AC190="Government","High",
        AC190="Bank","High",
        AC190="Lender","High",
        AC190="Unknown","Low",
        AC190="-","Low",
        TRUE,"Medium"
    ),
    "-"
)</f>
        <v>Medium</v>
      </c>
      <c r="AE190" s="25" t="str">
        <f t="shared" si="10"/>
        <v>-</v>
      </c>
      <c r="AF190" s="25" t="str" cm="1">
        <f t="array" ref="AF190">_xlfn.IFNA(
    _xlfn.IFS(
        K190="Credit",
            _xlfn.IFS(
                OR(ISNUMBER(SEARCH("Rejected",L190)),ISNUMBER(SEARCH("Returned",L190))),"Other Income",
                TRUE,"Revenue"
            ),
        K190="Debit",
            _xlfn.IFS(
                ISNUMBER(SEARCH("Payroll",L190)),"OPEX",
                ISNUMBER(SEARCH("Expatriate",L190)),"OPEX",
                ISNUMBER(SEARCH("Zakat",M190)),"ZATCA",
                ISNUMBER(SEARCH("General Organization for Social Insurance",M190)),"OPEX",
                ISNUMBER(SEARCH("Saudi Electric",M190)),"OPEX",
                ISNUMBER(SEARCH("STC",M190)),"OPEX",
                ISNUMBER(SEARCH("National Water",M190)),"OPEX",
                ISNUMBER(SEARCH("Bupa",M190)),"OPEX",
                ISNUMBER(SEARCH("Abdullah Abdulkarim",M190)),"OPEX",
                ISNUMBER(SEARCH("Abdullah Fahad",M190)),"OPEX",
                ISNUMBER(SEARCH("ISO Arabia",M190)),"OPEX",
                ISNUMBER(SEARCH("Gulf Voyager",M190)),"OPEX",
                ISNUMBER(SEARCH("Ministry",M190)),"OPEX",
                ISNUMBER(SEARCH("General Authority of Zakat",M190)),"ZATCA",
                ISNUMBER(SEARCH("Rejected",L190)),"Other Income",
                TRUE,"COGS"
            ),
        TRUE,"-"
    ),
    "-"
)</f>
        <v>Revenue</v>
      </c>
      <c r="AG190" s="25" t="str" cm="1">
        <f t="array" ref="AG190">_xlfn.IFNA(
    _xlfn.IFS(
        ISNUMBER(SEARCH("Payroll",L190)),"Payroll",
        ISNUMBER(SEARCH("Expatriate",L190)),"Government Fees",
        ISNUMBER(SEARCH("Zakat",M190)),"Zakat",
        ISNUMBER(SEARCH("Social Insurance",M190)),"Social Insurance",
        ISNUMBER(SEARCH("Saudi Electric",M190)),"Electricity",
        ISNUMBER(SEARCH("STC",M190)),"Telecom",
        ISNUMBER(SEARCH("National Water",M190)),"Water",
        ISNUMBER(SEARCH("Bupa",M190)),"Insurance",
        ISNUMBER(SEARCH("Gulf Voyager",M190)),"Travel",
        ISNUMBER(SEARCH("Ministry",M190)),"Government Fees",
        ISNUMBER(SEARCH("Abdullah Abdulkarim",M190)),"Consulting",
        ISNUMBER(SEARCH("Abdullah Fahad",M190)),"Accounting",
        ISNUMBER(SEARCH("ISO Arabia",M190)),"Consulting",
        ISNUMBER(SEARCH("Rejected",L190)),"Refund",
        AF190="COGS","Inventory Purchase",
        AF190="Revenue","Revenue",
        AF190="OPEX","Other",
        AF190="ZATCA","Zakat",
        TRUE,"-"
    ),
    "-"
)</f>
        <v>Revenue</v>
      </c>
      <c r="AH190" s="25" t="str" cm="1">
        <f t="array" ref="AH190">_xlfn.IFNA(
    _xlfn.IFS(
        AF190="-","Low",
        AF190="Other","Low",
        TRUE,"Medium"
    ),
    "-"
)</f>
        <v>Medium</v>
      </c>
      <c r="AI190" s="25" t="str">
        <f t="shared" si="11"/>
        <v>-</v>
      </c>
    </row>
    <row r="191" spans="1:35" x14ac:dyDescent="0.25">
      <c r="A191" s="10">
        <v>59</v>
      </c>
      <c r="B191" s="10" t="s">
        <v>35</v>
      </c>
      <c r="C191" s="10" t="s">
        <v>36</v>
      </c>
      <c r="D191" s="10" t="s">
        <v>37</v>
      </c>
      <c r="E191" s="10" t="s">
        <v>38</v>
      </c>
      <c r="F191" s="11" t="s">
        <v>39</v>
      </c>
      <c r="G191" s="11" t="s">
        <v>40</v>
      </c>
      <c r="H191" s="12">
        <v>45049</v>
      </c>
      <c r="I191" s="20">
        <v>116792.92</v>
      </c>
      <c r="J191" s="20">
        <v>100000</v>
      </c>
      <c r="K191" s="10" t="s">
        <v>116</v>
      </c>
      <c r="L191" s="9" t="s">
        <v>230</v>
      </c>
      <c r="M191" s="9" t="s">
        <v>231</v>
      </c>
      <c r="N191" s="9" t="s">
        <v>232</v>
      </c>
      <c r="O191" s="9" t="s">
        <v>233</v>
      </c>
      <c r="P191" s="15">
        <v>45049</v>
      </c>
      <c r="Q191" s="9" t="s">
        <v>284</v>
      </c>
      <c r="R191" s="16">
        <v>100000</v>
      </c>
      <c r="U191" s="9" t="s">
        <v>55</v>
      </c>
      <c r="V191" s="24" t="str" cm="1">
        <f t="array" ref="V191">_xlfn.IFNA(
    _xlfn.IFS(
        ISNUMBER(SEARCH("Fast Outgoing Transfer",L191)),"Transfer",
        ISNUMBER(SEARCH("Incoming Fast Transfer",L191)),"Transfer",
        ISNUMBER(SEARCH("Outgoing International Transfer",L191)),"Transfer",
        ISNUMBER(SEARCH("Bill Payment",L191)),"SADAD",
        ISNUMBER(SEARCH("Payroll",L191)),"Payroll",
        ISNUMBER(SEARCH("Cash Deposit",L191)),"Cash",
        ISNUMBER(SEARCH("Internal Transfer",L191)),"Transfer",
        ISNUMBER(SEARCH("Expatriate Services Payment",L191)),"SADAD",
        ISNUMBER(SEARCH("Rejected",L191)),"Transfer"
    ),
    "-"
)</f>
        <v>Transfer</v>
      </c>
      <c r="W191" s="25" t="str" cm="1">
        <f t="array" ref="W191">_xlfn.IFNA(
    _xlfn.IFS(
        AND(V191="Transfer",ISNUMBER(SEARCH("RIYAD BANK",L191))),"External FI",
        AND(V191="Transfer",ISNUMBER(SEARCH("Al Ahli",L191))),"External FI",
        AND(V191="Transfer",ISNUMBER(SEARCH("CIB via",L191))),"Local Transfer",
        AND(V191="Transfer",ISNUMBER(SEARCH("CIB)",L191))),"Local Transfer",
        AND(V191="Transfer",ISNUMBER(SEARCH("SMRT",L191))),"Local Transfer",
        AND(V191="Transfer",ISNUMBER(SEARCH("Al Murabba",L191))),"Local Transfer",
        AND(V191="Transfer",ISNUMBER(SEARCH("Internal Transfer",L191))),"Same FI",
        AND(V191="Transfer",ISNUMBER(SEARCH("Rejected",L191))),"Failed",
        V191="SADAD",
            _xlfn.IFS(
                ISNUMBER(SEARCH("Expatriate",L191)),"Expat Fees",
                TRUE,"Online Payment"
            ),
        V191="Payroll","Payroll",
        V191="Cash","Deposit",
        TRUE,"-"
    ),
    "-"
)</f>
        <v>External FI</v>
      </c>
      <c r="X191" s="25" t="str" cm="1">
        <f t="array" ref="X191">_xlfn.IFNA(
    _xlfn.IFS(
        V191="-","Low",
        W191="-","Low",
        TRUE,"High"
    ),
    "-"
)</f>
        <v>High</v>
      </c>
      <c r="Y191" s="25" t="str">
        <f t="shared" si="8"/>
        <v>-</v>
      </c>
      <c r="Z191" s="25" t="str" cm="1">
        <f t="array" ref="Z191">_xlfn.IFNA(
    _xlfn.IFS(
        ISNUMBER(SEARCH("Abdul Latif Jameel",M191)),"Lender",
        ISNUMBER(SEARCH("Abdullah Abdulkarim Al Sudais",M191)),"Accounting",
        ISNUMBER(SEARCH("Abdullah Fahad for Accounting",M191)),"Accounting",
        ISNUMBER(SEARCH("Abdullah Rashid Shaikh",M191)),"Shareholder",
        ISNUMBER(SEARCH("Advanced Equipments",M191)),"Equipment Rental",
        ISNUMBER(SEARCH("Al Banuk Sana",M191)),"Telecom Company",
        ISNUMBER(SEARCH("Al Khaleefa Factory",M191)),"Manufacturer",
        ISNUMBER(SEARCH("Al Saadeh Trading",M191)),"Trading Company",
        ISNUMBER(SEARCH("Al Zaehaan",M191)),"Trading Company",
        ISNUMBER(SEARCH("Ali Abdullah K Al Darwish",M191)),"Airlines",
        ISNUMBER(SEARCH("Bupa Arabia",M191)),"Health Insurance",
        ISNUMBER(SEARCH("Dar Fahoosaat",M191)),"Consultant",
        ISNUMBER(SEARCH("General Authority of Zakat",M191)),"Tax Collection",
        ISNUMBER(SEARCH("Gulf Voyager",M191)),"Travel Agency",
        ISNUMBER(SEARCH("Hopeway Trading",M191)),"Trading Company",
        ISNUMBER(SEARCH("Interhealth Medical",M191)),"Medical Services",
        ISNUMBER(SEARCH("Ishaar",M191)),"Online Payment Service",
        ISNUMBER(SEARCH("ISO Arabia",M191)),"Certification",
        ISNUMBER(SEARCH("Khalid Saad Al Otaibi",M191)),"Trading Company",
        ISNUMBER(SEARCH("MERAS for Decoration",M191)),"Decor Company",
        ISNUMBER(SEARCH("Middle East Customs Clearance",M191)),"Customs",
        ISNUMBER(SEARCH("Ministry of Human Resources",M191)),"Government",
        ISNUMBER(SEARCH("My Business Services",M191)),"Service Provider",
        ISNUMBER(SEARCH("National Water Company",M191)),"Water Company",
        ISNUMBER(SEARCH("Rania Contracting",M191)),"Contracting",
        ISNUMBER(SEARCH("Rashid Ali Sheikh",M191)),"Shareholder",
        ISNUMBER(SEARCH("Sahab United Motors",M191)),"Car Show Room",
        ISNUMBER(SEARCH("Saud Mohammed Al Tamimi",M191)),"Shareholder",
        ISNUMBER(SEARCH("Saud Mohammed Tamimi",M191)),"Shareholder",
        ISNUMBER(SEARCH("Saudi Electric Company",M191)),"Electricity Company",
        ISNUMBER(SEARCH("Saudi Vetonit",M191)),"Building Materials",
        ISNUMBER(SEARCH("Shomoul Eng",M191)),"Safety",
        ISNUMBER(SEARCH("STC",M191)),"Telecom Company",
        ISNUMBER(SEARCH("The General Organization for Social Insurance",M191)),"Social Insurance Agency",
        ISNUMBER(SEARCH("TUV Rheinland",M191)),"Certification",
        ISNUMBER(SEARCH("Al Arabia Ceramic",M191)),"Building Materials",
        ISNUMBER(SEARCH("National Company for Building and Marketing",M191)),"Parent Company",
        ISNUMBER(SEARCH("Athraa Holding",M191)),"Holding Company",
        ISNUMBER(SEARCH("Al Rasan",M191)),"Contracting",
        ISNUMBER(SEARCH("Raboua Al Haid",M191)),"Trading Company",
        ISNUMBER(SEARCH("Al Jazeera Paint",M191)),"Manufacturer",
        ISNUMBER(SEARCH("Rania Works Contracting",M191)),"Contracting",
        ISNUMBER(SEARCH("Bandar Jarallah",M191)),"Trading Establishment",
        ISNUMBER(SEARCH("RS Infratec Saudi",M191)),"Same Company",
        ISNUMBER(SEARCH("Payroll",M191)),"Bank",
        ISNUMBER(SEARCH("Expatriate",M191)),"Government",
        ISNUMBER(SEARCH("Unknown Sender",M191)),"Unknown",
        TRUE,"Unknown"
    ),
    "-"
)</f>
        <v>Parent Company</v>
      </c>
      <c r="AA191" s="25" t="str" cm="1">
        <f t="array" ref="AA191">_xlfn.IFNA(
    _xlfn.IFS(
        Z191="Lender","Financing",
        Z191="Accounting","Accounting",
        Z191="Shareholder","Individual",
        Z191="Equipment Rental","Equipment Rental",
        Z191="Telecom Company","Telecom",
        Z191="Manufacturer","Manufacturer",
        Z191="Trading Company","Trading And Transport",
        Z191="Trading Establishment","Trading",
        Z191="Airlines","Airlines",
        Z191="Health Insurance","Insurance",
        Z191="Consultant","Consultant",
        Z191="Tax Collection","Government",
        Z191="Travel Agency","Travel Agency",
        Z191="Medical Services","Medical Center",
        Z191="Online Payment Service","Payment Facilitator",
        Z191="Certification","Safety",
        Z191="Decor Company","Design",
        Z191="Customs","Customs",
        Z191="Government","Government",
        Z191="Service Provider","Service Provider",
        Z191="Water Company","Water Company",
        Z191="Contracting","Contracting",
        Z191="Car Show Room","Car Trader",
        Z191="Electricity Company","Electricity Company",
        Z191="Building Materials","Building Materials",
        Z191="Safety","Safety",
        Z191="Social Insurance Agency","Government Fund",
        Z191="Parent Company","Holding Company",
        Z191="Holding Company","Holding Company",
        Z191="Same Company","Construction",
        Z191="Bank","Bank",
        Z191="Unknown","Unknown",
        TRUE,"-"
    ),
    "-"
)</f>
        <v>Holding Company</v>
      </c>
      <c r="AB191" s="25" t="str">
        <f t="shared" si="9"/>
        <v>-</v>
      </c>
      <c r="AC191" s="25" t="str" cm="1">
        <f t="array" ref="AC191">_xlfn.IFNA(
    _xlfn.IFS(
        Z191="Shareholder","Shareholder",
        Z191="Same Company","Same Company",
        Z191="Bank","Bank",
        Z191="Government","Government",
        Z191="Social Insurance Agency","Government",
        Z191="Parent Company","Customer",
        Z191="Lender","Lender",
        Z191="Unknown","Unknown",
        ISNUMBER(SEARCH("Abdullah Abdulkarim",M191)),"Service Provider",
        ISNUMBER(SEARCH("Abdullah Fahad",M191)),"Service Provider",
        ISNUMBER(SEARCH("Advanced Equipments",M191)),"Supplier",
        ISNUMBER(SEARCH("Al Banuk Sana",M191)),"Supplier",
        ISNUMBER(SEARCH("Al Khaleefa Factory",M191)),"Supplier",
        ISNUMBER(SEARCH("Al Saadeh Trading",M191)),"Supplier",
        ISNUMBER(SEARCH("Al Zaehaan",M191)),"Supplier",
        ISNUMBER(SEARCH("Ali Abdullah K Al Darwish",M191)),"Service Provider",
        ISNUMBER(SEARCH("Bupa Arabia",M191)),"Insurance Company",
        ISNUMBER(SEARCH("Dar Fahoosaat",M191)),"Service Provider",
        ISNUMBER(SEARCH("General Authority of Zakat",M191)),"Tax Authority",
        ISNUMBER(SEARCH("Gulf Voyager",M191)),"Service Provider",
        ISNUMBER(SEARCH("Hopeway Trading",M191)),"Supplier",
        ISNUMBER(SEARCH("Interhealth Medical",M191)),"Customer",
        ISNUMBER(SEARCH("Ishaar",M191)),"Service Provider",
        ISNUMBER(SEARCH("ISO Arabia",M191)),"Service Provider",
        ISNUMBER(SEARCH("Khalid Saad Al Otaibi",M191)),"Supplier",
        ISNUMBER(SEARCH("MERAS for Decoration",M191)),"Supplier",
        ISNUMBER(SEARCH("Middle East Customs Clearance",M191)),"Service Provider",
        ISNUMBER(SEARCH("Ministry of Human Resources",M191)),"Regulatory Agency",
        ISNUMBER(SEARCH("My Business Services",M191)),"Service Provider",
        ISNUMBER(SEARCH("National Water Company",M191)),"Utility Provider",
        ISNUMBER(SEARCH("Rania Contracting",M191)),"Supplier",
        ISNUMBER(SEARCH("Sahab United Motors",M191)),"Supplier",
        ISNUMBER(SEARCH("Saudi Electric Company",M191)),"Utility Provider",
        ISNUMBER(SEARCH("Saudi Vetonit",M191)),"Supplier",
        ISNUMBER(SEARCH("Shomoul Eng",M191)),"Service Provider",
        ISNUMBER(SEARCH("STC",M191)),"Utility Provider",
        ISNUMBER(SEARCH("The General Organization for Social Insurance",M191)),"Social Insurance Agency",
        ISNUMBER(SEARCH("TUV Rheinland",M191)),"Service Provider",
        ISNUMBER(SEARCH("Al Arabia Ceramic",M191)),"Supplier",
        ISNUMBER(SEARCH("National Company for Building",M191)),"Customer",
        ISNUMBER(SEARCH("Athraa Holding",M191)),"Customer",
        ISNUMBER(SEARCH("Al Rasan",M191)),"Supplier",
        ISNUMBER(SEARCH("Raboua Al Haid",M191)),"Customer",
        ISNUMBER(SEARCH("Al Jazeera Paint",M191)),"Supplier",
        ISNUMBER(SEARCH("Rania Works Contracting",M191)),"Supplier",
        ISNUMBER(SEARCH("Bandar Jarallah",M191)),"Supplier",
        TRUE,"Supplier"
    ),
    "-"
)</f>
        <v>Customer</v>
      </c>
      <c r="AD191" s="25" t="str" cm="1">
        <f t="array" ref="AD191">_xlfn.IFNA(
    _xlfn.IFS(
        AC191="Same Company","High",
        AC191="Shareholder","High",
        AC191="Government","High",
        AC191="Bank","High",
        AC191="Lender","High",
        AC191="Unknown","Low",
        AC191="-","Low",
        TRUE,"Medium"
    ),
    "-"
)</f>
        <v>Medium</v>
      </c>
      <c r="AE191" s="25" t="str">
        <f t="shared" si="10"/>
        <v>-</v>
      </c>
      <c r="AF191" s="25" t="str" cm="1">
        <f t="array" ref="AF191">_xlfn.IFNA(
    _xlfn.IFS(
        K191="Credit",
            _xlfn.IFS(
                OR(ISNUMBER(SEARCH("Rejected",L191)),ISNUMBER(SEARCH("Returned",L191))),"Other Income",
                TRUE,"Revenue"
            ),
        K191="Debit",
            _xlfn.IFS(
                ISNUMBER(SEARCH("Payroll",L191)),"OPEX",
                ISNUMBER(SEARCH("Expatriate",L191)),"OPEX",
                ISNUMBER(SEARCH("Zakat",M191)),"ZATCA",
                ISNUMBER(SEARCH("General Organization for Social Insurance",M191)),"OPEX",
                ISNUMBER(SEARCH("Saudi Electric",M191)),"OPEX",
                ISNUMBER(SEARCH("STC",M191)),"OPEX",
                ISNUMBER(SEARCH("National Water",M191)),"OPEX",
                ISNUMBER(SEARCH("Bupa",M191)),"OPEX",
                ISNUMBER(SEARCH("Abdullah Abdulkarim",M191)),"OPEX",
                ISNUMBER(SEARCH("Abdullah Fahad",M191)),"OPEX",
                ISNUMBER(SEARCH("ISO Arabia",M191)),"OPEX",
                ISNUMBER(SEARCH("Gulf Voyager",M191)),"OPEX",
                ISNUMBER(SEARCH("Ministry",M191)),"OPEX",
                ISNUMBER(SEARCH("General Authority of Zakat",M191)),"ZATCA",
                ISNUMBER(SEARCH("Rejected",L191)),"Other Income",
                TRUE,"COGS"
            ),
        TRUE,"-"
    ),
    "-"
)</f>
        <v>Revenue</v>
      </c>
      <c r="AG191" s="25" t="str" cm="1">
        <f t="array" ref="AG191">_xlfn.IFNA(
    _xlfn.IFS(
        ISNUMBER(SEARCH("Payroll",L191)),"Payroll",
        ISNUMBER(SEARCH("Expatriate",L191)),"Government Fees",
        ISNUMBER(SEARCH("Zakat",M191)),"Zakat",
        ISNUMBER(SEARCH("Social Insurance",M191)),"Social Insurance",
        ISNUMBER(SEARCH("Saudi Electric",M191)),"Electricity",
        ISNUMBER(SEARCH("STC",M191)),"Telecom",
        ISNUMBER(SEARCH("National Water",M191)),"Water",
        ISNUMBER(SEARCH("Bupa",M191)),"Insurance",
        ISNUMBER(SEARCH("Gulf Voyager",M191)),"Travel",
        ISNUMBER(SEARCH("Ministry",M191)),"Government Fees",
        ISNUMBER(SEARCH("Abdullah Abdulkarim",M191)),"Consulting",
        ISNUMBER(SEARCH("Abdullah Fahad",M191)),"Accounting",
        ISNUMBER(SEARCH("ISO Arabia",M191)),"Consulting",
        ISNUMBER(SEARCH("Rejected",L191)),"Refund",
        AF191="COGS","Inventory Purchase",
        AF191="Revenue","Revenue",
        AF191="OPEX","Other",
        AF191="ZATCA","Zakat",
        TRUE,"-"
    ),
    "-"
)</f>
        <v>Revenue</v>
      </c>
      <c r="AH191" s="25" t="str" cm="1">
        <f t="array" ref="AH191">_xlfn.IFNA(
    _xlfn.IFS(
        AF191="-","Low",
        AF191="Other","Low",
        TRUE,"Medium"
    ),
    "-"
)</f>
        <v>Medium</v>
      </c>
      <c r="AI191" s="25" t="str">
        <f t="shared" si="11"/>
        <v>-</v>
      </c>
    </row>
    <row r="192" spans="1:35" x14ac:dyDescent="0.25">
      <c r="A192" s="10">
        <v>59</v>
      </c>
      <c r="B192" s="10" t="s">
        <v>35</v>
      </c>
      <c r="C192" s="10" t="s">
        <v>36</v>
      </c>
      <c r="D192" s="10" t="s">
        <v>37</v>
      </c>
      <c r="E192" s="10" t="s">
        <v>38</v>
      </c>
      <c r="F192" s="11" t="s">
        <v>39</v>
      </c>
      <c r="G192" s="11" t="s">
        <v>40</v>
      </c>
      <c r="H192" s="12">
        <v>45053</v>
      </c>
      <c r="I192" s="20">
        <v>100227.2</v>
      </c>
      <c r="J192" s="20">
        <v>100000</v>
      </c>
      <c r="K192" s="10" t="s">
        <v>116</v>
      </c>
      <c r="L192" s="9" t="s">
        <v>230</v>
      </c>
      <c r="M192" s="9" t="s">
        <v>231</v>
      </c>
      <c r="N192" s="9" t="s">
        <v>232</v>
      </c>
      <c r="O192" s="9" t="s">
        <v>233</v>
      </c>
      <c r="P192" s="15">
        <v>45053</v>
      </c>
      <c r="Q192" s="9" t="s">
        <v>285</v>
      </c>
      <c r="R192" s="16">
        <v>100000</v>
      </c>
      <c r="U192" s="9" t="s">
        <v>55</v>
      </c>
      <c r="V192" s="24" t="str" cm="1">
        <f t="array" ref="V192">_xlfn.IFNA(
    _xlfn.IFS(
        ISNUMBER(SEARCH("Fast Outgoing Transfer",L192)),"Transfer",
        ISNUMBER(SEARCH("Incoming Fast Transfer",L192)),"Transfer",
        ISNUMBER(SEARCH("Outgoing International Transfer",L192)),"Transfer",
        ISNUMBER(SEARCH("Bill Payment",L192)),"SADAD",
        ISNUMBER(SEARCH("Payroll",L192)),"Payroll",
        ISNUMBER(SEARCH("Cash Deposit",L192)),"Cash",
        ISNUMBER(SEARCH("Internal Transfer",L192)),"Transfer",
        ISNUMBER(SEARCH("Expatriate Services Payment",L192)),"SADAD",
        ISNUMBER(SEARCH("Rejected",L192)),"Transfer"
    ),
    "-"
)</f>
        <v>Transfer</v>
      </c>
      <c r="W192" s="25" t="str" cm="1">
        <f t="array" ref="W192">_xlfn.IFNA(
    _xlfn.IFS(
        AND(V192="Transfer",ISNUMBER(SEARCH("RIYAD BANK",L192))),"External FI",
        AND(V192="Transfer",ISNUMBER(SEARCH("Al Ahli",L192))),"External FI",
        AND(V192="Transfer",ISNUMBER(SEARCH("CIB via",L192))),"Local Transfer",
        AND(V192="Transfer",ISNUMBER(SEARCH("CIB)",L192))),"Local Transfer",
        AND(V192="Transfer",ISNUMBER(SEARCH("SMRT",L192))),"Local Transfer",
        AND(V192="Transfer",ISNUMBER(SEARCH("Al Murabba",L192))),"Local Transfer",
        AND(V192="Transfer",ISNUMBER(SEARCH("Internal Transfer",L192))),"Same FI",
        AND(V192="Transfer",ISNUMBER(SEARCH("Rejected",L192))),"Failed",
        V192="SADAD",
            _xlfn.IFS(
                ISNUMBER(SEARCH("Expatriate",L192)),"Expat Fees",
                TRUE,"Online Payment"
            ),
        V192="Payroll","Payroll",
        V192="Cash","Deposit",
        TRUE,"-"
    ),
    "-"
)</f>
        <v>External FI</v>
      </c>
      <c r="X192" s="25" t="str" cm="1">
        <f t="array" ref="X192">_xlfn.IFNA(
    _xlfn.IFS(
        V192="-","Low",
        W192="-","Low",
        TRUE,"High"
    ),
    "-"
)</f>
        <v>High</v>
      </c>
      <c r="Y192" s="25" t="str">
        <f t="shared" si="8"/>
        <v>-</v>
      </c>
      <c r="Z192" s="25" t="str" cm="1">
        <f t="array" ref="Z192">_xlfn.IFNA(
    _xlfn.IFS(
        ISNUMBER(SEARCH("Abdul Latif Jameel",M192)),"Lender",
        ISNUMBER(SEARCH("Abdullah Abdulkarim Al Sudais",M192)),"Accounting",
        ISNUMBER(SEARCH("Abdullah Fahad for Accounting",M192)),"Accounting",
        ISNUMBER(SEARCH("Abdullah Rashid Shaikh",M192)),"Shareholder",
        ISNUMBER(SEARCH("Advanced Equipments",M192)),"Equipment Rental",
        ISNUMBER(SEARCH("Al Banuk Sana",M192)),"Telecom Company",
        ISNUMBER(SEARCH("Al Khaleefa Factory",M192)),"Manufacturer",
        ISNUMBER(SEARCH("Al Saadeh Trading",M192)),"Trading Company",
        ISNUMBER(SEARCH("Al Zaehaan",M192)),"Trading Company",
        ISNUMBER(SEARCH("Ali Abdullah K Al Darwish",M192)),"Airlines",
        ISNUMBER(SEARCH("Bupa Arabia",M192)),"Health Insurance",
        ISNUMBER(SEARCH("Dar Fahoosaat",M192)),"Consultant",
        ISNUMBER(SEARCH("General Authority of Zakat",M192)),"Tax Collection",
        ISNUMBER(SEARCH("Gulf Voyager",M192)),"Travel Agency",
        ISNUMBER(SEARCH("Hopeway Trading",M192)),"Trading Company",
        ISNUMBER(SEARCH("Interhealth Medical",M192)),"Medical Services",
        ISNUMBER(SEARCH("Ishaar",M192)),"Online Payment Service",
        ISNUMBER(SEARCH("ISO Arabia",M192)),"Certification",
        ISNUMBER(SEARCH("Khalid Saad Al Otaibi",M192)),"Trading Company",
        ISNUMBER(SEARCH("MERAS for Decoration",M192)),"Decor Company",
        ISNUMBER(SEARCH("Middle East Customs Clearance",M192)),"Customs",
        ISNUMBER(SEARCH("Ministry of Human Resources",M192)),"Government",
        ISNUMBER(SEARCH("My Business Services",M192)),"Service Provider",
        ISNUMBER(SEARCH("National Water Company",M192)),"Water Company",
        ISNUMBER(SEARCH("Rania Contracting",M192)),"Contracting",
        ISNUMBER(SEARCH("Rashid Ali Sheikh",M192)),"Shareholder",
        ISNUMBER(SEARCH("Sahab United Motors",M192)),"Car Show Room",
        ISNUMBER(SEARCH("Saud Mohammed Al Tamimi",M192)),"Shareholder",
        ISNUMBER(SEARCH("Saud Mohammed Tamimi",M192)),"Shareholder",
        ISNUMBER(SEARCH("Saudi Electric Company",M192)),"Electricity Company",
        ISNUMBER(SEARCH("Saudi Vetonit",M192)),"Building Materials",
        ISNUMBER(SEARCH("Shomoul Eng",M192)),"Safety",
        ISNUMBER(SEARCH("STC",M192)),"Telecom Company",
        ISNUMBER(SEARCH("The General Organization for Social Insurance",M192)),"Social Insurance Agency",
        ISNUMBER(SEARCH("TUV Rheinland",M192)),"Certification",
        ISNUMBER(SEARCH("Al Arabia Ceramic",M192)),"Building Materials",
        ISNUMBER(SEARCH("National Company for Building and Marketing",M192)),"Parent Company",
        ISNUMBER(SEARCH("Athraa Holding",M192)),"Holding Company",
        ISNUMBER(SEARCH("Al Rasan",M192)),"Contracting",
        ISNUMBER(SEARCH("Raboua Al Haid",M192)),"Trading Company",
        ISNUMBER(SEARCH("Al Jazeera Paint",M192)),"Manufacturer",
        ISNUMBER(SEARCH("Rania Works Contracting",M192)),"Contracting",
        ISNUMBER(SEARCH("Bandar Jarallah",M192)),"Trading Establishment",
        ISNUMBER(SEARCH("RS Infratec Saudi",M192)),"Same Company",
        ISNUMBER(SEARCH("Payroll",M192)),"Bank",
        ISNUMBER(SEARCH("Expatriate",M192)),"Government",
        ISNUMBER(SEARCH("Unknown Sender",M192)),"Unknown",
        TRUE,"Unknown"
    ),
    "-"
)</f>
        <v>Parent Company</v>
      </c>
      <c r="AA192" s="25" t="str" cm="1">
        <f t="array" ref="AA192">_xlfn.IFNA(
    _xlfn.IFS(
        Z192="Lender","Financing",
        Z192="Accounting","Accounting",
        Z192="Shareholder","Individual",
        Z192="Equipment Rental","Equipment Rental",
        Z192="Telecom Company","Telecom",
        Z192="Manufacturer","Manufacturer",
        Z192="Trading Company","Trading And Transport",
        Z192="Trading Establishment","Trading",
        Z192="Airlines","Airlines",
        Z192="Health Insurance","Insurance",
        Z192="Consultant","Consultant",
        Z192="Tax Collection","Government",
        Z192="Travel Agency","Travel Agency",
        Z192="Medical Services","Medical Center",
        Z192="Online Payment Service","Payment Facilitator",
        Z192="Certification","Safety",
        Z192="Decor Company","Design",
        Z192="Customs","Customs",
        Z192="Government","Government",
        Z192="Service Provider","Service Provider",
        Z192="Water Company","Water Company",
        Z192="Contracting","Contracting",
        Z192="Car Show Room","Car Trader",
        Z192="Electricity Company","Electricity Company",
        Z192="Building Materials","Building Materials",
        Z192="Safety","Safety",
        Z192="Social Insurance Agency","Government Fund",
        Z192="Parent Company","Holding Company",
        Z192="Holding Company","Holding Company",
        Z192="Same Company","Construction",
        Z192="Bank","Bank",
        Z192="Unknown","Unknown",
        TRUE,"-"
    ),
    "-"
)</f>
        <v>Holding Company</v>
      </c>
      <c r="AB192" s="25" t="str">
        <f t="shared" si="9"/>
        <v>-</v>
      </c>
      <c r="AC192" s="25" t="str" cm="1">
        <f t="array" ref="AC192">_xlfn.IFNA(
    _xlfn.IFS(
        Z192="Shareholder","Shareholder",
        Z192="Same Company","Same Company",
        Z192="Bank","Bank",
        Z192="Government","Government",
        Z192="Social Insurance Agency","Government",
        Z192="Parent Company","Customer",
        Z192="Lender","Lender",
        Z192="Unknown","Unknown",
        ISNUMBER(SEARCH("Abdullah Abdulkarim",M192)),"Service Provider",
        ISNUMBER(SEARCH("Abdullah Fahad",M192)),"Service Provider",
        ISNUMBER(SEARCH("Advanced Equipments",M192)),"Supplier",
        ISNUMBER(SEARCH("Al Banuk Sana",M192)),"Supplier",
        ISNUMBER(SEARCH("Al Khaleefa Factory",M192)),"Supplier",
        ISNUMBER(SEARCH("Al Saadeh Trading",M192)),"Supplier",
        ISNUMBER(SEARCH("Al Zaehaan",M192)),"Supplier",
        ISNUMBER(SEARCH("Ali Abdullah K Al Darwish",M192)),"Service Provider",
        ISNUMBER(SEARCH("Bupa Arabia",M192)),"Insurance Company",
        ISNUMBER(SEARCH("Dar Fahoosaat",M192)),"Service Provider",
        ISNUMBER(SEARCH("General Authority of Zakat",M192)),"Tax Authority",
        ISNUMBER(SEARCH("Gulf Voyager",M192)),"Service Provider",
        ISNUMBER(SEARCH("Hopeway Trading",M192)),"Supplier",
        ISNUMBER(SEARCH("Interhealth Medical",M192)),"Customer",
        ISNUMBER(SEARCH("Ishaar",M192)),"Service Provider",
        ISNUMBER(SEARCH("ISO Arabia",M192)),"Service Provider",
        ISNUMBER(SEARCH("Khalid Saad Al Otaibi",M192)),"Supplier",
        ISNUMBER(SEARCH("MERAS for Decoration",M192)),"Supplier",
        ISNUMBER(SEARCH("Middle East Customs Clearance",M192)),"Service Provider",
        ISNUMBER(SEARCH("Ministry of Human Resources",M192)),"Regulatory Agency",
        ISNUMBER(SEARCH("My Business Services",M192)),"Service Provider",
        ISNUMBER(SEARCH("National Water Company",M192)),"Utility Provider",
        ISNUMBER(SEARCH("Rania Contracting",M192)),"Supplier",
        ISNUMBER(SEARCH("Sahab United Motors",M192)),"Supplier",
        ISNUMBER(SEARCH("Saudi Electric Company",M192)),"Utility Provider",
        ISNUMBER(SEARCH("Saudi Vetonit",M192)),"Supplier",
        ISNUMBER(SEARCH("Shomoul Eng",M192)),"Service Provider",
        ISNUMBER(SEARCH("STC",M192)),"Utility Provider",
        ISNUMBER(SEARCH("The General Organization for Social Insurance",M192)),"Social Insurance Agency",
        ISNUMBER(SEARCH("TUV Rheinland",M192)),"Service Provider",
        ISNUMBER(SEARCH("Al Arabia Ceramic",M192)),"Supplier",
        ISNUMBER(SEARCH("National Company for Building",M192)),"Customer",
        ISNUMBER(SEARCH("Athraa Holding",M192)),"Customer",
        ISNUMBER(SEARCH("Al Rasan",M192)),"Supplier",
        ISNUMBER(SEARCH("Raboua Al Haid",M192)),"Customer",
        ISNUMBER(SEARCH("Al Jazeera Paint",M192)),"Supplier",
        ISNUMBER(SEARCH("Rania Works Contracting",M192)),"Supplier",
        ISNUMBER(SEARCH("Bandar Jarallah",M192)),"Supplier",
        TRUE,"Supplier"
    ),
    "-"
)</f>
        <v>Customer</v>
      </c>
      <c r="AD192" s="25" t="str" cm="1">
        <f t="array" ref="AD192">_xlfn.IFNA(
    _xlfn.IFS(
        AC192="Same Company","High",
        AC192="Shareholder","High",
        AC192="Government","High",
        AC192="Bank","High",
        AC192="Lender","High",
        AC192="Unknown","Low",
        AC192="-","Low",
        TRUE,"Medium"
    ),
    "-"
)</f>
        <v>Medium</v>
      </c>
      <c r="AE192" s="25" t="str">
        <f t="shared" si="10"/>
        <v>-</v>
      </c>
      <c r="AF192" s="25" t="str" cm="1">
        <f t="array" ref="AF192">_xlfn.IFNA(
    _xlfn.IFS(
        K192="Credit",
            _xlfn.IFS(
                OR(ISNUMBER(SEARCH("Rejected",L192)),ISNUMBER(SEARCH("Returned",L192))),"Other Income",
                TRUE,"Revenue"
            ),
        K192="Debit",
            _xlfn.IFS(
                ISNUMBER(SEARCH("Payroll",L192)),"OPEX",
                ISNUMBER(SEARCH("Expatriate",L192)),"OPEX",
                ISNUMBER(SEARCH("Zakat",M192)),"ZATCA",
                ISNUMBER(SEARCH("General Organization for Social Insurance",M192)),"OPEX",
                ISNUMBER(SEARCH("Saudi Electric",M192)),"OPEX",
                ISNUMBER(SEARCH("STC",M192)),"OPEX",
                ISNUMBER(SEARCH("National Water",M192)),"OPEX",
                ISNUMBER(SEARCH("Bupa",M192)),"OPEX",
                ISNUMBER(SEARCH("Abdullah Abdulkarim",M192)),"OPEX",
                ISNUMBER(SEARCH("Abdullah Fahad",M192)),"OPEX",
                ISNUMBER(SEARCH("ISO Arabia",M192)),"OPEX",
                ISNUMBER(SEARCH("Gulf Voyager",M192)),"OPEX",
                ISNUMBER(SEARCH("Ministry",M192)),"OPEX",
                ISNUMBER(SEARCH("General Authority of Zakat",M192)),"ZATCA",
                ISNUMBER(SEARCH("Rejected",L192)),"Other Income",
                TRUE,"COGS"
            ),
        TRUE,"-"
    ),
    "-"
)</f>
        <v>Revenue</v>
      </c>
      <c r="AG192" s="25" t="str" cm="1">
        <f t="array" ref="AG192">_xlfn.IFNA(
    _xlfn.IFS(
        ISNUMBER(SEARCH("Payroll",L192)),"Payroll",
        ISNUMBER(SEARCH("Expatriate",L192)),"Government Fees",
        ISNUMBER(SEARCH("Zakat",M192)),"Zakat",
        ISNUMBER(SEARCH("Social Insurance",M192)),"Social Insurance",
        ISNUMBER(SEARCH("Saudi Electric",M192)),"Electricity",
        ISNUMBER(SEARCH("STC",M192)),"Telecom",
        ISNUMBER(SEARCH("National Water",M192)),"Water",
        ISNUMBER(SEARCH("Bupa",M192)),"Insurance",
        ISNUMBER(SEARCH("Gulf Voyager",M192)),"Travel",
        ISNUMBER(SEARCH("Ministry",M192)),"Government Fees",
        ISNUMBER(SEARCH("Abdullah Abdulkarim",M192)),"Consulting",
        ISNUMBER(SEARCH("Abdullah Fahad",M192)),"Accounting",
        ISNUMBER(SEARCH("ISO Arabia",M192)),"Consulting",
        ISNUMBER(SEARCH("Rejected",L192)),"Refund",
        AF192="COGS","Inventory Purchase",
        AF192="Revenue","Revenue",
        AF192="OPEX","Other",
        AF192="ZATCA","Zakat",
        TRUE,"-"
    ),
    "-"
)</f>
        <v>Revenue</v>
      </c>
      <c r="AH192" s="25" t="str" cm="1">
        <f t="array" ref="AH192">_xlfn.IFNA(
    _xlfn.IFS(
        AF192="-","Low",
        AF192="Other","Low",
        TRUE,"Medium"
    ),
    "-"
)</f>
        <v>Medium</v>
      </c>
      <c r="AI192" s="25" t="str">
        <f t="shared" si="11"/>
        <v>-</v>
      </c>
    </row>
    <row r="193" spans="1:35" x14ac:dyDescent="0.25">
      <c r="A193" s="10">
        <v>59</v>
      </c>
      <c r="B193" s="10" t="s">
        <v>35</v>
      </c>
      <c r="C193" s="10" t="s">
        <v>36</v>
      </c>
      <c r="D193" s="10" t="s">
        <v>37</v>
      </c>
      <c r="E193" s="10" t="s">
        <v>38</v>
      </c>
      <c r="F193" s="11" t="s">
        <v>39</v>
      </c>
      <c r="G193" s="11" t="s">
        <v>40</v>
      </c>
      <c r="H193" s="12">
        <v>45055</v>
      </c>
      <c r="I193" s="20">
        <v>110722.03</v>
      </c>
      <c r="J193" s="20">
        <v>100000</v>
      </c>
      <c r="K193" s="10" t="s">
        <v>116</v>
      </c>
      <c r="L193" s="9" t="s">
        <v>230</v>
      </c>
      <c r="M193" s="9" t="s">
        <v>231</v>
      </c>
      <c r="N193" s="9" t="s">
        <v>232</v>
      </c>
      <c r="O193" s="9" t="s">
        <v>233</v>
      </c>
      <c r="P193" s="15">
        <v>45055</v>
      </c>
      <c r="Q193" s="9" t="s">
        <v>286</v>
      </c>
      <c r="R193" s="16">
        <v>100000</v>
      </c>
      <c r="U193" s="9" t="s">
        <v>55</v>
      </c>
      <c r="V193" s="24" t="str" cm="1">
        <f t="array" ref="V193">_xlfn.IFNA(
    _xlfn.IFS(
        ISNUMBER(SEARCH("Fast Outgoing Transfer",L193)),"Transfer",
        ISNUMBER(SEARCH("Incoming Fast Transfer",L193)),"Transfer",
        ISNUMBER(SEARCH("Outgoing International Transfer",L193)),"Transfer",
        ISNUMBER(SEARCH("Bill Payment",L193)),"SADAD",
        ISNUMBER(SEARCH("Payroll",L193)),"Payroll",
        ISNUMBER(SEARCH("Cash Deposit",L193)),"Cash",
        ISNUMBER(SEARCH("Internal Transfer",L193)),"Transfer",
        ISNUMBER(SEARCH("Expatriate Services Payment",L193)),"SADAD",
        ISNUMBER(SEARCH("Rejected",L193)),"Transfer"
    ),
    "-"
)</f>
        <v>Transfer</v>
      </c>
      <c r="W193" s="25" t="str" cm="1">
        <f t="array" ref="W193">_xlfn.IFNA(
    _xlfn.IFS(
        AND(V193="Transfer",ISNUMBER(SEARCH("RIYAD BANK",L193))),"External FI",
        AND(V193="Transfer",ISNUMBER(SEARCH("Al Ahli",L193))),"External FI",
        AND(V193="Transfer",ISNUMBER(SEARCH("CIB via",L193))),"Local Transfer",
        AND(V193="Transfer",ISNUMBER(SEARCH("CIB)",L193))),"Local Transfer",
        AND(V193="Transfer",ISNUMBER(SEARCH("SMRT",L193))),"Local Transfer",
        AND(V193="Transfer",ISNUMBER(SEARCH("Al Murabba",L193))),"Local Transfer",
        AND(V193="Transfer",ISNUMBER(SEARCH("Internal Transfer",L193))),"Same FI",
        AND(V193="Transfer",ISNUMBER(SEARCH("Rejected",L193))),"Failed",
        V193="SADAD",
            _xlfn.IFS(
                ISNUMBER(SEARCH("Expatriate",L193)),"Expat Fees",
                TRUE,"Online Payment"
            ),
        V193="Payroll","Payroll",
        V193="Cash","Deposit",
        TRUE,"-"
    ),
    "-"
)</f>
        <v>External FI</v>
      </c>
      <c r="X193" s="25" t="str" cm="1">
        <f t="array" ref="X193">_xlfn.IFNA(
    _xlfn.IFS(
        V193="-","Low",
        W193="-","Low",
        TRUE,"High"
    ),
    "-"
)</f>
        <v>High</v>
      </c>
      <c r="Y193" s="25" t="str">
        <f t="shared" si="8"/>
        <v>-</v>
      </c>
      <c r="Z193" s="25" t="str" cm="1">
        <f t="array" ref="Z193">_xlfn.IFNA(
    _xlfn.IFS(
        ISNUMBER(SEARCH("Abdul Latif Jameel",M193)),"Lender",
        ISNUMBER(SEARCH("Abdullah Abdulkarim Al Sudais",M193)),"Accounting",
        ISNUMBER(SEARCH("Abdullah Fahad for Accounting",M193)),"Accounting",
        ISNUMBER(SEARCH("Abdullah Rashid Shaikh",M193)),"Shareholder",
        ISNUMBER(SEARCH("Advanced Equipments",M193)),"Equipment Rental",
        ISNUMBER(SEARCH("Al Banuk Sana",M193)),"Telecom Company",
        ISNUMBER(SEARCH("Al Khaleefa Factory",M193)),"Manufacturer",
        ISNUMBER(SEARCH("Al Saadeh Trading",M193)),"Trading Company",
        ISNUMBER(SEARCH("Al Zaehaan",M193)),"Trading Company",
        ISNUMBER(SEARCH("Ali Abdullah K Al Darwish",M193)),"Airlines",
        ISNUMBER(SEARCH("Bupa Arabia",M193)),"Health Insurance",
        ISNUMBER(SEARCH("Dar Fahoosaat",M193)),"Consultant",
        ISNUMBER(SEARCH("General Authority of Zakat",M193)),"Tax Collection",
        ISNUMBER(SEARCH("Gulf Voyager",M193)),"Travel Agency",
        ISNUMBER(SEARCH("Hopeway Trading",M193)),"Trading Company",
        ISNUMBER(SEARCH("Interhealth Medical",M193)),"Medical Services",
        ISNUMBER(SEARCH("Ishaar",M193)),"Online Payment Service",
        ISNUMBER(SEARCH("ISO Arabia",M193)),"Certification",
        ISNUMBER(SEARCH("Khalid Saad Al Otaibi",M193)),"Trading Company",
        ISNUMBER(SEARCH("MERAS for Decoration",M193)),"Decor Company",
        ISNUMBER(SEARCH("Middle East Customs Clearance",M193)),"Customs",
        ISNUMBER(SEARCH("Ministry of Human Resources",M193)),"Government",
        ISNUMBER(SEARCH("My Business Services",M193)),"Service Provider",
        ISNUMBER(SEARCH("National Water Company",M193)),"Water Company",
        ISNUMBER(SEARCH("Rania Contracting",M193)),"Contracting",
        ISNUMBER(SEARCH("Rashid Ali Sheikh",M193)),"Shareholder",
        ISNUMBER(SEARCH("Sahab United Motors",M193)),"Car Show Room",
        ISNUMBER(SEARCH("Saud Mohammed Al Tamimi",M193)),"Shareholder",
        ISNUMBER(SEARCH("Saud Mohammed Tamimi",M193)),"Shareholder",
        ISNUMBER(SEARCH("Saudi Electric Company",M193)),"Electricity Company",
        ISNUMBER(SEARCH("Saudi Vetonit",M193)),"Building Materials",
        ISNUMBER(SEARCH("Shomoul Eng",M193)),"Safety",
        ISNUMBER(SEARCH("STC",M193)),"Telecom Company",
        ISNUMBER(SEARCH("The General Organization for Social Insurance",M193)),"Social Insurance Agency",
        ISNUMBER(SEARCH("TUV Rheinland",M193)),"Certification",
        ISNUMBER(SEARCH("Al Arabia Ceramic",M193)),"Building Materials",
        ISNUMBER(SEARCH("National Company for Building and Marketing",M193)),"Parent Company",
        ISNUMBER(SEARCH("Athraa Holding",M193)),"Holding Company",
        ISNUMBER(SEARCH("Al Rasan",M193)),"Contracting",
        ISNUMBER(SEARCH("Raboua Al Haid",M193)),"Trading Company",
        ISNUMBER(SEARCH("Al Jazeera Paint",M193)),"Manufacturer",
        ISNUMBER(SEARCH("Rania Works Contracting",M193)),"Contracting",
        ISNUMBER(SEARCH("Bandar Jarallah",M193)),"Trading Establishment",
        ISNUMBER(SEARCH("RS Infratec Saudi",M193)),"Same Company",
        ISNUMBER(SEARCH("Payroll",M193)),"Bank",
        ISNUMBER(SEARCH("Expatriate",M193)),"Government",
        ISNUMBER(SEARCH("Unknown Sender",M193)),"Unknown",
        TRUE,"Unknown"
    ),
    "-"
)</f>
        <v>Parent Company</v>
      </c>
      <c r="AA193" s="25" t="str" cm="1">
        <f t="array" ref="AA193">_xlfn.IFNA(
    _xlfn.IFS(
        Z193="Lender","Financing",
        Z193="Accounting","Accounting",
        Z193="Shareholder","Individual",
        Z193="Equipment Rental","Equipment Rental",
        Z193="Telecom Company","Telecom",
        Z193="Manufacturer","Manufacturer",
        Z193="Trading Company","Trading And Transport",
        Z193="Trading Establishment","Trading",
        Z193="Airlines","Airlines",
        Z193="Health Insurance","Insurance",
        Z193="Consultant","Consultant",
        Z193="Tax Collection","Government",
        Z193="Travel Agency","Travel Agency",
        Z193="Medical Services","Medical Center",
        Z193="Online Payment Service","Payment Facilitator",
        Z193="Certification","Safety",
        Z193="Decor Company","Design",
        Z193="Customs","Customs",
        Z193="Government","Government",
        Z193="Service Provider","Service Provider",
        Z193="Water Company","Water Company",
        Z193="Contracting","Contracting",
        Z193="Car Show Room","Car Trader",
        Z193="Electricity Company","Electricity Company",
        Z193="Building Materials","Building Materials",
        Z193="Safety","Safety",
        Z193="Social Insurance Agency","Government Fund",
        Z193="Parent Company","Holding Company",
        Z193="Holding Company","Holding Company",
        Z193="Same Company","Construction",
        Z193="Bank","Bank",
        Z193="Unknown","Unknown",
        TRUE,"-"
    ),
    "-"
)</f>
        <v>Holding Company</v>
      </c>
      <c r="AB193" s="25" t="str">
        <f t="shared" si="9"/>
        <v>-</v>
      </c>
      <c r="AC193" s="25" t="str" cm="1">
        <f t="array" ref="AC193">_xlfn.IFNA(
    _xlfn.IFS(
        Z193="Shareholder","Shareholder",
        Z193="Same Company","Same Company",
        Z193="Bank","Bank",
        Z193="Government","Government",
        Z193="Social Insurance Agency","Government",
        Z193="Parent Company","Customer",
        Z193="Lender","Lender",
        Z193="Unknown","Unknown",
        ISNUMBER(SEARCH("Abdullah Abdulkarim",M193)),"Service Provider",
        ISNUMBER(SEARCH("Abdullah Fahad",M193)),"Service Provider",
        ISNUMBER(SEARCH("Advanced Equipments",M193)),"Supplier",
        ISNUMBER(SEARCH("Al Banuk Sana",M193)),"Supplier",
        ISNUMBER(SEARCH("Al Khaleefa Factory",M193)),"Supplier",
        ISNUMBER(SEARCH("Al Saadeh Trading",M193)),"Supplier",
        ISNUMBER(SEARCH("Al Zaehaan",M193)),"Supplier",
        ISNUMBER(SEARCH("Ali Abdullah K Al Darwish",M193)),"Service Provider",
        ISNUMBER(SEARCH("Bupa Arabia",M193)),"Insurance Company",
        ISNUMBER(SEARCH("Dar Fahoosaat",M193)),"Service Provider",
        ISNUMBER(SEARCH("General Authority of Zakat",M193)),"Tax Authority",
        ISNUMBER(SEARCH("Gulf Voyager",M193)),"Service Provider",
        ISNUMBER(SEARCH("Hopeway Trading",M193)),"Supplier",
        ISNUMBER(SEARCH("Interhealth Medical",M193)),"Customer",
        ISNUMBER(SEARCH("Ishaar",M193)),"Service Provider",
        ISNUMBER(SEARCH("ISO Arabia",M193)),"Service Provider",
        ISNUMBER(SEARCH("Khalid Saad Al Otaibi",M193)),"Supplier",
        ISNUMBER(SEARCH("MERAS for Decoration",M193)),"Supplier",
        ISNUMBER(SEARCH("Middle East Customs Clearance",M193)),"Service Provider",
        ISNUMBER(SEARCH("Ministry of Human Resources",M193)),"Regulatory Agency",
        ISNUMBER(SEARCH("My Business Services",M193)),"Service Provider",
        ISNUMBER(SEARCH("National Water Company",M193)),"Utility Provider",
        ISNUMBER(SEARCH("Rania Contracting",M193)),"Supplier",
        ISNUMBER(SEARCH("Sahab United Motors",M193)),"Supplier",
        ISNUMBER(SEARCH("Saudi Electric Company",M193)),"Utility Provider",
        ISNUMBER(SEARCH("Saudi Vetonit",M193)),"Supplier",
        ISNUMBER(SEARCH("Shomoul Eng",M193)),"Service Provider",
        ISNUMBER(SEARCH("STC",M193)),"Utility Provider",
        ISNUMBER(SEARCH("The General Organization for Social Insurance",M193)),"Social Insurance Agency",
        ISNUMBER(SEARCH("TUV Rheinland",M193)),"Service Provider",
        ISNUMBER(SEARCH("Al Arabia Ceramic",M193)),"Supplier",
        ISNUMBER(SEARCH("National Company for Building",M193)),"Customer",
        ISNUMBER(SEARCH("Athraa Holding",M193)),"Customer",
        ISNUMBER(SEARCH("Al Rasan",M193)),"Supplier",
        ISNUMBER(SEARCH("Raboua Al Haid",M193)),"Customer",
        ISNUMBER(SEARCH("Al Jazeera Paint",M193)),"Supplier",
        ISNUMBER(SEARCH("Rania Works Contracting",M193)),"Supplier",
        ISNUMBER(SEARCH("Bandar Jarallah",M193)),"Supplier",
        TRUE,"Supplier"
    ),
    "-"
)</f>
        <v>Customer</v>
      </c>
      <c r="AD193" s="25" t="str" cm="1">
        <f t="array" ref="AD193">_xlfn.IFNA(
    _xlfn.IFS(
        AC193="Same Company","High",
        AC193="Shareholder","High",
        AC193="Government","High",
        AC193="Bank","High",
        AC193="Lender","High",
        AC193="Unknown","Low",
        AC193="-","Low",
        TRUE,"Medium"
    ),
    "-"
)</f>
        <v>Medium</v>
      </c>
      <c r="AE193" s="25" t="str">
        <f t="shared" si="10"/>
        <v>-</v>
      </c>
      <c r="AF193" s="25" t="str" cm="1">
        <f t="array" ref="AF193">_xlfn.IFNA(
    _xlfn.IFS(
        K193="Credit",
            _xlfn.IFS(
                OR(ISNUMBER(SEARCH("Rejected",L193)),ISNUMBER(SEARCH("Returned",L193))),"Other Income",
                TRUE,"Revenue"
            ),
        K193="Debit",
            _xlfn.IFS(
                ISNUMBER(SEARCH("Payroll",L193)),"OPEX",
                ISNUMBER(SEARCH("Expatriate",L193)),"OPEX",
                ISNUMBER(SEARCH("Zakat",M193)),"ZATCA",
                ISNUMBER(SEARCH("General Organization for Social Insurance",M193)),"OPEX",
                ISNUMBER(SEARCH("Saudi Electric",M193)),"OPEX",
                ISNUMBER(SEARCH("STC",M193)),"OPEX",
                ISNUMBER(SEARCH("National Water",M193)),"OPEX",
                ISNUMBER(SEARCH("Bupa",M193)),"OPEX",
                ISNUMBER(SEARCH("Abdullah Abdulkarim",M193)),"OPEX",
                ISNUMBER(SEARCH("Abdullah Fahad",M193)),"OPEX",
                ISNUMBER(SEARCH("ISO Arabia",M193)),"OPEX",
                ISNUMBER(SEARCH("Gulf Voyager",M193)),"OPEX",
                ISNUMBER(SEARCH("Ministry",M193)),"OPEX",
                ISNUMBER(SEARCH("General Authority of Zakat",M193)),"ZATCA",
                ISNUMBER(SEARCH("Rejected",L193)),"Other Income",
                TRUE,"COGS"
            ),
        TRUE,"-"
    ),
    "-"
)</f>
        <v>Revenue</v>
      </c>
      <c r="AG193" s="25" t="str" cm="1">
        <f t="array" ref="AG193">_xlfn.IFNA(
    _xlfn.IFS(
        ISNUMBER(SEARCH("Payroll",L193)),"Payroll",
        ISNUMBER(SEARCH("Expatriate",L193)),"Government Fees",
        ISNUMBER(SEARCH("Zakat",M193)),"Zakat",
        ISNUMBER(SEARCH("Social Insurance",M193)),"Social Insurance",
        ISNUMBER(SEARCH("Saudi Electric",M193)),"Electricity",
        ISNUMBER(SEARCH("STC",M193)),"Telecom",
        ISNUMBER(SEARCH("National Water",M193)),"Water",
        ISNUMBER(SEARCH("Bupa",M193)),"Insurance",
        ISNUMBER(SEARCH("Gulf Voyager",M193)),"Travel",
        ISNUMBER(SEARCH("Ministry",M193)),"Government Fees",
        ISNUMBER(SEARCH("Abdullah Abdulkarim",M193)),"Consulting",
        ISNUMBER(SEARCH("Abdullah Fahad",M193)),"Accounting",
        ISNUMBER(SEARCH("ISO Arabia",M193)),"Consulting",
        ISNUMBER(SEARCH("Rejected",L193)),"Refund",
        AF193="COGS","Inventory Purchase",
        AF193="Revenue","Revenue",
        AF193="OPEX","Other",
        AF193="ZATCA","Zakat",
        TRUE,"-"
    ),
    "-"
)</f>
        <v>Revenue</v>
      </c>
      <c r="AH193" s="25" t="str" cm="1">
        <f t="array" ref="AH193">_xlfn.IFNA(
    _xlfn.IFS(
        AF193="-","Low",
        AF193="Other","Low",
        TRUE,"Medium"
    ),
    "-"
)</f>
        <v>Medium</v>
      </c>
      <c r="AI193" s="25" t="str">
        <f t="shared" si="11"/>
        <v>-</v>
      </c>
    </row>
    <row r="194" spans="1:35" x14ac:dyDescent="0.25">
      <c r="A194" s="10">
        <v>59</v>
      </c>
      <c r="B194" s="10" t="s">
        <v>35</v>
      </c>
      <c r="C194" s="10" t="s">
        <v>36</v>
      </c>
      <c r="D194" s="10" t="s">
        <v>37</v>
      </c>
      <c r="E194" s="10" t="s">
        <v>38</v>
      </c>
      <c r="F194" s="11" t="s">
        <v>39</v>
      </c>
      <c r="G194" s="11" t="s">
        <v>40</v>
      </c>
      <c r="H194" s="12">
        <v>45060</v>
      </c>
      <c r="I194" s="20">
        <v>101887.9</v>
      </c>
      <c r="J194" s="20">
        <v>100000</v>
      </c>
      <c r="K194" s="10" t="s">
        <v>116</v>
      </c>
      <c r="L194" s="9" t="s">
        <v>224</v>
      </c>
      <c r="M194" s="9" t="s">
        <v>231</v>
      </c>
      <c r="O194" s="9" t="s">
        <v>226</v>
      </c>
      <c r="P194" s="15">
        <v>45060</v>
      </c>
      <c r="Q194" s="9" t="s">
        <v>287</v>
      </c>
      <c r="R194" s="16">
        <v>100000</v>
      </c>
      <c r="U194" s="9" t="s">
        <v>55</v>
      </c>
      <c r="V194" s="24" t="str" cm="1">
        <f t="array" ref="V194">_xlfn.IFNA(
    _xlfn.IFS(
        ISNUMBER(SEARCH("Fast Outgoing Transfer",L194)),"Transfer",
        ISNUMBER(SEARCH("Incoming Fast Transfer",L194)),"Transfer",
        ISNUMBER(SEARCH("Outgoing International Transfer",L194)),"Transfer",
        ISNUMBER(SEARCH("Bill Payment",L194)),"SADAD",
        ISNUMBER(SEARCH("Payroll",L194)),"Payroll",
        ISNUMBER(SEARCH("Cash Deposit",L194)),"Cash",
        ISNUMBER(SEARCH("Internal Transfer",L194)),"Transfer",
        ISNUMBER(SEARCH("Expatriate Services Payment",L194)),"SADAD",
        ISNUMBER(SEARCH("Rejected",L194)),"Transfer"
    ),
    "-"
)</f>
        <v>Transfer</v>
      </c>
      <c r="W194" s="25" t="str" cm="1">
        <f t="array" ref="W194">_xlfn.IFNA(
    _xlfn.IFS(
        AND(V194="Transfer",ISNUMBER(SEARCH("RIYAD BANK",L194))),"External FI",
        AND(V194="Transfer",ISNUMBER(SEARCH("Al Ahli",L194))),"External FI",
        AND(V194="Transfer",ISNUMBER(SEARCH("CIB via",L194))),"Local Transfer",
        AND(V194="Transfer",ISNUMBER(SEARCH("CIB)",L194))),"Local Transfer",
        AND(V194="Transfer",ISNUMBER(SEARCH("SMRT",L194))),"Local Transfer",
        AND(V194="Transfer",ISNUMBER(SEARCH("Al Murabba",L194))),"Local Transfer",
        AND(V194="Transfer",ISNUMBER(SEARCH("Internal Transfer",L194))),"Same FI",
        AND(V194="Transfer",ISNUMBER(SEARCH("Rejected",L194))),"Failed",
        V194="SADAD",
            _xlfn.IFS(
                ISNUMBER(SEARCH("Expatriate",L194)),"Expat Fees",
                TRUE,"Online Payment"
            ),
        V194="Payroll","Payroll",
        V194="Cash","Deposit",
        TRUE,"-"
    ),
    "-"
)</f>
        <v>Local Transfer</v>
      </c>
      <c r="X194" s="25" t="str" cm="1">
        <f t="array" ref="X194">_xlfn.IFNA(
    _xlfn.IFS(
        V194="-","Low",
        W194="-","Low",
        TRUE,"High"
    ),
    "-"
)</f>
        <v>High</v>
      </c>
      <c r="Y194" s="25" t="str">
        <f t="shared" si="8"/>
        <v>-</v>
      </c>
      <c r="Z194" s="25" t="str" cm="1">
        <f t="array" ref="Z194">_xlfn.IFNA(
    _xlfn.IFS(
        ISNUMBER(SEARCH("Abdul Latif Jameel",M194)),"Lender",
        ISNUMBER(SEARCH("Abdullah Abdulkarim Al Sudais",M194)),"Accounting",
        ISNUMBER(SEARCH("Abdullah Fahad for Accounting",M194)),"Accounting",
        ISNUMBER(SEARCH("Abdullah Rashid Shaikh",M194)),"Shareholder",
        ISNUMBER(SEARCH("Advanced Equipments",M194)),"Equipment Rental",
        ISNUMBER(SEARCH("Al Banuk Sana",M194)),"Telecom Company",
        ISNUMBER(SEARCH("Al Khaleefa Factory",M194)),"Manufacturer",
        ISNUMBER(SEARCH("Al Saadeh Trading",M194)),"Trading Company",
        ISNUMBER(SEARCH("Al Zaehaan",M194)),"Trading Company",
        ISNUMBER(SEARCH("Ali Abdullah K Al Darwish",M194)),"Airlines",
        ISNUMBER(SEARCH("Bupa Arabia",M194)),"Health Insurance",
        ISNUMBER(SEARCH("Dar Fahoosaat",M194)),"Consultant",
        ISNUMBER(SEARCH("General Authority of Zakat",M194)),"Tax Collection",
        ISNUMBER(SEARCH("Gulf Voyager",M194)),"Travel Agency",
        ISNUMBER(SEARCH("Hopeway Trading",M194)),"Trading Company",
        ISNUMBER(SEARCH("Interhealth Medical",M194)),"Medical Services",
        ISNUMBER(SEARCH("Ishaar",M194)),"Online Payment Service",
        ISNUMBER(SEARCH("ISO Arabia",M194)),"Certification",
        ISNUMBER(SEARCH("Khalid Saad Al Otaibi",M194)),"Trading Company",
        ISNUMBER(SEARCH("MERAS for Decoration",M194)),"Decor Company",
        ISNUMBER(SEARCH("Middle East Customs Clearance",M194)),"Customs",
        ISNUMBER(SEARCH("Ministry of Human Resources",M194)),"Government",
        ISNUMBER(SEARCH("My Business Services",M194)),"Service Provider",
        ISNUMBER(SEARCH("National Water Company",M194)),"Water Company",
        ISNUMBER(SEARCH("Rania Contracting",M194)),"Contracting",
        ISNUMBER(SEARCH("Rashid Ali Sheikh",M194)),"Shareholder",
        ISNUMBER(SEARCH("Sahab United Motors",M194)),"Car Show Room",
        ISNUMBER(SEARCH("Saud Mohammed Al Tamimi",M194)),"Shareholder",
        ISNUMBER(SEARCH("Saud Mohammed Tamimi",M194)),"Shareholder",
        ISNUMBER(SEARCH("Saudi Electric Company",M194)),"Electricity Company",
        ISNUMBER(SEARCH("Saudi Vetonit",M194)),"Building Materials",
        ISNUMBER(SEARCH("Shomoul Eng",M194)),"Safety",
        ISNUMBER(SEARCH("STC",M194)),"Telecom Company",
        ISNUMBER(SEARCH("The General Organization for Social Insurance",M194)),"Social Insurance Agency",
        ISNUMBER(SEARCH("TUV Rheinland",M194)),"Certification",
        ISNUMBER(SEARCH("Al Arabia Ceramic",M194)),"Building Materials",
        ISNUMBER(SEARCH("National Company for Building and Marketing",M194)),"Parent Company",
        ISNUMBER(SEARCH("Athraa Holding",M194)),"Holding Company",
        ISNUMBER(SEARCH("Al Rasan",M194)),"Contracting",
        ISNUMBER(SEARCH("Raboua Al Haid",M194)),"Trading Company",
        ISNUMBER(SEARCH("Al Jazeera Paint",M194)),"Manufacturer",
        ISNUMBER(SEARCH("Rania Works Contracting",M194)),"Contracting",
        ISNUMBER(SEARCH("Bandar Jarallah",M194)),"Trading Establishment",
        ISNUMBER(SEARCH("RS Infratec Saudi",M194)),"Same Company",
        ISNUMBER(SEARCH("Payroll",M194)),"Bank",
        ISNUMBER(SEARCH("Expatriate",M194)),"Government",
        ISNUMBER(SEARCH("Unknown Sender",M194)),"Unknown",
        TRUE,"Unknown"
    ),
    "-"
)</f>
        <v>Parent Company</v>
      </c>
      <c r="AA194" s="25" t="str" cm="1">
        <f t="array" ref="AA194">_xlfn.IFNA(
    _xlfn.IFS(
        Z194="Lender","Financing",
        Z194="Accounting","Accounting",
        Z194="Shareholder","Individual",
        Z194="Equipment Rental","Equipment Rental",
        Z194="Telecom Company","Telecom",
        Z194="Manufacturer","Manufacturer",
        Z194="Trading Company","Trading And Transport",
        Z194="Trading Establishment","Trading",
        Z194="Airlines","Airlines",
        Z194="Health Insurance","Insurance",
        Z194="Consultant","Consultant",
        Z194="Tax Collection","Government",
        Z194="Travel Agency","Travel Agency",
        Z194="Medical Services","Medical Center",
        Z194="Online Payment Service","Payment Facilitator",
        Z194="Certification","Safety",
        Z194="Decor Company","Design",
        Z194="Customs","Customs",
        Z194="Government","Government",
        Z194="Service Provider","Service Provider",
        Z194="Water Company","Water Company",
        Z194="Contracting","Contracting",
        Z194="Car Show Room","Car Trader",
        Z194="Electricity Company","Electricity Company",
        Z194="Building Materials","Building Materials",
        Z194="Safety","Safety",
        Z194="Social Insurance Agency","Government Fund",
        Z194="Parent Company","Holding Company",
        Z194="Holding Company","Holding Company",
        Z194="Same Company","Construction",
        Z194="Bank","Bank",
        Z194="Unknown","Unknown",
        TRUE,"-"
    ),
    "-"
)</f>
        <v>Holding Company</v>
      </c>
      <c r="AB194" s="25" t="str">
        <f t="shared" si="9"/>
        <v>-</v>
      </c>
      <c r="AC194" s="25" t="str" cm="1">
        <f t="array" ref="AC194">_xlfn.IFNA(
    _xlfn.IFS(
        Z194="Shareholder","Shareholder",
        Z194="Same Company","Same Company",
        Z194="Bank","Bank",
        Z194="Government","Government",
        Z194="Social Insurance Agency","Government",
        Z194="Parent Company","Customer",
        Z194="Lender","Lender",
        Z194="Unknown","Unknown",
        ISNUMBER(SEARCH("Abdullah Abdulkarim",M194)),"Service Provider",
        ISNUMBER(SEARCH("Abdullah Fahad",M194)),"Service Provider",
        ISNUMBER(SEARCH("Advanced Equipments",M194)),"Supplier",
        ISNUMBER(SEARCH("Al Banuk Sana",M194)),"Supplier",
        ISNUMBER(SEARCH("Al Khaleefa Factory",M194)),"Supplier",
        ISNUMBER(SEARCH("Al Saadeh Trading",M194)),"Supplier",
        ISNUMBER(SEARCH("Al Zaehaan",M194)),"Supplier",
        ISNUMBER(SEARCH("Ali Abdullah K Al Darwish",M194)),"Service Provider",
        ISNUMBER(SEARCH("Bupa Arabia",M194)),"Insurance Company",
        ISNUMBER(SEARCH("Dar Fahoosaat",M194)),"Service Provider",
        ISNUMBER(SEARCH("General Authority of Zakat",M194)),"Tax Authority",
        ISNUMBER(SEARCH("Gulf Voyager",M194)),"Service Provider",
        ISNUMBER(SEARCH("Hopeway Trading",M194)),"Supplier",
        ISNUMBER(SEARCH("Interhealth Medical",M194)),"Customer",
        ISNUMBER(SEARCH("Ishaar",M194)),"Service Provider",
        ISNUMBER(SEARCH("ISO Arabia",M194)),"Service Provider",
        ISNUMBER(SEARCH("Khalid Saad Al Otaibi",M194)),"Supplier",
        ISNUMBER(SEARCH("MERAS for Decoration",M194)),"Supplier",
        ISNUMBER(SEARCH("Middle East Customs Clearance",M194)),"Service Provider",
        ISNUMBER(SEARCH("Ministry of Human Resources",M194)),"Regulatory Agency",
        ISNUMBER(SEARCH("My Business Services",M194)),"Service Provider",
        ISNUMBER(SEARCH("National Water Company",M194)),"Utility Provider",
        ISNUMBER(SEARCH("Rania Contracting",M194)),"Supplier",
        ISNUMBER(SEARCH("Sahab United Motors",M194)),"Supplier",
        ISNUMBER(SEARCH("Saudi Electric Company",M194)),"Utility Provider",
        ISNUMBER(SEARCH("Saudi Vetonit",M194)),"Supplier",
        ISNUMBER(SEARCH("Shomoul Eng",M194)),"Service Provider",
        ISNUMBER(SEARCH("STC",M194)),"Utility Provider",
        ISNUMBER(SEARCH("The General Organization for Social Insurance",M194)),"Social Insurance Agency",
        ISNUMBER(SEARCH("TUV Rheinland",M194)),"Service Provider",
        ISNUMBER(SEARCH("Al Arabia Ceramic",M194)),"Supplier",
        ISNUMBER(SEARCH("National Company for Building",M194)),"Customer",
        ISNUMBER(SEARCH("Athraa Holding",M194)),"Customer",
        ISNUMBER(SEARCH("Al Rasan",M194)),"Supplier",
        ISNUMBER(SEARCH("Raboua Al Haid",M194)),"Customer",
        ISNUMBER(SEARCH("Al Jazeera Paint",M194)),"Supplier",
        ISNUMBER(SEARCH("Rania Works Contracting",M194)),"Supplier",
        ISNUMBER(SEARCH("Bandar Jarallah",M194)),"Supplier",
        TRUE,"Supplier"
    ),
    "-"
)</f>
        <v>Customer</v>
      </c>
      <c r="AD194" s="25" t="str" cm="1">
        <f t="array" ref="AD194">_xlfn.IFNA(
    _xlfn.IFS(
        AC194="Same Company","High",
        AC194="Shareholder","High",
        AC194="Government","High",
        AC194="Bank","High",
        AC194="Lender","High",
        AC194="Unknown","Low",
        AC194="-","Low",
        TRUE,"Medium"
    ),
    "-"
)</f>
        <v>Medium</v>
      </c>
      <c r="AE194" s="25" t="str">
        <f t="shared" si="10"/>
        <v>-</v>
      </c>
      <c r="AF194" s="25" t="str" cm="1">
        <f t="array" ref="AF194">_xlfn.IFNA(
    _xlfn.IFS(
        K194="Credit",
            _xlfn.IFS(
                OR(ISNUMBER(SEARCH("Rejected",L194)),ISNUMBER(SEARCH("Returned",L194))),"Other Income",
                TRUE,"Revenue"
            ),
        K194="Debit",
            _xlfn.IFS(
                ISNUMBER(SEARCH("Payroll",L194)),"OPEX",
                ISNUMBER(SEARCH("Expatriate",L194)),"OPEX",
                ISNUMBER(SEARCH("Zakat",M194)),"ZATCA",
                ISNUMBER(SEARCH("General Organization for Social Insurance",M194)),"OPEX",
                ISNUMBER(SEARCH("Saudi Electric",M194)),"OPEX",
                ISNUMBER(SEARCH("STC",M194)),"OPEX",
                ISNUMBER(SEARCH("National Water",M194)),"OPEX",
                ISNUMBER(SEARCH("Bupa",M194)),"OPEX",
                ISNUMBER(SEARCH("Abdullah Abdulkarim",M194)),"OPEX",
                ISNUMBER(SEARCH("Abdullah Fahad",M194)),"OPEX",
                ISNUMBER(SEARCH("ISO Arabia",M194)),"OPEX",
                ISNUMBER(SEARCH("Gulf Voyager",M194)),"OPEX",
                ISNUMBER(SEARCH("Ministry",M194)),"OPEX",
                ISNUMBER(SEARCH("General Authority of Zakat",M194)),"ZATCA",
                ISNUMBER(SEARCH("Rejected",L194)),"Other Income",
                TRUE,"COGS"
            ),
        TRUE,"-"
    ),
    "-"
)</f>
        <v>Revenue</v>
      </c>
      <c r="AG194" s="25" t="str" cm="1">
        <f t="array" ref="AG194">_xlfn.IFNA(
    _xlfn.IFS(
        ISNUMBER(SEARCH("Payroll",L194)),"Payroll",
        ISNUMBER(SEARCH("Expatriate",L194)),"Government Fees",
        ISNUMBER(SEARCH("Zakat",M194)),"Zakat",
        ISNUMBER(SEARCH("Social Insurance",M194)),"Social Insurance",
        ISNUMBER(SEARCH("Saudi Electric",M194)),"Electricity",
        ISNUMBER(SEARCH("STC",M194)),"Telecom",
        ISNUMBER(SEARCH("National Water",M194)),"Water",
        ISNUMBER(SEARCH("Bupa",M194)),"Insurance",
        ISNUMBER(SEARCH("Gulf Voyager",M194)),"Travel",
        ISNUMBER(SEARCH("Ministry",M194)),"Government Fees",
        ISNUMBER(SEARCH("Abdullah Abdulkarim",M194)),"Consulting",
        ISNUMBER(SEARCH("Abdullah Fahad",M194)),"Accounting",
        ISNUMBER(SEARCH("ISO Arabia",M194)),"Consulting",
        ISNUMBER(SEARCH("Rejected",L194)),"Refund",
        AF194="COGS","Inventory Purchase",
        AF194="Revenue","Revenue",
        AF194="OPEX","Other",
        AF194="ZATCA","Zakat",
        TRUE,"-"
    ),
    "-"
)</f>
        <v>Revenue</v>
      </c>
      <c r="AH194" s="25" t="str" cm="1">
        <f t="array" ref="AH194">_xlfn.IFNA(
    _xlfn.IFS(
        AF194="-","Low",
        AF194="Other","Low",
        TRUE,"Medium"
    ),
    "-"
)</f>
        <v>Medium</v>
      </c>
      <c r="AI194" s="25" t="str">
        <f t="shared" si="11"/>
        <v>-</v>
      </c>
    </row>
    <row r="195" spans="1:35" x14ac:dyDescent="0.25">
      <c r="A195" s="10">
        <v>59</v>
      </c>
      <c r="B195" s="10" t="s">
        <v>35</v>
      </c>
      <c r="C195" s="10" t="s">
        <v>36</v>
      </c>
      <c r="D195" s="10" t="s">
        <v>37</v>
      </c>
      <c r="E195" s="10" t="s">
        <v>38</v>
      </c>
      <c r="F195" s="11" t="s">
        <v>39</v>
      </c>
      <c r="G195" s="11" t="s">
        <v>40</v>
      </c>
      <c r="H195" s="12">
        <v>45061</v>
      </c>
      <c r="I195" s="20">
        <v>103304.4</v>
      </c>
      <c r="J195" s="20">
        <v>100000</v>
      </c>
      <c r="K195" s="10" t="s">
        <v>116</v>
      </c>
      <c r="L195" s="9" t="s">
        <v>224</v>
      </c>
      <c r="M195" s="9" t="s">
        <v>231</v>
      </c>
      <c r="O195" s="9" t="s">
        <v>226</v>
      </c>
      <c r="P195" s="15">
        <v>45061</v>
      </c>
      <c r="Q195" s="9" t="s">
        <v>288</v>
      </c>
      <c r="R195" s="16">
        <v>100000</v>
      </c>
      <c r="U195" s="9" t="s">
        <v>55</v>
      </c>
      <c r="V195" s="24" t="str" cm="1">
        <f t="array" ref="V195">_xlfn.IFNA(
    _xlfn.IFS(
        ISNUMBER(SEARCH("Fast Outgoing Transfer",L195)),"Transfer",
        ISNUMBER(SEARCH("Incoming Fast Transfer",L195)),"Transfer",
        ISNUMBER(SEARCH("Outgoing International Transfer",L195)),"Transfer",
        ISNUMBER(SEARCH("Bill Payment",L195)),"SADAD",
        ISNUMBER(SEARCH("Payroll",L195)),"Payroll",
        ISNUMBER(SEARCH("Cash Deposit",L195)),"Cash",
        ISNUMBER(SEARCH("Internal Transfer",L195)),"Transfer",
        ISNUMBER(SEARCH("Expatriate Services Payment",L195)),"SADAD",
        ISNUMBER(SEARCH("Rejected",L195)),"Transfer"
    ),
    "-"
)</f>
        <v>Transfer</v>
      </c>
      <c r="W195" s="25" t="str" cm="1">
        <f t="array" ref="W195">_xlfn.IFNA(
    _xlfn.IFS(
        AND(V195="Transfer",ISNUMBER(SEARCH("RIYAD BANK",L195))),"External FI",
        AND(V195="Transfer",ISNUMBER(SEARCH("Al Ahli",L195))),"External FI",
        AND(V195="Transfer",ISNUMBER(SEARCH("CIB via",L195))),"Local Transfer",
        AND(V195="Transfer",ISNUMBER(SEARCH("CIB)",L195))),"Local Transfer",
        AND(V195="Transfer",ISNUMBER(SEARCH("SMRT",L195))),"Local Transfer",
        AND(V195="Transfer",ISNUMBER(SEARCH("Al Murabba",L195))),"Local Transfer",
        AND(V195="Transfer",ISNUMBER(SEARCH("Internal Transfer",L195))),"Same FI",
        AND(V195="Transfer",ISNUMBER(SEARCH("Rejected",L195))),"Failed",
        V195="SADAD",
            _xlfn.IFS(
                ISNUMBER(SEARCH("Expatriate",L195)),"Expat Fees",
                TRUE,"Online Payment"
            ),
        V195="Payroll","Payroll",
        V195="Cash","Deposit",
        TRUE,"-"
    ),
    "-"
)</f>
        <v>Local Transfer</v>
      </c>
      <c r="X195" s="25" t="str" cm="1">
        <f t="array" ref="X195">_xlfn.IFNA(
    _xlfn.IFS(
        V195="-","Low",
        W195="-","Low",
        TRUE,"High"
    ),
    "-"
)</f>
        <v>High</v>
      </c>
      <c r="Y195" s="25" t="str">
        <f t="shared" ref="Y195:Y201" si="12">"-"</f>
        <v>-</v>
      </c>
      <c r="Z195" s="25" t="str" cm="1">
        <f t="array" ref="Z195">_xlfn.IFNA(
    _xlfn.IFS(
        ISNUMBER(SEARCH("Abdul Latif Jameel",M195)),"Lender",
        ISNUMBER(SEARCH("Abdullah Abdulkarim Al Sudais",M195)),"Accounting",
        ISNUMBER(SEARCH("Abdullah Fahad for Accounting",M195)),"Accounting",
        ISNUMBER(SEARCH("Abdullah Rashid Shaikh",M195)),"Shareholder",
        ISNUMBER(SEARCH("Advanced Equipments",M195)),"Equipment Rental",
        ISNUMBER(SEARCH("Al Banuk Sana",M195)),"Telecom Company",
        ISNUMBER(SEARCH("Al Khaleefa Factory",M195)),"Manufacturer",
        ISNUMBER(SEARCH("Al Saadeh Trading",M195)),"Trading Company",
        ISNUMBER(SEARCH("Al Zaehaan",M195)),"Trading Company",
        ISNUMBER(SEARCH("Ali Abdullah K Al Darwish",M195)),"Airlines",
        ISNUMBER(SEARCH("Bupa Arabia",M195)),"Health Insurance",
        ISNUMBER(SEARCH("Dar Fahoosaat",M195)),"Consultant",
        ISNUMBER(SEARCH("General Authority of Zakat",M195)),"Tax Collection",
        ISNUMBER(SEARCH("Gulf Voyager",M195)),"Travel Agency",
        ISNUMBER(SEARCH("Hopeway Trading",M195)),"Trading Company",
        ISNUMBER(SEARCH("Interhealth Medical",M195)),"Medical Services",
        ISNUMBER(SEARCH("Ishaar",M195)),"Online Payment Service",
        ISNUMBER(SEARCH("ISO Arabia",M195)),"Certification",
        ISNUMBER(SEARCH("Khalid Saad Al Otaibi",M195)),"Trading Company",
        ISNUMBER(SEARCH("MERAS for Decoration",M195)),"Decor Company",
        ISNUMBER(SEARCH("Middle East Customs Clearance",M195)),"Customs",
        ISNUMBER(SEARCH("Ministry of Human Resources",M195)),"Government",
        ISNUMBER(SEARCH("My Business Services",M195)),"Service Provider",
        ISNUMBER(SEARCH("National Water Company",M195)),"Water Company",
        ISNUMBER(SEARCH("Rania Contracting",M195)),"Contracting",
        ISNUMBER(SEARCH("Rashid Ali Sheikh",M195)),"Shareholder",
        ISNUMBER(SEARCH("Sahab United Motors",M195)),"Car Show Room",
        ISNUMBER(SEARCH("Saud Mohammed Al Tamimi",M195)),"Shareholder",
        ISNUMBER(SEARCH("Saud Mohammed Tamimi",M195)),"Shareholder",
        ISNUMBER(SEARCH("Saudi Electric Company",M195)),"Electricity Company",
        ISNUMBER(SEARCH("Saudi Vetonit",M195)),"Building Materials",
        ISNUMBER(SEARCH("Shomoul Eng",M195)),"Safety",
        ISNUMBER(SEARCH("STC",M195)),"Telecom Company",
        ISNUMBER(SEARCH("The General Organization for Social Insurance",M195)),"Social Insurance Agency",
        ISNUMBER(SEARCH("TUV Rheinland",M195)),"Certification",
        ISNUMBER(SEARCH("Al Arabia Ceramic",M195)),"Building Materials",
        ISNUMBER(SEARCH("National Company for Building and Marketing",M195)),"Parent Company",
        ISNUMBER(SEARCH("Athraa Holding",M195)),"Holding Company",
        ISNUMBER(SEARCH("Al Rasan",M195)),"Contracting",
        ISNUMBER(SEARCH("Raboua Al Haid",M195)),"Trading Company",
        ISNUMBER(SEARCH("Al Jazeera Paint",M195)),"Manufacturer",
        ISNUMBER(SEARCH("Rania Works Contracting",M195)),"Contracting",
        ISNUMBER(SEARCH("Bandar Jarallah",M195)),"Trading Establishment",
        ISNUMBER(SEARCH("RS Infratec Saudi",M195)),"Same Company",
        ISNUMBER(SEARCH("Payroll",M195)),"Bank",
        ISNUMBER(SEARCH("Expatriate",M195)),"Government",
        ISNUMBER(SEARCH("Unknown Sender",M195)),"Unknown",
        TRUE,"Unknown"
    ),
    "-"
)</f>
        <v>Parent Company</v>
      </c>
      <c r="AA195" s="25" t="str" cm="1">
        <f t="array" ref="AA195">_xlfn.IFNA(
    _xlfn.IFS(
        Z195="Lender","Financing",
        Z195="Accounting","Accounting",
        Z195="Shareholder","Individual",
        Z195="Equipment Rental","Equipment Rental",
        Z195="Telecom Company","Telecom",
        Z195="Manufacturer","Manufacturer",
        Z195="Trading Company","Trading And Transport",
        Z195="Trading Establishment","Trading",
        Z195="Airlines","Airlines",
        Z195="Health Insurance","Insurance",
        Z195="Consultant","Consultant",
        Z195="Tax Collection","Government",
        Z195="Travel Agency","Travel Agency",
        Z195="Medical Services","Medical Center",
        Z195="Online Payment Service","Payment Facilitator",
        Z195="Certification","Safety",
        Z195="Decor Company","Design",
        Z195="Customs","Customs",
        Z195="Government","Government",
        Z195="Service Provider","Service Provider",
        Z195="Water Company","Water Company",
        Z195="Contracting","Contracting",
        Z195="Car Show Room","Car Trader",
        Z195="Electricity Company","Electricity Company",
        Z195="Building Materials","Building Materials",
        Z195="Safety","Safety",
        Z195="Social Insurance Agency","Government Fund",
        Z195="Parent Company","Holding Company",
        Z195="Holding Company","Holding Company",
        Z195="Same Company","Construction",
        Z195="Bank","Bank",
        Z195="Unknown","Unknown",
        TRUE,"-"
    ),
    "-"
)</f>
        <v>Holding Company</v>
      </c>
      <c r="AB195" s="25" t="str">
        <f t="shared" ref="AB195:AB201" si="13">"-"</f>
        <v>-</v>
      </c>
      <c r="AC195" s="25" t="str" cm="1">
        <f t="array" ref="AC195">_xlfn.IFNA(
    _xlfn.IFS(
        Z195="Shareholder","Shareholder",
        Z195="Same Company","Same Company",
        Z195="Bank","Bank",
        Z195="Government","Government",
        Z195="Social Insurance Agency","Government",
        Z195="Parent Company","Customer",
        Z195="Lender","Lender",
        Z195="Unknown","Unknown",
        ISNUMBER(SEARCH("Abdullah Abdulkarim",M195)),"Service Provider",
        ISNUMBER(SEARCH("Abdullah Fahad",M195)),"Service Provider",
        ISNUMBER(SEARCH("Advanced Equipments",M195)),"Supplier",
        ISNUMBER(SEARCH("Al Banuk Sana",M195)),"Supplier",
        ISNUMBER(SEARCH("Al Khaleefa Factory",M195)),"Supplier",
        ISNUMBER(SEARCH("Al Saadeh Trading",M195)),"Supplier",
        ISNUMBER(SEARCH("Al Zaehaan",M195)),"Supplier",
        ISNUMBER(SEARCH("Ali Abdullah K Al Darwish",M195)),"Service Provider",
        ISNUMBER(SEARCH("Bupa Arabia",M195)),"Insurance Company",
        ISNUMBER(SEARCH("Dar Fahoosaat",M195)),"Service Provider",
        ISNUMBER(SEARCH("General Authority of Zakat",M195)),"Tax Authority",
        ISNUMBER(SEARCH("Gulf Voyager",M195)),"Service Provider",
        ISNUMBER(SEARCH("Hopeway Trading",M195)),"Supplier",
        ISNUMBER(SEARCH("Interhealth Medical",M195)),"Customer",
        ISNUMBER(SEARCH("Ishaar",M195)),"Service Provider",
        ISNUMBER(SEARCH("ISO Arabia",M195)),"Service Provider",
        ISNUMBER(SEARCH("Khalid Saad Al Otaibi",M195)),"Supplier",
        ISNUMBER(SEARCH("MERAS for Decoration",M195)),"Supplier",
        ISNUMBER(SEARCH("Middle East Customs Clearance",M195)),"Service Provider",
        ISNUMBER(SEARCH("Ministry of Human Resources",M195)),"Regulatory Agency",
        ISNUMBER(SEARCH("My Business Services",M195)),"Service Provider",
        ISNUMBER(SEARCH("National Water Company",M195)),"Utility Provider",
        ISNUMBER(SEARCH("Rania Contracting",M195)),"Supplier",
        ISNUMBER(SEARCH("Sahab United Motors",M195)),"Supplier",
        ISNUMBER(SEARCH("Saudi Electric Company",M195)),"Utility Provider",
        ISNUMBER(SEARCH("Saudi Vetonit",M195)),"Supplier",
        ISNUMBER(SEARCH("Shomoul Eng",M195)),"Service Provider",
        ISNUMBER(SEARCH("STC",M195)),"Utility Provider",
        ISNUMBER(SEARCH("The General Organization for Social Insurance",M195)),"Social Insurance Agency",
        ISNUMBER(SEARCH("TUV Rheinland",M195)),"Service Provider",
        ISNUMBER(SEARCH("Al Arabia Ceramic",M195)),"Supplier",
        ISNUMBER(SEARCH("National Company for Building",M195)),"Customer",
        ISNUMBER(SEARCH("Athraa Holding",M195)),"Customer",
        ISNUMBER(SEARCH("Al Rasan",M195)),"Supplier",
        ISNUMBER(SEARCH("Raboua Al Haid",M195)),"Customer",
        ISNUMBER(SEARCH("Al Jazeera Paint",M195)),"Supplier",
        ISNUMBER(SEARCH("Rania Works Contracting",M195)),"Supplier",
        ISNUMBER(SEARCH("Bandar Jarallah",M195)),"Supplier",
        TRUE,"Supplier"
    ),
    "-"
)</f>
        <v>Customer</v>
      </c>
      <c r="AD195" s="25" t="str" cm="1">
        <f t="array" ref="AD195">_xlfn.IFNA(
    _xlfn.IFS(
        AC195="Same Company","High",
        AC195="Shareholder","High",
        AC195="Government","High",
        AC195="Bank","High",
        AC195="Lender","High",
        AC195="Unknown","Low",
        AC195="-","Low",
        TRUE,"Medium"
    ),
    "-"
)</f>
        <v>Medium</v>
      </c>
      <c r="AE195" s="25" t="str">
        <f t="shared" ref="AE195:AE201" si="14">"-"</f>
        <v>-</v>
      </c>
      <c r="AF195" s="25" t="str" cm="1">
        <f t="array" ref="AF195">_xlfn.IFNA(
    _xlfn.IFS(
        K195="Credit",
            _xlfn.IFS(
                OR(ISNUMBER(SEARCH("Rejected",L195)),ISNUMBER(SEARCH("Returned",L195))),"Other Income",
                TRUE,"Revenue"
            ),
        K195="Debit",
            _xlfn.IFS(
                ISNUMBER(SEARCH("Payroll",L195)),"OPEX",
                ISNUMBER(SEARCH("Expatriate",L195)),"OPEX",
                ISNUMBER(SEARCH("Zakat",M195)),"ZATCA",
                ISNUMBER(SEARCH("General Organization for Social Insurance",M195)),"OPEX",
                ISNUMBER(SEARCH("Saudi Electric",M195)),"OPEX",
                ISNUMBER(SEARCH("STC",M195)),"OPEX",
                ISNUMBER(SEARCH("National Water",M195)),"OPEX",
                ISNUMBER(SEARCH("Bupa",M195)),"OPEX",
                ISNUMBER(SEARCH("Abdullah Abdulkarim",M195)),"OPEX",
                ISNUMBER(SEARCH("Abdullah Fahad",M195)),"OPEX",
                ISNUMBER(SEARCH("ISO Arabia",M195)),"OPEX",
                ISNUMBER(SEARCH("Gulf Voyager",M195)),"OPEX",
                ISNUMBER(SEARCH("Ministry",M195)),"OPEX",
                ISNUMBER(SEARCH("General Authority of Zakat",M195)),"ZATCA",
                ISNUMBER(SEARCH("Rejected",L195)),"Other Income",
                TRUE,"COGS"
            ),
        TRUE,"-"
    ),
    "-"
)</f>
        <v>Revenue</v>
      </c>
      <c r="AG195" s="25" t="str" cm="1">
        <f t="array" ref="AG195">_xlfn.IFNA(
    _xlfn.IFS(
        ISNUMBER(SEARCH("Payroll",L195)),"Payroll",
        ISNUMBER(SEARCH("Expatriate",L195)),"Government Fees",
        ISNUMBER(SEARCH("Zakat",M195)),"Zakat",
        ISNUMBER(SEARCH("Social Insurance",M195)),"Social Insurance",
        ISNUMBER(SEARCH("Saudi Electric",M195)),"Electricity",
        ISNUMBER(SEARCH("STC",M195)),"Telecom",
        ISNUMBER(SEARCH("National Water",M195)),"Water",
        ISNUMBER(SEARCH("Bupa",M195)),"Insurance",
        ISNUMBER(SEARCH("Gulf Voyager",M195)),"Travel",
        ISNUMBER(SEARCH("Ministry",M195)),"Government Fees",
        ISNUMBER(SEARCH("Abdullah Abdulkarim",M195)),"Consulting",
        ISNUMBER(SEARCH("Abdullah Fahad",M195)),"Accounting",
        ISNUMBER(SEARCH("ISO Arabia",M195)),"Consulting",
        ISNUMBER(SEARCH("Rejected",L195)),"Refund",
        AF195="COGS","Inventory Purchase",
        AF195="Revenue","Revenue",
        AF195="OPEX","Other",
        AF195="ZATCA","Zakat",
        TRUE,"-"
    ),
    "-"
)</f>
        <v>Revenue</v>
      </c>
      <c r="AH195" s="25" t="str" cm="1">
        <f t="array" ref="AH195">_xlfn.IFNA(
    _xlfn.IFS(
        AF195="-","Low",
        AF195="Other","Low",
        TRUE,"Medium"
    ),
    "-"
)</f>
        <v>Medium</v>
      </c>
      <c r="AI195" s="25" t="str">
        <f t="shared" ref="AI195:AI201" si="15">"-"</f>
        <v>-</v>
      </c>
    </row>
    <row r="196" spans="1:35" x14ac:dyDescent="0.25">
      <c r="A196" s="10">
        <v>59</v>
      </c>
      <c r="B196" s="10" t="s">
        <v>35</v>
      </c>
      <c r="C196" s="10" t="s">
        <v>36</v>
      </c>
      <c r="D196" s="10" t="s">
        <v>37</v>
      </c>
      <c r="E196" s="10" t="s">
        <v>38</v>
      </c>
      <c r="F196" s="11" t="s">
        <v>39</v>
      </c>
      <c r="G196" s="11" t="s">
        <v>40</v>
      </c>
      <c r="H196" s="12">
        <v>45063</v>
      </c>
      <c r="I196" s="20">
        <v>204203.55</v>
      </c>
      <c r="J196" s="20">
        <v>200000</v>
      </c>
      <c r="K196" s="10" t="s">
        <v>116</v>
      </c>
      <c r="L196" s="9" t="s">
        <v>230</v>
      </c>
      <c r="M196" s="9" t="s">
        <v>231</v>
      </c>
      <c r="N196" s="9" t="s">
        <v>232</v>
      </c>
      <c r="O196" s="9" t="s">
        <v>233</v>
      </c>
      <c r="P196" s="15">
        <v>45063</v>
      </c>
      <c r="Q196" s="9" t="s">
        <v>289</v>
      </c>
      <c r="R196" s="16">
        <v>200000</v>
      </c>
      <c r="U196" s="9" t="s">
        <v>55</v>
      </c>
      <c r="V196" s="24" t="str" cm="1">
        <f t="array" ref="V196">_xlfn.IFNA(
    _xlfn.IFS(
        ISNUMBER(SEARCH("Fast Outgoing Transfer",L196)),"Transfer",
        ISNUMBER(SEARCH("Incoming Fast Transfer",L196)),"Transfer",
        ISNUMBER(SEARCH("Outgoing International Transfer",L196)),"Transfer",
        ISNUMBER(SEARCH("Bill Payment",L196)),"SADAD",
        ISNUMBER(SEARCH("Payroll",L196)),"Payroll",
        ISNUMBER(SEARCH("Cash Deposit",L196)),"Cash",
        ISNUMBER(SEARCH("Internal Transfer",L196)),"Transfer",
        ISNUMBER(SEARCH("Expatriate Services Payment",L196)),"SADAD",
        ISNUMBER(SEARCH("Rejected",L196)),"Transfer"
    ),
    "-"
)</f>
        <v>Transfer</v>
      </c>
      <c r="W196" s="25" t="str" cm="1">
        <f t="array" ref="W196">_xlfn.IFNA(
    _xlfn.IFS(
        AND(V196="Transfer",ISNUMBER(SEARCH("RIYAD BANK",L196))),"External FI",
        AND(V196="Transfer",ISNUMBER(SEARCH("Al Ahli",L196))),"External FI",
        AND(V196="Transfer",ISNUMBER(SEARCH("CIB via",L196))),"Local Transfer",
        AND(V196="Transfer",ISNUMBER(SEARCH("CIB)",L196))),"Local Transfer",
        AND(V196="Transfer",ISNUMBER(SEARCH("SMRT",L196))),"Local Transfer",
        AND(V196="Transfer",ISNUMBER(SEARCH("Al Murabba",L196))),"Local Transfer",
        AND(V196="Transfer",ISNUMBER(SEARCH("Internal Transfer",L196))),"Same FI",
        AND(V196="Transfer",ISNUMBER(SEARCH("Rejected",L196))),"Failed",
        V196="SADAD",
            _xlfn.IFS(
                ISNUMBER(SEARCH("Expatriate",L196)),"Expat Fees",
                TRUE,"Online Payment"
            ),
        V196="Payroll","Payroll",
        V196="Cash","Deposit",
        TRUE,"-"
    ),
    "-"
)</f>
        <v>External FI</v>
      </c>
      <c r="X196" s="25" t="str" cm="1">
        <f t="array" ref="X196">_xlfn.IFNA(
    _xlfn.IFS(
        V196="-","Low",
        W196="-","Low",
        TRUE,"High"
    ),
    "-"
)</f>
        <v>High</v>
      </c>
      <c r="Y196" s="25" t="str">
        <f t="shared" si="12"/>
        <v>-</v>
      </c>
      <c r="Z196" s="25" t="str" cm="1">
        <f t="array" ref="Z196">_xlfn.IFNA(
    _xlfn.IFS(
        ISNUMBER(SEARCH("Abdul Latif Jameel",M196)),"Lender",
        ISNUMBER(SEARCH("Abdullah Abdulkarim Al Sudais",M196)),"Accounting",
        ISNUMBER(SEARCH("Abdullah Fahad for Accounting",M196)),"Accounting",
        ISNUMBER(SEARCH("Abdullah Rashid Shaikh",M196)),"Shareholder",
        ISNUMBER(SEARCH("Advanced Equipments",M196)),"Equipment Rental",
        ISNUMBER(SEARCH("Al Banuk Sana",M196)),"Telecom Company",
        ISNUMBER(SEARCH("Al Khaleefa Factory",M196)),"Manufacturer",
        ISNUMBER(SEARCH("Al Saadeh Trading",M196)),"Trading Company",
        ISNUMBER(SEARCH("Al Zaehaan",M196)),"Trading Company",
        ISNUMBER(SEARCH("Ali Abdullah K Al Darwish",M196)),"Airlines",
        ISNUMBER(SEARCH("Bupa Arabia",M196)),"Health Insurance",
        ISNUMBER(SEARCH("Dar Fahoosaat",M196)),"Consultant",
        ISNUMBER(SEARCH("General Authority of Zakat",M196)),"Tax Collection",
        ISNUMBER(SEARCH("Gulf Voyager",M196)),"Travel Agency",
        ISNUMBER(SEARCH("Hopeway Trading",M196)),"Trading Company",
        ISNUMBER(SEARCH("Interhealth Medical",M196)),"Medical Services",
        ISNUMBER(SEARCH("Ishaar",M196)),"Online Payment Service",
        ISNUMBER(SEARCH("ISO Arabia",M196)),"Certification",
        ISNUMBER(SEARCH("Khalid Saad Al Otaibi",M196)),"Trading Company",
        ISNUMBER(SEARCH("MERAS for Decoration",M196)),"Decor Company",
        ISNUMBER(SEARCH("Middle East Customs Clearance",M196)),"Customs",
        ISNUMBER(SEARCH("Ministry of Human Resources",M196)),"Government",
        ISNUMBER(SEARCH("My Business Services",M196)),"Service Provider",
        ISNUMBER(SEARCH("National Water Company",M196)),"Water Company",
        ISNUMBER(SEARCH("Rania Contracting",M196)),"Contracting",
        ISNUMBER(SEARCH("Rashid Ali Sheikh",M196)),"Shareholder",
        ISNUMBER(SEARCH("Sahab United Motors",M196)),"Car Show Room",
        ISNUMBER(SEARCH("Saud Mohammed Al Tamimi",M196)),"Shareholder",
        ISNUMBER(SEARCH("Saud Mohammed Tamimi",M196)),"Shareholder",
        ISNUMBER(SEARCH("Saudi Electric Company",M196)),"Electricity Company",
        ISNUMBER(SEARCH("Saudi Vetonit",M196)),"Building Materials",
        ISNUMBER(SEARCH("Shomoul Eng",M196)),"Safety",
        ISNUMBER(SEARCH("STC",M196)),"Telecom Company",
        ISNUMBER(SEARCH("The General Organization for Social Insurance",M196)),"Social Insurance Agency",
        ISNUMBER(SEARCH("TUV Rheinland",M196)),"Certification",
        ISNUMBER(SEARCH("Al Arabia Ceramic",M196)),"Building Materials",
        ISNUMBER(SEARCH("National Company for Building and Marketing",M196)),"Parent Company",
        ISNUMBER(SEARCH("Athraa Holding",M196)),"Holding Company",
        ISNUMBER(SEARCH("Al Rasan",M196)),"Contracting",
        ISNUMBER(SEARCH("Raboua Al Haid",M196)),"Trading Company",
        ISNUMBER(SEARCH("Al Jazeera Paint",M196)),"Manufacturer",
        ISNUMBER(SEARCH("Rania Works Contracting",M196)),"Contracting",
        ISNUMBER(SEARCH("Bandar Jarallah",M196)),"Trading Establishment",
        ISNUMBER(SEARCH("RS Infratec Saudi",M196)),"Same Company",
        ISNUMBER(SEARCH("Payroll",M196)),"Bank",
        ISNUMBER(SEARCH("Expatriate",M196)),"Government",
        ISNUMBER(SEARCH("Unknown Sender",M196)),"Unknown",
        TRUE,"Unknown"
    ),
    "-"
)</f>
        <v>Parent Company</v>
      </c>
      <c r="AA196" s="25" t="str" cm="1">
        <f t="array" ref="AA196">_xlfn.IFNA(
    _xlfn.IFS(
        Z196="Lender","Financing",
        Z196="Accounting","Accounting",
        Z196="Shareholder","Individual",
        Z196="Equipment Rental","Equipment Rental",
        Z196="Telecom Company","Telecom",
        Z196="Manufacturer","Manufacturer",
        Z196="Trading Company","Trading And Transport",
        Z196="Trading Establishment","Trading",
        Z196="Airlines","Airlines",
        Z196="Health Insurance","Insurance",
        Z196="Consultant","Consultant",
        Z196="Tax Collection","Government",
        Z196="Travel Agency","Travel Agency",
        Z196="Medical Services","Medical Center",
        Z196="Online Payment Service","Payment Facilitator",
        Z196="Certification","Safety",
        Z196="Decor Company","Design",
        Z196="Customs","Customs",
        Z196="Government","Government",
        Z196="Service Provider","Service Provider",
        Z196="Water Company","Water Company",
        Z196="Contracting","Contracting",
        Z196="Car Show Room","Car Trader",
        Z196="Electricity Company","Electricity Company",
        Z196="Building Materials","Building Materials",
        Z196="Safety","Safety",
        Z196="Social Insurance Agency","Government Fund",
        Z196="Parent Company","Holding Company",
        Z196="Holding Company","Holding Company",
        Z196="Same Company","Construction",
        Z196="Bank","Bank",
        Z196="Unknown","Unknown",
        TRUE,"-"
    ),
    "-"
)</f>
        <v>Holding Company</v>
      </c>
      <c r="AB196" s="25" t="str">
        <f t="shared" si="13"/>
        <v>-</v>
      </c>
      <c r="AC196" s="25" t="str" cm="1">
        <f t="array" ref="AC196">_xlfn.IFNA(
    _xlfn.IFS(
        Z196="Shareholder","Shareholder",
        Z196="Same Company","Same Company",
        Z196="Bank","Bank",
        Z196="Government","Government",
        Z196="Social Insurance Agency","Government",
        Z196="Parent Company","Customer",
        Z196="Lender","Lender",
        Z196="Unknown","Unknown",
        ISNUMBER(SEARCH("Abdullah Abdulkarim",M196)),"Service Provider",
        ISNUMBER(SEARCH("Abdullah Fahad",M196)),"Service Provider",
        ISNUMBER(SEARCH("Advanced Equipments",M196)),"Supplier",
        ISNUMBER(SEARCH("Al Banuk Sana",M196)),"Supplier",
        ISNUMBER(SEARCH("Al Khaleefa Factory",M196)),"Supplier",
        ISNUMBER(SEARCH("Al Saadeh Trading",M196)),"Supplier",
        ISNUMBER(SEARCH("Al Zaehaan",M196)),"Supplier",
        ISNUMBER(SEARCH("Ali Abdullah K Al Darwish",M196)),"Service Provider",
        ISNUMBER(SEARCH("Bupa Arabia",M196)),"Insurance Company",
        ISNUMBER(SEARCH("Dar Fahoosaat",M196)),"Service Provider",
        ISNUMBER(SEARCH("General Authority of Zakat",M196)),"Tax Authority",
        ISNUMBER(SEARCH("Gulf Voyager",M196)),"Service Provider",
        ISNUMBER(SEARCH("Hopeway Trading",M196)),"Supplier",
        ISNUMBER(SEARCH("Interhealth Medical",M196)),"Customer",
        ISNUMBER(SEARCH("Ishaar",M196)),"Service Provider",
        ISNUMBER(SEARCH("ISO Arabia",M196)),"Service Provider",
        ISNUMBER(SEARCH("Khalid Saad Al Otaibi",M196)),"Supplier",
        ISNUMBER(SEARCH("MERAS for Decoration",M196)),"Supplier",
        ISNUMBER(SEARCH("Middle East Customs Clearance",M196)),"Service Provider",
        ISNUMBER(SEARCH("Ministry of Human Resources",M196)),"Regulatory Agency",
        ISNUMBER(SEARCH("My Business Services",M196)),"Service Provider",
        ISNUMBER(SEARCH("National Water Company",M196)),"Utility Provider",
        ISNUMBER(SEARCH("Rania Contracting",M196)),"Supplier",
        ISNUMBER(SEARCH("Sahab United Motors",M196)),"Supplier",
        ISNUMBER(SEARCH("Saudi Electric Company",M196)),"Utility Provider",
        ISNUMBER(SEARCH("Saudi Vetonit",M196)),"Supplier",
        ISNUMBER(SEARCH("Shomoul Eng",M196)),"Service Provider",
        ISNUMBER(SEARCH("STC",M196)),"Utility Provider",
        ISNUMBER(SEARCH("The General Organization for Social Insurance",M196)),"Social Insurance Agency",
        ISNUMBER(SEARCH("TUV Rheinland",M196)),"Service Provider",
        ISNUMBER(SEARCH("Al Arabia Ceramic",M196)),"Supplier",
        ISNUMBER(SEARCH("National Company for Building",M196)),"Customer",
        ISNUMBER(SEARCH("Athraa Holding",M196)),"Customer",
        ISNUMBER(SEARCH("Al Rasan",M196)),"Supplier",
        ISNUMBER(SEARCH("Raboua Al Haid",M196)),"Customer",
        ISNUMBER(SEARCH("Al Jazeera Paint",M196)),"Supplier",
        ISNUMBER(SEARCH("Rania Works Contracting",M196)),"Supplier",
        ISNUMBER(SEARCH("Bandar Jarallah",M196)),"Supplier",
        TRUE,"Supplier"
    ),
    "-"
)</f>
        <v>Customer</v>
      </c>
      <c r="AD196" s="25" t="str" cm="1">
        <f t="array" ref="AD196">_xlfn.IFNA(
    _xlfn.IFS(
        AC196="Same Company","High",
        AC196="Shareholder","High",
        AC196="Government","High",
        AC196="Bank","High",
        AC196="Lender","High",
        AC196="Unknown","Low",
        AC196="-","Low",
        TRUE,"Medium"
    ),
    "-"
)</f>
        <v>Medium</v>
      </c>
      <c r="AE196" s="25" t="str">
        <f t="shared" si="14"/>
        <v>-</v>
      </c>
      <c r="AF196" s="25" t="str" cm="1">
        <f t="array" ref="AF196">_xlfn.IFNA(
    _xlfn.IFS(
        K196="Credit",
            _xlfn.IFS(
                OR(ISNUMBER(SEARCH("Rejected",L196)),ISNUMBER(SEARCH("Returned",L196))),"Other Income",
                TRUE,"Revenue"
            ),
        K196="Debit",
            _xlfn.IFS(
                ISNUMBER(SEARCH("Payroll",L196)),"OPEX",
                ISNUMBER(SEARCH("Expatriate",L196)),"OPEX",
                ISNUMBER(SEARCH("Zakat",M196)),"ZATCA",
                ISNUMBER(SEARCH("General Organization for Social Insurance",M196)),"OPEX",
                ISNUMBER(SEARCH("Saudi Electric",M196)),"OPEX",
                ISNUMBER(SEARCH("STC",M196)),"OPEX",
                ISNUMBER(SEARCH("National Water",M196)),"OPEX",
                ISNUMBER(SEARCH("Bupa",M196)),"OPEX",
                ISNUMBER(SEARCH("Abdullah Abdulkarim",M196)),"OPEX",
                ISNUMBER(SEARCH("Abdullah Fahad",M196)),"OPEX",
                ISNUMBER(SEARCH("ISO Arabia",M196)),"OPEX",
                ISNUMBER(SEARCH("Gulf Voyager",M196)),"OPEX",
                ISNUMBER(SEARCH("Ministry",M196)),"OPEX",
                ISNUMBER(SEARCH("General Authority of Zakat",M196)),"ZATCA",
                ISNUMBER(SEARCH("Rejected",L196)),"Other Income",
                TRUE,"COGS"
            ),
        TRUE,"-"
    ),
    "-"
)</f>
        <v>Revenue</v>
      </c>
      <c r="AG196" s="25" t="str" cm="1">
        <f t="array" ref="AG196">_xlfn.IFNA(
    _xlfn.IFS(
        ISNUMBER(SEARCH("Payroll",L196)),"Payroll",
        ISNUMBER(SEARCH("Expatriate",L196)),"Government Fees",
        ISNUMBER(SEARCH("Zakat",M196)),"Zakat",
        ISNUMBER(SEARCH("Social Insurance",M196)),"Social Insurance",
        ISNUMBER(SEARCH("Saudi Electric",M196)),"Electricity",
        ISNUMBER(SEARCH("STC",M196)),"Telecom",
        ISNUMBER(SEARCH("National Water",M196)),"Water",
        ISNUMBER(SEARCH("Bupa",M196)),"Insurance",
        ISNUMBER(SEARCH("Gulf Voyager",M196)),"Travel",
        ISNUMBER(SEARCH("Ministry",M196)),"Government Fees",
        ISNUMBER(SEARCH("Abdullah Abdulkarim",M196)),"Consulting",
        ISNUMBER(SEARCH("Abdullah Fahad",M196)),"Accounting",
        ISNUMBER(SEARCH("ISO Arabia",M196)),"Consulting",
        ISNUMBER(SEARCH("Rejected",L196)),"Refund",
        AF196="COGS","Inventory Purchase",
        AF196="Revenue","Revenue",
        AF196="OPEX","Other",
        AF196="ZATCA","Zakat",
        TRUE,"-"
    ),
    "-"
)</f>
        <v>Revenue</v>
      </c>
      <c r="AH196" s="25" t="str" cm="1">
        <f t="array" ref="AH196">_xlfn.IFNA(
    _xlfn.IFS(
        AF196="-","Low",
        AF196="Other","Low",
        TRUE,"Medium"
    ),
    "-"
)</f>
        <v>Medium</v>
      </c>
      <c r="AI196" s="25" t="str">
        <f t="shared" si="15"/>
        <v>-</v>
      </c>
    </row>
    <row r="197" spans="1:35" x14ac:dyDescent="0.25">
      <c r="A197" s="10">
        <v>59</v>
      </c>
      <c r="B197" s="10" t="s">
        <v>35</v>
      </c>
      <c r="C197" s="10" t="s">
        <v>36</v>
      </c>
      <c r="D197" s="10" t="s">
        <v>37</v>
      </c>
      <c r="E197" s="10" t="s">
        <v>38</v>
      </c>
      <c r="F197" s="11" t="s">
        <v>39</v>
      </c>
      <c r="G197" s="10" t="s">
        <v>40</v>
      </c>
      <c r="H197" s="12">
        <v>45064</v>
      </c>
      <c r="I197" s="20">
        <v>85506.52</v>
      </c>
      <c r="J197" s="20">
        <v>70000</v>
      </c>
      <c r="K197" s="10" t="s">
        <v>116</v>
      </c>
      <c r="L197" s="9" t="s">
        <v>224</v>
      </c>
      <c r="M197" s="9" t="s">
        <v>231</v>
      </c>
      <c r="O197" s="9" t="s">
        <v>226</v>
      </c>
      <c r="P197" s="15">
        <v>45064</v>
      </c>
      <c r="Q197" s="9" t="s">
        <v>290</v>
      </c>
      <c r="R197" s="16">
        <v>70000</v>
      </c>
      <c r="U197" s="9" t="s">
        <v>55</v>
      </c>
      <c r="V197" s="24" t="str" cm="1">
        <f t="array" ref="V197">_xlfn.IFNA(
    _xlfn.IFS(
        ISNUMBER(SEARCH("Fast Outgoing Transfer",L197)),"Transfer",
        ISNUMBER(SEARCH("Incoming Fast Transfer",L197)),"Transfer",
        ISNUMBER(SEARCH("Outgoing International Transfer",L197)),"Transfer",
        ISNUMBER(SEARCH("Bill Payment",L197)),"SADAD",
        ISNUMBER(SEARCH("Payroll",L197)),"Payroll",
        ISNUMBER(SEARCH("Cash Deposit",L197)),"Cash",
        ISNUMBER(SEARCH("Internal Transfer",L197)),"Transfer",
        ISNUMBER(SEARCH("Expatriate Services Payment",L197)),"SADAD",
        ISNUMBER(SEARCH("Rejected",L197)),"Transfer"
    ),
    "-"
)</f>
        <v>Transfer</v>
      </c>
      <c r="W197" s="25" t="str" cm="1">
        <f t="array" ref="W197">_xlfn.IFNA(
    _xlfn.IFS(
        AND(V197="Transfer",ISNUMBER(SEARCH("RIYAD BANK",L197))),"External FI",
        AND(V197="Transfer",ISNUMBER(SEARCH("Al Ahli",L197))),"External FI",
        AND(V197="Transfer",ISNUMBER(SEARCH("CIB via",L197))),"Local Transfer",
        AND(V197="Transfer",ISNUMBER(SEARCH("CIB)",L197))),"Local Transfer",
        AND(V197="Transfer",ISNUMBER(SEARCH("SMRT",L197))),"Local Transfer",
        AND(V197="Transfer",ISNUMBER(SEARCH("Al Murabba",L197))),"Local Transfer",
        AND(V197="Transfer",ISNUMBER(SEARCH("Internal Transfer",L197))),"Same FI",
        AND(V197="Transfer",ISNUMBER(SEARCH("Rejected",L197))),"Failed",
        V197="SADAD",
            _xlfn.IFS(
                ISNUMBER(SEARCH("Expatriate",L197)),"Expat Fees",
                TRUE,"Online Payment"
            ),
        V197="Payroll","Payroll",
        V197="Cash","Deposit",
        TRUE,"-"
    ),
    "-"
)</f>
        <v>Local Transfer</v>
      </c>
      <c r="X197" s="25" t="str" cm="1">
        <f t="array" ref="X197">_xlfn.IFNA(
    _xlfn.IFS(
        V197="-","Low",
        W197="-","Low",
        TRUE,"High"
    ),
    "-"
)</f>
        <v>High</v>
      </c>
      <c r="Y197" s="25" t="str">
        <f t="shared" si="12"/>
        <v>-</v>
      </c>
      <c r="Z197" s="25" t="str" cm="1">
        <f t="array" ref="Z197">_xlfn.IFNA(
    _xlfn.IFS(
        ISNUMBER(SEARCH("Abdul Latif Jameel",M197)),"Lender",
        ISNUMBER(SEARCH("Abdullah Abdulkarim Al Sudais",M197)),"Accounting",
        ISNUMBER(SEARCH("Abdullah Fahad for Accounting",M197)),"Accounting",
        ISNUMBER(SEARCH("Abdullah Rashid Shaikh",M197)),"Shareholder",
        ISNUMBER(SEARCH("Advanced Equipments",M197)),"Equipment Rental",
        ISNUMBER(SEARCH("Al Banuk Sana",M197)),"Telecom Company",
        ISNUMBER(SEARCH("Al Khaleefa Factory",M197)),"Manufacturer",
        ISNUMBER(SEARCH("Al Saadeh Trading",M197)),"Trading Company",
        ISNUMBER(SEARCH("Al Zaehaan",M197)),"Trading Company",
        ISNUMBER(SEARCH("Ali Abdullah K Al Darwish",M197)),"Airlines",
        ISNUMBER(SEARCH("Bupa Arabia",M197)),"Health Insurance",
        ISNUMBER(SEARCH("Dar Fahoosaat",M197)),"Consultant",
        ISNUMBER(SEARCH("General Authority of Zakat",M197)),"Tax Collection",
        ISNUMBER(SEARCH("Gulf Voyager",M197)),"Travel Agency",
        ISNUMBER(SEARCH("Hopeway Trading",M197)),"Trading Company",
        ISNUMBER(SEARCH("Interhealth Medical",M197)),"Medical Services",
        ISNUMBER(SEARCH("Ishaar",M197)),"Online Payment Service",
        ISNUMBER(SEARCH("ISO Arabia",M197)),"Certification",
        ISNUMBER(SEARCH("Khalid Saad Al Otaibi",M197)),"Trading Company",
        ISNUMBER(SEARCH("MERAS for Decoration",M197)),"Decor Company",
        ISNUMBER(SEARCH("Middle East Customs Clearance",M197)),"Customs",
        ISNUMBER(SEARCH("Ministry of Human Resources",M197)),"Government",
        ISNUMBER(SEARCH("My Business Services",M197)),"Service Provider",
        ISNUMBER(SEARCH("National Water Company",M197)),"Water Company",
        ISNUMBER(SEARCH("Rania Contracting",M197)),"Contracting",
        ISNUMBER(SEARCH("Rashid Ali Sheikh",M197)),"Shareholder",
        ISNUMBER(SEARCH("Sahab United Motors",M197)),"Car Show Room",
        ISNUMBER(SEARCH("Saud Mohammed Al Tamimi",M197)),"Shareholder",
        ISNUMBER(SEARCH("Saud Mohammed Tamimi",M197)),"Shareholder",
        ISNUMBER(SEARCH("Saudi Electric Company",M197)),"Electricity Company",
        ISNUMBER(SEARCH("Saudi Vetonit",M197)),"Building Materials",
        ISNUMBER(SEARCH("Shomoul Eng",M197)),"Safety",
        ISNUMBER(SEARCH("STC",M197)),"Telecom Company",
        ISNUMBER(SEARCH("The General Organization for Social Insurance",M197)),"Social Insurance Agency",
        ISNUMBER(SEARCH("TUV Rheinland",M197)),"Certification",
        ISNUMBER(SEARCH("Al Arabia Ceramic",M197)),"Building Materials",
        ISNUMBER(SEARCH("National Company for Building and Marketing",M197)),"Parent Company",
        ISNUMBER(SEARCH("Athraa Holding",M197)),"Holding Company",
        ISNUMBER(SEARCH("Al Rasan",M197)),"Contracting",
        ISNUMBER(SEARCH("Raboua Al Haid",M197)),"Trading Company",
        ISNUMBER(SEARCH("Al Jazeera Paint",M197)),"Manufacturer",
        ISNUMBER(SEARCH("Rania Works Contracting",M197)),"Contracting",
        ISNUMBER(SEARCH("Bandar Jarallah",M197)),"Trading Establishment",
        ISNUMBER(SEARCH("RS Infratec Saudi",M197)),"Same Company",
        ISNUMBER(SEARCH("Payroll",M197)),"Bank",
        ISNUMBER(SEARCH("Expatriate",M197)),"Government",
        ISNUMBER(SEARCH("Unknown Sender",M197)),"Unknown",
        TRUE,"Unknown"
    ),
    "-"
)</f>
        <v>Parent Company</v>
      </c>
      <c r="AA197" s="25" t="str" cm="1">
        <f t="array" ref="AA197">_xlfn.IFNA(
    _xlfn.IFS(
        Z197="Lender","Financing",
        Z197="Accounting","Accounting",
        Z197="Shareholder","Individual",
        Z197="Equipment Rental","Equipment Rental",
        Z197="Telecom Company","Telecom",
        Z197="Manufacturer","Manufacturer",
        Z197="Trading Company","Trading And Transport",
        Z197="Trading Establishment","Trading",
        Z197="Airlines","Airlines",
        Z197="Health Insurance","Insurance",
        Z197="Consultant","Consultant",
        Z197="Tax Collection","Government",
        Z197="Travel Agency","Travel Agency",
        Z197="Medical Services","Medical Center",
        Z197="Online Payment Service","Payment Facilitator",
        Z197="Certification","Safety",
        Z197="Decor Company","Design",
        Z197="Customs","Customs",
        Z197="Government","Government",
        Z197="Service Provider","Service Provider",
        Z197="Water Company","Water Company",
        Z197="Contracting","Contracting",
        Z197="Car Show Room","Car Trader",
        Z197="Electricity Company","Electricity Company",
        Z197="Building Materials","Building Materials",
        Z197="Safety","Safety",
        Z197="Social Insurance Agency","Government Fund",
        Z197="Parent Company","Holding Company",
        Z197="Holding Company","Holding Company",
        Z197="Same Company","Construction",
        Z197="Bank","Bank",
        Z197="Unknown","Unknown",
        TRUE,"-"
    ),
    "-"
)</f>
        <v>Holding Company</v>
      </c>
      <c r="AB197" s="25" t="str">
        <f t="shared" si="13"/>
        <v>-</v>
      </c>
      <c r="AC197" s="25" t="str" cm="1">
        <f t="array" ref="AC197">_xlfn.IFNA(
    _xlfn.IFS(
        Z197="Shareholder","Shareholder",
        Z197="Same Company","Same Company",
        Z197="Bank","Bank",
        Z197="Government","Government",
        Z197="Social Insurance Agency","Government",
        Z197="Parent Company","Customer",
        Z197="Lender","Lender",
        Z197="Unknown","Unknown",
        ISNUMBER(SEARCH("Abdullah Abdulkarim",M197)),"Service Provider",
        ISNUMBER(SEARCH("Abdullah Fahad",M197)),"Service Provider",
        ISNUMBER(SEARCH("Advanced Equipments",M197)),"Supplier",
        ISNUMBER(SEARCH("Al Banuk Sana",M197)),"Supplier",
        ISNUMBER(SEARCH("Al Khaleefa Factory",M197)),"Supplier",
        ISNUMBER(SEARCH("Al Saadeh Trading",M197)),"Supplier",
        ISNUMBER(SEARCH("Al Zaehaan",M197)),"Supplier",
        ISNUMBER(SEARCH("Ali Abdullah K Al Darwish",M197)),"Service Provider",
        ISNUMBER(SEARCH("Bupa Arabia",M197)),"Insurance Company",
        ISNUMBER(SEARCH("Dar Fahoosaat",M197)),"Service Provider",
        ISNUMBER(SEARCH("General Authority of Zakat",M197)),"Tax Authority",
        ISNUMBER(SEARCH("Gulf Voyager",M197)),"Service Provider",
        ISNUMBER(SEARCH("Hopeway Trading",M197)),"Supplier",
        ISNUMBER(SEARCH("Interhealth Medical",M197)),"Customer",
        ISNUMBER(SEARCH("Ishaar",M197)),"Service Provider",
        ISNUMBER(SEARCH("ISO Arabia",M197)),"Service Provider",
        ISNUMBER(SEARCH("Khalid Saad Al Otaibi",M197)),"Supplier",
        ISNUMBER(SEARCH("MERAS for Decoration",M197)),"Supplier",
        ISNUMBER(SEARCH("Middle East Customs Clearance",M197)),"Service Provider",
        ISNUMBER(SEARCH("Ministry of Human Resources",M197)),"Regulatory Agency",
        ISNUMBER(SEARCH("My Business Services",M197)),"Service Provider",
        ISNUMBER(SEARCH("National Water Company",M197)),"Utility Provider",
        ISNUMBER(SEARCH("Rania Contracting",M197)),"Supplier",
        ISNUMBER(SEARCH("Sahab United Motors",M197)),"Supplier",
        ISNUMBER(SEARCH("Saudi Electric Company",M197)),"Utility Provider",
        ISNUMBER(SEARCH("Saudi Vetonit",M197)),"Supplier",
        ISNUMBER(SEARCH("Shomoul Eng",M197)),"Service Provider",
        ISNUMBER(SEARCH("STC",M197)),"Utility Provider",
        ISNUMBER(SEARCH("The General Organization for Social Insurance",M197)),"Social Insurance Agency",
        ISNUMBER(SEARCH("TUV Rheinland",M197)),"Service Provider",
        ISNUMBER(SEARCH("Al Arabia Ceramic",M197)),"Supplier",
        ISNUMBER(SEARCH("National Company for Building",M197)),"Customer",
        ISNUMBER(SEARCH("Athraa Holding",M197)),"Customer",
        ISNUMBER(SEARCH("Al Rasan",M197)),"Supplier",
        ISNUMBER(SEARCH("Raboua Al Haid",M197)),"Customer",
        ISNUMBER(SEARCH("Al Jazeera Paint",M197)),"Supplier",
        ISNUMBER(SEARCH("Rania Works Contracting",M197)),"Supplier",
        ISNUMBER(SEARCH("Bandar Jarallah",M197)),"Supplier",
        TRUE,"Supplier"
    ),
    "-"
)</f>
        <v>Customer</v>
      </c>
      <c r="AD197" s="25" t="str" cm="1">
        <f t="array" ref="AD197">_xlfn.IFNA(
    _xlfn.IFS(
        AC197="Same Company","High",
        AC197="Shareholder","High",
        AC197="Government","High",
        AC197="Bank","High",
        AC197="Lender","High",
        AC197="Unknown","Low",
        AC197="-","Low",
        TRUE,"Medium"
    ),
    "-"
)</f>
        <v>Medium</v>
      </c>
      <c r="AE197" s="25" t="str">
        <f t="shared" si="14"/>
        <v>-</v>
      </c>
      <c r="AF197" s="25" t="str" cm="1">
        <f t="array" ref="AF197">_xlfn.IFNA(
    _xlfn.IFS(
        K197="Credit",
            _xlfn.IFS(
                OR(ISNUMBER(SEARCH("Rejected",L197)),ISNUMBER(SEARCH("Returned",L197))),"Other Income",
                TRUE,"Revenue"
            ),
        K197="Debit",
            _xlfn.IFS(
                ISNUMBER(SEARCH("Payroll",L197)),"OPEX",
                ISNUMBER(SEARCH("Expatriate",L197)),"OPEX",
                ISNUMBER(SEARCH("Zakat",M197)),"ZATCA",
                ISNUMBER(SEARCH("General Organization for Social Insurance",M197)),"OPEX",
                ISNUMBER(SEARCH("Saudi Electric",M197)),"OPEX",
                ISNUMBER(SEARCH("STC",M197)),"OPEX",
                ISNUMBER(SEARCH("National Water",M197)),"OPEX",
                ISNUMBER(SEARCH("Bupa",M197)),"OPEX",
                ISNUMBER(SEARCH("Abdullah Abdulkarim",M197)),"OPEX",
                ISNUMBER(SEARCH("Abdullah Fahad",M197)),"OPEX",
                ISNUMBER(SEARCH("ISO Arabia",M197)),"OPEX",
                ISNUMBER(SEARCH("Gulf Voyager",M197)),"OPEX",
                ISNUMBER(SEARCH("Ministry",M197)),"OPEX",
                ISNUMBER(SEARCH("General Authority of Zakat",M197)),"ZATCA",
                ISNUMBER(SEARCH("Rejected",L197)),"Other Income",
                TRUE,"COGS"
            ),
        TRUE,"-"
    ),
    "-"
)</f>
        <v>Revenue</v>
      </c>
      <c r="AG197" s="25" t="str" cm="1">
        <f t="array" ref="AG197">_xlfn.IFNA(
    _xlfn.IFS(
        ISNUMBER(SEARCH("Payroll",L197)),"Payroll",
        ISNUMBER(SEARCH("Expatriate",L197)),"Government Fees",
        ISNUMBER(SEARCH("Zakat",M197)),"Zakat",
        ISNUMBER(SEARCH("Social Insurance",M197)),"Social Insurance",
        ISNUMBER(SEARCH("Saudi Electric",M197)),"Electricity",
        ISNUMBER(SEARCH("STC",M197)),"Telecom",
        ISNUMBER(SEARCH("National Water",M197)),"Water",
        ISNUMBER(SEARCH("Bupa",M197)),"Insurance",
        ISNUMBER(SEARCH("Gulf Voyager",M197)),"Travel",
        ISNUMBER(SEARCH("Ministry",M197)),"Government Fees",
        ISNUMBER(SEARCH("Abdullah Abdulkarim",M197)),"Consulting",
        ISNUMBER(SEARCH("Abdullah Fahad",M197)),"Accounting",
        ISNUMBER(SEARCH("ISO Arabia",M197)),"Consulting",
        ISNUMBER(SEARCH("Rejected",L197)),"Refund",
        AF197="COGS","Inventory Purchase",
        AF197="Revenue","Revenue",
        AF197="OPEX","Other",
        AF197="ZATCA","Zakat",
        TRUE,"-"
    ),
    "-"
)</f>
        <v>Revenue</v>
      </c>
      <c r="AH197" s="25" t="str" cm="1">
        <f t="array" ref="AH197">_xlfn.IFNA(
    _xlfn.IFS(
        AF197="-","Low",
        AF197="Other","Low",
        TRUE,"Medium"
    ),
    "-"
)</f>
        <v>Medium</v>
      </c>
      <c r="AI197" s="25" t="str">
        <f t="shared" si="15"/>
        <v>-</v>
      </c>
    </row>
    <row r="198" spans="1:35" x14ac:dyDescent="0.25">
      <c r="A198" s="10">
        <v>59</v>
      </c>
      <c r="B198" s="10" t="s">
        <v>35</v>
      </c>
      <c r="C198" s="10" t="s">
        <v>36</v>
      </c>
      <c r="D198" s="10" t="s">
        <v>37</v>
      </c>
      <c r="E198" s="10" t="s">
        <v>38</v>
      </c>
      <c r="F198" s="11" t="s">
        <v>39</v>
      </c>
      <c r="G198" s="11" t="s">
        <v>40</v>
      </c>
      <c r="H198" s="12">
        <v>45067</v>
      </c>
      <c r="I198" s="20">
        <v>126596.47</v>
      </c>
      <c r="J198" s="20">
        <v>100000</v>
      </c>
      <c r="K198" s="10" t="s">
        <v>116</v>
      </c>
      <c r="L198" s="9" t="s">
        <v>230</v>
      </c>
      <c r="M198" s="9" t="s">
        <v>231</v>
      </c>
      <c r="N198" s="9" t="s">
        <v>232</v>
      </c>
      <c r="O198" s="9" t="s">
        <v>233</v>
      </c>
      <c r="P198" s="15">
        <v>45067</v>
      </c>
      <c r="Q198" s="9" t="s">
        <v>291</v>
      </c>
      <c r="R198" s="16">
        <v>100000</v>
      </c>
      <c r="U198" s="9" t="s">
        <v>55</v>
      </c>
      <c r="V198" s="24" t="str" cm="1">
        <f t="array" ref="V198">_xlfn.IFNA(
    _xlfn.IFS(
        ISNUMBER(SEARCH("Fast Outgoing Transfer",L198)),"Transfer",
        ISNUMBER(SEARCH("Incoming Fast Transfer",L198)),"Transfer",
        ISNUMBER(SEARCH("Outgoing International Transfer",L198)),"Transfer",
        ISNUMBER(SEARCH("Bill Payment",L198)),"SADAD",
        ISNUMBER(SEARCH("Payroll",L198)),"Payroll",
        ISNUMBER(SEARCH("Cash Deposit",L198)),"Cash",
        ISNUMBER(SEARCH("Internal Transfer",L198)),"Transfer",
        ISNUMBER(SEARCH("Expatriate Services Payment",L198)),"SADAD",
        ISNUMBER(SEARCH("Rejected",L198)),"Transfer"
    ),
    "-"
)</f>
        <v>Transfer</v>
      </c>
      <c r="W198" s="25" t="str" cm="1">
        <f t="array" ref="W198">_xlfn.IFNA(
    _xlfn.IFS(
        AND(V198="Transfer",ISNUMBER(SEARCH("RIYAD BANK",L198))),"External FI",
        AND(V198="Transfer",ISNUMBER(SEARCH("Al Ahli",L198))),"External FI",
        AND(V198="Transfer",ISNUMBER(SEARCH("CIB via",L198))),"Local Transfer",
        AND(V198="Transfer",ISNUMBER(SEARCH("CIB)",L198))),"Local Transfer",
        AND(V198="Transfer",ISNUMBER(SEARCH("SMRT",L198))),"Local Transfer",
        AND(V198="Transfer",ISNUMBER(SEARCH("Al Murabba",L198))),"Local Transfer",
        AND(V198="Transfer",ISNUMBER(SEARCH("Internal Transfer",L198))),"Same FI",
        AND(V198="Transfer",ISNUMBER(SEARCH("Rejected",L198))),"Failed",
        V198="SADAD",
            _xlfn.IFS(
                ISNUMBER(SEARCH("Expatriate",L198)),"Expat Fees",
                TRUE,"Online Payment"
            ),
        V198="Payroll","Payroll",
        V198="Cash","Deposit",
        TRUE,"-"
    ),
    "-"
)</f>
        <v>External FI</v>
      </c>
      <c r="X198" s="25" t="str" cm="1">
        <f t="array" ref="X198">_xlfn.IFNA(
    _xlfn.IFS(
        V198="-","Low",
        W198="-","Low",
        TRUE,"High"
    ),
    "-"
)</f>
        <v>High</v>
      </c>
      <c r="Y198" s="25" t="str">
        <f t="shared" si="12"/>
        <v>-</v>
      </c>
      <c r="Z198" s="25" t="str" cm="1">
        <f t="array" ref="Z198">_xlfn.IFNA(
    _xlfn.IFS(
        ISNUMBER(SEARCH("Abdul Latif Jameel",M198)),"Lender",
        ISNUMBER(SEARCH("Abdullah Abdulkarim Al Sudais",M198)),"Accounting",
        ISNUMBER(SEARCH("Abdullah Fahad for Accounting",M198)),"Accounting",
        ISNUMBER(SEARCH("Abdullah Rashid Shaikh",M198)),"Shareholder",
        ISNUMBER(SEARCH("Advanced Equipments",M198)),"Equipment Rental",
        ISNUMBER(SEARCH("Al Banuk Sana",M198)),"Telecom Company",
        ISNUMBER(SEARCH("Al Khaleefa Factory",M198)),"Manufacturer",
        ISNUMBER(SEARCH("Al Saadeh Trading",M198)),"Trading Company",
        ISNUMBER(SEARCH("Al Zaehaan",M198)),"Trading Company",
        ISNUMBER(SEARCH("Ali Abdullah K Al Darwish",M198)),"Airlines",
        ISNUMBER(SEARCH("Bupa Arabia",M198)),"Health Insurance",
        ISNUMBER(SEARCH("Dar Fahoosaat",M198)),"Consultant",
        ISNUMBER(SEARCH("General Authority of Zakat",M198)),"Tax Collection",
        ISNUMBER(SEARCH("Gulf Voyager",M198)),"Travel Agency",
        ISNUMBER(SEARCH("Hopeway Trading",M198)),"Trading Company",
        ISNUMBER(SEARCH("Interhealth Medical",M198)),"Medical Services",
        ISNUMBER(SEARCH("Ishaar",M198)),"Online Payment Service",
        ISNUMBER(SEARCH("ISO Arabia",M198)),"Certification",
        ISNUMBER(SEARCH("Khalid Saad Al Otaibi",M198)),"Trading Company",
        ISNUMBER(SEARCH("MERAS for Decoration",M198)),"Decor Company",
        ISNUMBER(SEARCH("Middle East Customs Clearance",M198)),"Customs",
        ISNUMBER(SEARCH("Ministry of Human Resources",M198)),"Government",
        ISNUMBER(SEARCH("My Business Services",M198)),"Service Provider",
        ISNUMBER(SEARCH("National Water Company",M198)),"Water Company",
        ISNUMBER(SEARCH("Rania Contracting",M198)),"Contracting",
        ISNUMBER(SEARCH("Rashid Ali Sheikh",M198)),"Shareholder",
        ISNUMBER(SEARCH("Sahab United Motors",M198)),"Car Show Room",
        ISNUMBER(SEARCH("Saud Mohammed Al Tamimi",M198)),"Shareholder",
        ISNUMBER(SEARCH("Saud Mohammed Tamimi",M198)),"Shareholder",
        ISNUMBER(SEARCH("Saudi Electric Company",M198)),"Electricity Company",
        ISNUMBER(SEARCH("Saudi Vetonit",M198)),"Building Materials",
        ISNUMBER(SEARCH("Shomoul Eng",M198)),"Safety",
        ISNUMBER(SEARCH("STC",M198)),"Telecom Company",
        ISNUMBER(SEARCH("The General Organization for Social Insurance",M198)),"Social Insurance Agency",
        ISNUMBER(SEARCH("TUV Rheinland",M198)),"Certification",
        ISNUMBER(SEARCH("Al Arabia Ceramic",M198)),"Building Materials",
        ISNUMBER(SEARCH("National Company for Building and Marketing",M198)),"Parent Company",
        ISNUMBER(SEARCH("Athraa Holding",M198)),"Holding Company",
        ISNUMBER(SEARCH("Al Rasan",M198)),"Contracting",
        ISNUMBER(SEARCH("Raboua Al Haid",M198)),"Trading Company",
        ISNUMBER(SEARCH("Al Jazeera Paint",M198)),"Manufacturer",
        ISNUMBER(SEARCH("Rania Works Contracting",M198)),"Contracting",
        ISNUMBER(SEARCH("Bandar Jarallah",M198)),"Trading Establishment",
        ISNUMBER(SEARCH("RS Infratec Saudi",M198)),"Same Company",
        ISNUMBER(SEARCH("Payroll",M198)),"Bank",
        ISNUMBER(SEARCH("Expatriate",M198)),"Government",
        ISNUMBER(SEARCH("Unknown Sender",M198)),"Unknown",
        TRUE,"Unknown"
    ),
    "-"
)</f>
        <v>Parent Company</v>
      </c>
      <c r="AA198" s="25" t="str" cm="1">
        <f t="array" ref="AA198">_xlfn.IFNA(
    _xlfn.IFS(
        Z198="Lender","Financing",
        Z198="Accounting","Accounting",
        Z198="Shareholder","Individual",
        Z198="Equipment Rental","Equipment Rental",
        Z198="Telecom Company","Telecom",
        Z198="Manufacturer","Manufacturer",
        Z198="Trading Company","Trading And Transport",
        Z198="Trading Establishment","Trading",
        Z198="Airlines","Airlines",
        Z198="Health Insurance","Insurance",
        Z198="Consultant","Consultant",
        Z198="Tax Collection","Government",
        Z198="Travel Agency","Travel Agency",
        Z198="Medical Services","Medical Center",
        Z198="Online Payment Service","Payment Facilitator",
        Z198="Certification","Safety",
        Z198="Decor Company","Design",
        Z198="Customs","Customs",
        Z198="Government","Government",
        Z198="Service Provider","Service Provider",
        Z198="Water Company","Water Company",
        Z198="Contracting","Contracting",
        Z198="Car Show Room","Car Trader",
        Z198="Electricity Company","Electricity Company",
        Z198="Building Materials","Building Materials",
        Z198="Safety","Safety",
        Z198="Social Insurance Agency","Government Fund",
        Z198="Parent Company","Holding Company",
        Z198="Holding Company","Holding Company",
        Z198="Same Company","Construction",
        Z198="Bank","Bank",
        Z198="Unknown","Unknown",
        TRUE,"-"
    ),
    "-"
)</f>
        <v>Holding Company</v>
      </c>
      <c r="AB198" s="25" t="str">
        <f t="shared" si="13"/>
        <v>-</v>
      </c>
      <c r="AC198" s="25" t="str" cm="1">
        <f t="array" ref="AC198">_xlfn.IFNA(
    _xlfn.IFS(
        Z198="Shareholder","Shareholder",
        Z198="Same Company","Same Company",
        Z198="Bank","Bank",
        Z198="Government","Government",
        Z198="Social Insurance Agency","Government",
        Z198="Parent Company","Customer",
        Z198="Lender","Lender",
        Z198="Unknown","Unknown",
        ISNUMBER(SEARCH("Abdullah Abdulkarim",M198)),"Service Provider",
        ISNUMBER(SEARCH("Abdullah Fahad",M198)),"Service Provider",
        ISNUMBER(SEARCH("Advanced Equipments",M198)),"Supplier",
        ISNUMBER(SEARCH("Al Banuk Sana",M198)),"Supplier",
        ISNUMBER(SEARCH("Al Khaleefa Factory",M198)),"Supplier",
        ISNUMBER(SEARCH("Al Saadeh Trading",M198)),"Supplier",
        ISNUMBER(SEARCH("Al Zaehaan",M198)),"Supplier",
        ISNUMBER(SEARCH("Ali Abdullah K Al Darwish",M198)),"Service Provider",
        ISNUMBER(SEARCH("Bupa Arabia",M198)),"Insurance Company",
        ISNUMBER(SEARCH("Dar Fahoosaat",M198)),"Service Provider",
        ISNUMBER(SEARCH("General Authority of Zakat",M198)),"Tax Authority",
        ISNUMBER(SEARCH("Gulf Voyager",M198)),"Service Provider",
        ISNUMBER(SEARCH("Hopeway Trading",M198)),"Supplier",
        ISNUMBER(SEARCH("Interhealth Medical",M198)),"Customer",
        ISNUMBER(SEARCH("Ishaar",M198)),"Service Provider",
        ISNUMBER(SEARCH("ISO Arabia",M198)),"Service Provider",
        ISNUMBER(SEARCH("Khalid Saad Al Otaibi",M198)),"Supplier",
        ISNUMBER(SEARCH("MERAS for Decoration",M198)),"Supplier",
        ISNUMBER(SEARCH("Middle East Customs Clearance",M198)),"Service Provider",
        ISNUMBER(SEARCH("Ministry of Human Resources",M198)),"Regulatory Agency",
        ISNUMBER(SEARCH("My Business Services",M198)),"Service Provider",
        ISNUMBER(SEARCH("National Water Company",M198)),"Utility Provider",
        ISNUMBER(SEARCH("Rania Contracting",M198)),"Supplier",
        ISNUMBER(SEARCH("Sahab United Motors",M198)),"Supplier",
        ISNUMBER(SEARCH("Saudi Electric Company",M198)),"Utility Provider",
        ISNUMBER(SEARCH("Saudi Vetonit",M198)),"Supplier",
        ISNUMBER(SEARCH("Shomoul Eng",M198)),"Service Provider",
        ISNUMBER(SEARCH("STC",M198)),"Utility Provider",
        ISNUMBER(SEARCH("The General Organization for Social Insurance",M198)),"Social Insurance Agency",
        ISNUMBER(SEARCH("TUV Rheinland",M198)),"Service Provider",
        ISNUMBER(SEARCH("Al Arabia Ceramic",M198)),"Supplier",
        ISNUMBER(SEARCH("National Company for Building",M198)),"Customer",
        ISNUMBER(SEARCH("Athraa Holding",M198)),"Customer",
        ISNUMBER(SEARCH("Al Rasan",M198)),"Supplier",
        ISNUMBER(SEARCH("Raboua Al Haid",M198)),"Customer",
        ISNUMBER(SEARCH("Al Jazeera Paint",M198)),"Supplier",
        ISNUMBER(SEARCH("Rania Works Contracting",M198)),"Supplier",
        ISNUMBER(SEARCH("Bandar Jarallah",M198)),"Supplier",
        TRUE,"Supplier"
    ),
    "-"
)</f>
        <v>Customer</v>
      </c>
      <c r="AD198" s="25" t="str" cm="1">
        <f t="array" ref="AD198">_xlfn.IFNA(
    _xlfn.IFS(
        AC198="Same Company","High",
        AC198="Shareholder","High",
        AC198="Government","High",
        AC198="Bank","High",
        AC198="Lender","High",
        AC198="Unknown","Low",
        AC198="-","Low",
        TRUE,"Medium"
    ),
    "-"
)</f>
        <v>Medium</v>
      </c>
      <c r="AE198" s="25" t="str">
        <f t="shared" si="14"/>
        <v>-</v>
      </c>
      <c r="AF198" s="25" t="str" cm="1">
        <f t="array" ref="AF198">_xlfn.IFNA(
    _xlfn.IFS(
        K198="Credit",
            _xlfn.IFS(
                OR(ISNUMBER(SEARCH("Rejected",L198)),ISNUMBER(SEARCH("Returned",L198))),"Other Income",
                TRUE,"Revenue"
            ),
        K198="Debit",
            _xlfn.IFS(
                ISNUMBER(SEARCH("Payroll",L198)),"OPEX",
                ISNUMBER(SEARCH("Expatriate",L198)),"OPEX",
                ISNUMBER(SEARCH("Zakat",M198)),"ZATCA",
                ISNUMBER(SEARCH("General Organization for Social Insurance",M198)),"OPEX",
                ISNUMBER(SEARCH("Saudi Electric",M198)),"OPEX",
                ISNUMBER(SEARCH("STC",M198)),"OPEX",
                ISNUMBER(SEARCH("National Water",M198)),"OPEX",
                ISNUMBER(SEARCH("Bupa",M198)),"OPEX",
                ISNUMBER(SEARCH("Abdullah Abdulkarim",M198)),"OPEX",
                ISNUMBER(SEARCH("Abdullah Fahad",M198)),"OPEX",
                ISNUMBER(SEARCH("ISO Arabia",M198)),"OPEX",
                ISNUMBER(SEARCH("Gulf Voyager",M198)),"OPEX",
                ISNUMBER(SEARCH("Ministry",M198)),"OPEX",
                ISNUMBER(SEARCH("General Authority of Zakat",M198)),"ZATCA",
                ISNUMBER(SEARCH("Rejected",L198)),"Other Income",
                TRUE,"COGS"
            ),
        TRUE,"-"
    ),
    "-"
)</f>
        <v>Revenue</v>
      </c>
      <c r="AG198" s="25" t="str" cm="1">
        <f t="array" ref="AG198">_xlfn.IFNA(
    _xlfn.IFS(
        ISNUMBER(SEARCH("Payroll",L198)),"Payroll",
        ISNUMBER(SEARCH("Expatriate",L198)),"Government Fees",
        ISNUMBER(SEARCH("Zakat",M198)),"Zakat",
        ISNUMBER(SEARCH("Social Insurance",M198)),"Social Insurance",
        ISNUMBER(SEARCH("Saudi Electric",M198)),"Electricity",
        ISNUMBER(SEARCH("STC",M198)),"Telecom",
        ISNUMBER(SEARCH("National Water",M198)),"Water",
        ISNUMBER(SEARCH("Bupa",M198)),"Insurance",
        ISNUMBER(SEARCH("Gulf Voyager",M198)),"Travel",
        ISNUMBER(SEARCH("Ministry",M198)),"Government Fees",
        ISNUMBER(SEARCH("Abdullah Abdulkarim",M198)),"Consulting",
        ISNUMBER(SEARCH("Abdullah Fahad",M198)),"Accounting",
        ISNUMBER(SEARCH("ISO Arabia",M198)),"Consulting",
        ISNUMBER(SEARCH("Rejected",L198)),"Refund",
        AF198="COGS","Inventory Purchase",
        AF198="Revenue","Revenue",
        AF198="OPEX","Other",
        AF198="ZATCA","Zakat",
        TRUE,"-"
    ),
    "-"
)</f>
        <v>Revenue</v>
      </c>
      <c r="AH198" s="25" t="str" cm="1">
        <f t="array" ref="AH198">_xlfn.IFNA(
    _xlfn.IFS(
        AF198="-","Low",
        AF198="Other","Low",
        TRUE,"Medium"
    ),
    "-"
)</f>
        <v>Medium</v>
      </c>
      <c r="AI198" s="25" t="str">
        <f t="shared" si="15"/>
        <v>-</v>
      </c>
    </row>
    <row r="199" spans="1:35" x14ac:dyDescent="0.25">
      <c r="A199" s="10">
        <v>59</v>
      </c>
      <c r="B199" s="10" t="s">
        <v>35</v>
      </c>
      <c r="C199" s="10" t="s">
        <v>36</v>
      </c>
      <c r="D199" s="10" t="s">
        <v>37</v>
      </c>
      <c r="E199" s="10" t="s">
        <v>38</v>
      </c>
      <c r="F199" s="11" t="s">
        <v>39</v>
      </c>
      <c r="G199" s="11" t="s">
        <v>40</v>
      </c>
      <c r="H199" s="12">
        <v>45068</v>
      </c>
      <c r="I199" s="20">
        <v>118919.2</v>
      </c>
      <c r="J199" s="20">
        <v>100000</v>
      </c>
      <c r="K199" s="10" t="s">
        <v>116</v>
      </c>
      <c r="L199" s="9" t="s">
        <v>230</v>
      </c>
      <c r="M199" s="9" t="s">
        <v>231</v>
      </c>
      <c r="N199" s="9" t="s">
        <v>232</v>
      </c>
      <c r="O199" s="9" t="s">
        <v>233</v>
      </c>
      <c r="P199" s="15">
        <v>45068</v>
      </c>
      <c r="Q199" s="9" t="s">
        <v>292</v>
      </c>
      <c r="R199" s="16">
        <v>100000</v>
      </c>
      <c r="U199" s="9" t="s">
        <v>55</v>
      </c>
      <c r="V199" s="24" t="str" cm="1">
        <f t="array" ref="V199">_xlfn.IFNA(
    _xlfn.IFS(
        ISNUMBER(SEARCH("Fast Outgoing Transfer",L199)),"Transfer",
        ISNUMBER(SEARCH("Incoming Fast Transfer",L199)),"Transfer",
        ISNUMBER(SEARCH("Outgoing International Transfer",L199)),"Transfer",
        ISNUMBER(SEARCH("Bill Payment",L199)),"SADAD",
        ISNUMBER(SEARCH("Payroll",L199)),"Payroll",
        ISNUMBER(SEARCH("Cash Deposit",L199)),"Cash",
        ISNUMBER(SEARCH("Internal Transfer",L199)),"Transfer",
        ISNUMBER(SEARCH("Expatriate Services Payment",L199)),"SADAD",
        ISNUMBER(SEARCH("Rejected",L199)),"Transfer"
    ),
    "-"
)</f>
        <v>Transfer</v>
      </c>
      <c r="W199" s="25" t="str" cm="1">
        <f t="array" ref="W199">_xlfn.IFNA(
    _xlfn.IFS(
        AND(V199="Transfer",ISNUMBER(SEARCH("RIYAD BANK",L199))),"External FI",
        AND(V199="Transfer",ISNUMBER(SEARCH("Al Ahli",L199))),"External FI",
        AND(V199="Transfer",ISNUMBER(SEARCH("CIB via",L199))),"Local Transfer",
        AND(V199="Transfer",ISNUMBER(SEARCH("CIB)",L199))),"Local Transfer",
        AND(V199="Transfer",ISNUMBER(SEARCH("SMRT",L199))),"Local Transfer",
        AND(V199="Transfer",ISNUMBER(SEARCH("Al Murabba",L199))),"Local Transfer",
        AND(V199="Transfer",ISNUMBER(SEARCH("Internal Transfer",L199))),"Same FI",
        AND(V199="Transfer",ISNUMBER(SEARCH("Rejected",L199))),"Failed",
        V199="SADAD",
            _xlfn.IFS(
                ISNUMBER(SEARCH("Expatriate",L199)),"Expat Fees",
                TRUE,"Online Payment"
            ),
        V199="Payroll","Payroll",
        V199="Cash","Deposit",
        TRUE,"-"
    ),
    "-"
)</f>
        <v>External FI</v>
      </c>
      <c r="X199" s="25" t="str" cm="1">
        <f t="array" ref="X199">_xlfn.IFNA(
    _xlfn.IFS(
        V199="-","Low",
        W199="-","Low",
        TRUE,"High"
    ),
    "-"
)</f>
        <v>High</v>
      </c>
      <c r="Y199" s="25" t="str">
        <f t="shared" si="12"/>
        <v>-</v>
      </c>
      <c r="Z199" s="25" t="str" cm="1">
        <f t="array" ref="Z199">_xlfn.IFNA(
    _xlfn.IFS(
        ISNUMBER(SEARCH("Abdul Latif Jameel",M199)),"Lender",
        ISNUMBER(SEARCH("Abdullah Abdulkarim Al Sudais",M199)),"Accounting",
        ISNUMBER(SEARCH("Abdullah Fahad for Accounting",M199)),"Accounting",
        ISNUMBER(SEARCH("Abdullah Rashid Shaikh",M199)),"Shareholder",
        ISNUMBER(SEARCH("Advanced Equipments",M199)),"Equipment Rental",
        ISNUMBER(SEARCH("Al Banuk Sana",M199)),"Telecom Company",
        ISNUMBER(SEARCH("Al Khaleefa Factory",M199)),"Manufacturer",
        ISNUMBER(SEARCH("Al Saadeh Trading",M199)),"Trading Company",
        ISNUMBER(SEARCH("Al Zaehaan",M199)),"Trading Company",
        ISNUMBER(SEARCH("Ali Abdullah K Al Darwish",M199)),"Airlines",
        ISNUMBER(SEARCH("Bupa Arabia",M199)),"Health Insurance",
        ISNUMBER(SEARCH("Dar Fahoosaat",M199)),"Consultant",
        ISNUMBER(SEARCH("General Authority of Zakat",M199)),"Tax Collection",
        ISNUMBER(SEARCH("Gulf Voyager",M199)),"Travel Agency",
        ISNUMBER(SEARCH("Hopeway Trading",M199)),"Trading Company",
        ISNUMBER(SEARCH("Interhealth Medical",M199)),"Medical Services",
        ISNUMBER(SEARCH("Ishaar",M199)),"Online Payment Service",
        ISNUMBER(SEARCH("ISO Arabia",M199)),"Certification",
        ISNUMBER(SEARCH("Khalid Saad Al Otaibi",M199)),"Trading Company",
        ISNUMBER(SEARCH("MERAS for Decoration",M199)),"Decor Company",
        ISNUMBER(SEARCH("Middle East Customs Clearance",M199)),"Customs",
        ISNUMBER(SEARCH("Ministry of Human Resources",M199)),"Government",
        ISNUMBER(SEARCH("My Business Services",M199)),"Service Provider",
        ISNUMBER(SEARCH("National Water Company",M199)),"Water Company",
        ISNUMBER(SEARCH("Rania Contracting",M199)),"Contracting",
        ISNUMBER(SEARCH("Rashid Ali Sheikh",M199)),"Shareholder",
        ISNUMBER(SEARCH("Sahab United Motors",M199)),"Car Show Room",
        ISNUMBER(SEARCH("Saud Mohammed Al Tamimi",M199)),"Shareholder",
        ISNUMBER(SEARCH("Saud Mohammed Tamimi",M199)),"Shareholder",
        ISNUMBER(SEARCH("Saudi Electric Company",M199)),"Electricity Company",
        ISNUMBER(SEARCH("Saudi Vetonit",M199)),"Building Materials",
        ISNUMBER(SEARCH("Shomoul Eng",M199)),"Safety",
        ISNUMBER(SEARCH("STC",M199)),"Telecom Company",
        ISNUMBER(SEARCH("The General Organization for Social Insurance",M199)),"Social Insurance Agency",
        ISNUMBER(SEARCH("TUV Rheinland",M199)),"Certification",
        ISNUMBER(SEARCH("Al Arabia Ceramic",M199)),"Building Materials",
        ISNUMBER(SEARCH("National Company for Building and Marketing",M199)),"Parent Company",
        ISNUMBER(SEARCH("Athraa Holding",M199)),"Holding Company",
        ISNUMBER(SEARCH("Al Rasan",M199)),"Contracting",
        ISNUMBER(SEARCH("Raboua Al Haid",M199)),"Trading Company",
        ISNUMBER(SEARCH("Al Jazeera Paint",M199)),"Manufacturer",
        ISNUMBER(SEARCH("Rania Works Contracting",M199)),"Contracting",
        ISNUMBER(SEARCH("Bandar Jarallah",M199)),"Trading Establishment",
        ISNUMBER(SEARCH("RS Infratec Saudi",M199)),"Same Company",
        ISNUMBER(SEARCH("Payroll",M199)),"Bank",
        ISNUMBER(SEARCH("Expatriate",M199)),"Government",
        ISNUMBER(SEARCH("Unknown Sender",M199)),"Unknown",
        TRUE,"Unknown"
    ),
    "-"
)</f>
        <v>Parent Company</v>
      </c>
      <c r="AA199" s="25" t="str" cm="1">
        <f t="array" ref="AA199">_xlfn.IFNA(
    _xlfn.IFS(
        Z199="Lender","Financing",
        Z199="Accounting","Accounting",
        Z199="Shareholder","Individual",
        Z199="Equipment Rental","Equipment Rental",
        Z199="Telecom Company","Telecom",
        Z199="Manufacturer","Manufacturer",
        Z199="Trading Company","Trading And Transport",
        Z199="Trading Establishment","Trading",
        Z199="Airlines","Airlines",
        Z199="Health Insurance","Insurance",
        Z199="Consultant","Consultant",
        Z199="Tax Collection","Government",
        Z199="Travel Agency","Travel Agency",
        Z199="Medical Services","Medical Center",
        Z199="Online Payment Service","Payment Facilitator",
        Z199="Certification","Safety",
        Z199="Decor Company","Design",
        Z199="Customs","Customs",
        Z199="Government","Government",
        Z199="Service Provider","Service Provider",
        Z199="Water Company","Water Company",
        Z199="Contracting","Contracting",
        Z199="Car Show Room","Car Trader",
        Z199="Electricity Company","Electricity Company",
        Z199="Building Materials","Building Materials",
        Z199="Safety","Safety",
        Z199="Social Insurance Agency","Government Fund",
        Z199="Parent Company","Holding Company",
        Z199="Holding Company","Holding Company",
        Z199="Same Company","Construction",
        Z199="Bank","Bank",
        Z199="Unknown","Unknown",
        TRUE,"-"
    ),
    "-"
)</f>
        <v>Holding Company</v>
      </c>
      <c r="AB199" s="25" t="str">
        <f t="shared" si="13"/>
        <v>-</v>
      </c>
      <c r="AC199" s="25" t="str" cm="1">
        <f t="array" ref="AC199">_xlfn.IFNA(
    _xlfn.IFS(
        Z199="Shareholder","Shareholder",
        Z199="Same Company","Same Company",
        Z199="Bank","Bank",
        Z199="Government","Government",
        Z199="Social Insurance Agency","Government",
        Z199="Parent Company","Customer",
        Z199="Lender","Lender",
        Z199="Unknown","Unknown",
        ISNUMBER(SEARCH("Abdullah Abdulkarim",M199)),"Service Provider",
        ISNUMBER(SEARCH("Abdullah Fahad",M199)),"Service Provider",
        ISNUMBER(SEARCH("Advanced Equipments",M199)),"Supplier",
        ISNUMBER(SEARCH("Al Banuk Sana",M199)),"Supplier",
        ISNUMBER(SEARCH("Al Khaleefa Factory",M199)),"Supplier",
        ISNUMBER(SEARCH("Al Saadeh Trading",M199)),"Supplier",
        ISNUMBER(SEARCH("Al Zaehaan",M199)),"Supplier",
        ISNUMBER(SEARCH("Ali Abdullah K Al Darwish",M199)),"Service Provider",
        ISNUMBER(SEARCH("Bupa Arabia",M199)),"Insurance Company",
        ISNUMBER(SEARCH("Dar Fahoosaat",M199)),"Service Provider",
        ISNUMBER(SEARCH("General Authority of Zakat",M199)),"Tax Authority",
        ISNUMBER(SEARCH("Gulf Voyager",M199)),"Service Provider",
        ISNUMBER(SEARCH("Hopeway Trading",M199)),"Supplier",
        ISNUMBER(SEARCH("Interhealth Medical",M199)),"Customer",
        ISNUMBER(SEARCH("Ishaar",M199)),"Service Provider",
        ISNUMBER(SEARCH("ISO Arabia",M199)),"Service Provider",
        ISNUMBER(SEARCH("Khalid Saad Al Otaibi",M199)),"Supplier",
        ISNUMBER(SEARCH("MERAS for Decoration",M199)),"Supplier",
        ISNUMBER(SEARCH("Middle East Customs Clearance",M199)),"Service Provider",
        ISNUMBER(SEARCH("Ministry of Human Resources",M199)),"Regulatory Agency",
        ISNUMBER(SEARCH("My Business Services",M199)),"Service Provider",
        ISNUMBER(SEARCH("National Water Company",M199)),"Utility Provider",
        ISNUMBER(SEARCH("Rania Contracting",M199)),"Supplier",
        ISNUMBER(SEARCH("Sahab United Motors",M199)),"Supplier",
        ISNUMBER(SEARCH("Saudi Electric Company",M199)),"Utility Provider",
        ISNUMBER(SEARCH("Saudi Vetonit",M199)),"Supplier",
        ISNUMBER(SEARCH("Shomoul Eng",M199)),"Service Provider",
        ISNUMBER(SEARCH("STC",M199)),"Utility Provider",
        ISNUMBER(SEARCH("The General Organization for Social Insurance",M199)),"Social Insurance Agency",
        ISNUMBER(SEARCH("TUV Rheinland",M199)),"Service Provider",
        ISNUMBER(SEARCH("Al Arabia Ceramic",M199)),"Supplier",
        ISNUMBER(SEARCH("National Company for Building",M199)),"Customer",
        ISNUMBER(SEARCH("Athraa Holding",M199)),"Customer",
        ISNUMBER(SEARCH("Al Rasan",M199)),"Supplier",
        ISNUMBER(SEARCH("Raboua Al Haid",M199)),"Customer",
        ISNUMBER(SEARCH("Al Jazeera Paint",M199)),"Supplier",
        ISNUMBER(SEARCH("Rania Works Contracting",M199)),"Supplier",
        ISNUMBER(SEARCH("Bandar Jarallah",M199)),"Supplier",
        TRUE,"Supplier"
    ),
    "-"
)</f>
        <v>Customer</v>
      </c>
      <c r="AD199" s="25" t="str" cm="1">
        <f t="array" ref="AD199">_xlfn.IFNA(
    _xlfn.IFS(
        AC199="Same Company","High",
        AC199="Shareholder","High",
        AC199="Government","High",
        AC199="Bank","High",
        AC199="Lender","High",
        AC199="Unknown","Low",
        AC199="-","Low",
        TRUE,"Medium"
    ),
    "-"
)</f>
        <v>Medium</v>
      </c>
      <c r="AE199" s="25" t="str">
        <f t="shared" si="14"/>
        <v>-</v>
      </c>
      <c r="AF199" s="25" t="str" cm="1">
        <f t="array" ref="AF199">_xlfn.IFNA(
    _xlfn.IFS(
        K199="Credit",
            _xlfn.IFS(
                OR(ISNUMBER(SEARCH("Rejected",L199)),ISNUMBER(SEARCH("Returned",L199))),"Other Income",
                TRUE,"Revenue"
            ),
        K199="Debit",
            _xlfn.IFS(
                ISNUMBER(SEARCH("Payroll",L199)),"OPEX",
                ISNUMBER(SEARCH("Expatriate",L199)),"OPEX",
                ISNUMBER(SEARCH("Zakat",M199)),"ZATCA",
                ISNUMBER(SEARCH("General Organization for Social Insurance",M199)),"OPEX",
                ISNUMBER(SEARCH("Saudi Electric",M199)),"OPEX",
                ISNUMBER(SEARCH("STC",M199)),"OPEX",
                ISNUMBER(SEARCH("National Water",M199)),"OPEX",
                ISNUMBER(SEARCH("Bupa",M199)),"OPEX",
                ISNUMBER(SEARCH("Abdullah Abdulkarim",M199)),"OPEX",
                ISNUMBER(SEARCH("Abdullah Fahad",M199)),"OPEX",
                ISNUMBER(SEARCH("ISO Arabia",M199)),"OPEX",
                ISNUMBER(SEARCH("Gulf Voyager",M199)),"OPEX",
                ISNUMBER(SEARCH("Ministry",M199)),"OPEX",
                ISNUMBER(SEARCH("General Authority of Zakat",M199)),"ZATCA",
                ISNUMBER(SEARCH("Rejected",L199)),"Other Income",
                TRUE,"COGS"
            ),
        TRUE,"-"
    ),
    "-"
)</f>
        <v>Revenue</v>
      </c>
      <c r="AG199" s="25" t="str" cm="1">
        <f t="array" ref="AG199">_xlfn.IFNA(
    _xlfn.IFS(
        ISNUMBER(SEARCH("Payroll",L199)),"Payroll",
        ISNUMBER(SEARCH("Expatriate",L199)),"Government Fees",
        ISNUMBER(SEARCH("Zakat",M199)),"Zakat",
        ISNUMBER(SEARCH("Social Insurance",M199)),"Social Insurance",
        ISNUMBER(SEARCH("Saudi Electric",M199)),"Electricity",
        ISNUMBER(SEARCH("STC",M199)),"Telecom",
        ISNUMBER(SEARCH("National Water",M199)),"Water",
        ISNUMBER(SEARCH("Bupa",M199)),"Insurance",
        ISNUMBER(SEARCH("Gulf Voyager",M199)),"Travel",
        ISNUMBER(SEARCH("Ministry",M199)),"Government Fees",
        ISNUMBER(SEARCH("Abdullah Abdulkarim",M199)),"Consulting",
        ISNUMBER(SEARCH("Abdullah Fahad",M199)),"Accounting",
        ISNUMBER(SEARCH("ISO Arabia",M199)),"Consulting",
        ISNUMBER(SEARCH("Rejected",L199)),"Refund",
        AF199="COGS","Inventory Purchase",
        AF199="Revenue","Revenue",
        AF199="OPEX","Other",
        AF199="ZATCA","Zakat",
        TRUE,"-"
    ),
    "-"
)</f>
        <v>Revenue</v>
      </c>
      <c r="AH199" s="25" t="str" cm="1">
        <f t="array" ref="AH199">_xlfn.IFNA(
    _xlfn.IFS(
        AF199="-","Low",
        AF199="Other","Low",
        TRUE,"Medium"
    ),
    "-"
)</f>
        <v>Medium</v>
      </c>
      <c r="AI199" s="25" t="str">
        <f t="shared" si="15"/>
        <v>-</v>
      </c>
    </row>
    <row r="200" spans="1:35" x14ac:dyDescent="0.25">
      <c r="A200" s="10">
        <v>59</v>
      </c>
      <c r="B200" s="10" t="s">
        <v>35</v>
      </c>
      <c r="C200" s="10" t="s">
        <v>36</v>
      </c>
      <c r="D200" s="10" t="s">
        <v>37</v>
      </c>
      <c r="E200" s="10" t="s">
        <v>38</v>
      </c>
      <c r="F200" s="11" t="s">
        <v>39</v>
      </c>
      <c r="G200" s="11" t="s">
        <v>40</v>
      </c>
      <c r="H200" s="12">
        <v>45070</v>
      </c>
      <c r="I200" s="20">
        <v>686697.51</v>
      </c>
      <c r="J200" s="20">
        <v>675000</v>
      </c>
      <c r="K200" s="10" t="s">
        <v>116</v>
      </c>
      <c r="L200" s="9" t="s">
        <v>230</v>
      </c>
      <c r="M200" s="9" t="s">
        <v>231</v>
      </c>
      <c r="N200" s="9" t="s">
        <v>232</v>
      </c>
      <c r="O200" s="9" t="s">
        <v>233</v>
      </c>
      <c r="P200" s="15">
        <v>45070</v>
      </c>
      <c r="Q200" s="9" t="s">
        <v>293</v>
      </c>
      <c r="R200" s="16">
        <v>675000</v>
      </c>
      <c r="U200" s="9" t="s">
        <v>55</v>
      </c>
      <c r="V200" s="24" t="str" cm="1">
        <f t="array" ref="V200">_xlfn.IFNA(
    _xlfn.IFS(
        ISNUMBER(SEARCH("Fast Outgoing Transfer",L200)),"Transfer",
        ISNUMBER(SEARCH("Incoming Fast Transfer",L200)),"Transfer",
        ISNUMBER(SEARCH("Outgoing International Transfer",L200)),"Transfer",
        ISNUMBER(SEARCH("Bill Payment",L200)),"SADAD",
        ISNUMBER(SEARCH("Payroll",L200)),"Payroll",
        ISNUMBER(SEARCH("Cash Deposit",L200)),"Cash",
        ISNUMBER(SEARCH("Internal Transfer",L200)),"Transfer",
        ISNUMBER(SEARCH("Expatriate Services Payment",L200)),"SADAD",
        ISNUMBER(SEARCH("Rejected",L200)),"Transfer"
    ),
    "-"
)</f>
        <v>Transfer</v>
      </c>
      <c r="W200" s="25" t="str" cm="1">
        <f t="array" ref="W200">_xlfn.IFNA(
    _xlfn.IFS(
        AND(V200="Transfer",ISNUMBER(SEARCH("RIYAD BANK",L200))),"External FI",
        AND(V200="Transfer",ISNUMBER(SEARCH("Al Ahli",L200))),"External FI",
        AND(V200="Transfer",ISNUMBER(SEARCH("CIB via",L200))),"Local Transfer",
        AND(V200="Transfer",ISNUMBER(SEARCH("CIB)",L200))),"Local Transfer",
        AND(V200="Transfer",ISNUMBER(SEARCH("SMRT",L200))),"Local Transfer",
        AND(V200="Transfer",ISNUMBER(SEARCH("Al Murabba",L200))),"Local Transfer",
        AND(V200="Transfer",ISNUMBER(SEARCH("Internal Transfer",L200))),"Same FI",
        AND(V200="Transfer",ISNUMBER(SEARCH("Rejected",L200))),"Failed",
        V200="SADAD",
            _xlfn.IFS(
                ISNUMBER(SEARCH("Expatriate",L200)),"Expat Fees",
                TRUE,"Online Payment"
            ),
        V200="Payroll","Payroll",
        V200="Cash","Deposit",
        TRUE,"-"
    ),
    "-"
)</f>
        <v>External FI</v>
      </c>
      <c r="X200" s="25" t="str" cm="1">
        <f t="array" ref="X200">_xlfn.IFNA(
    _xlfn.IFS(
        V200="-","Low",
        W200="-","Low",
        TRUE,"High"
    ),
    "-"
)</f>
        <v>High</v>
      </c>
      <c r="Y200" s="25" t="str">
        <f t="shared" si="12"/>
        <v>-</v>
      </c>
      <c r="Z200" s="25" t="str" cm="1">
        <f t="array" ref="Z200">_xlfn.IFNA(
    _xlfn.IFS(
        ISNUMBER(SEARCH("Abdul Latif Jameel",M200)),"Lender",
        ISNUMBER(SEARCH("Abdullah Abdulkarim Al Sudais",M200)),"Accounting",
        ISNUMBER(SEARCH("Abdullah Fahad for Accounting",M200)),"Accounting",
        ISNUMBER(SEARCH("Abdullah Rashid Shaikh",M200)),"Shareholder",
        ISNUMBER(SEARCH("Advanced Equipments",M200)),"Equipment Rental",
        ISNUMBER(SEARCH("Al Banuk Sana",M200)),"Telecom Company",
        ISNUMBER(SEARCH("Al Khaleefa Factory",M200)),"Manufacturer",
        ISNUMBER(SEARCH("Al Saadeh Trading",M200)),"Trading Company",
        ISNUMBER(SEARCH("Al Zaehaan",M200)),"Trading Company",
        ISNUMBER(SEARCH("Ali Abdullah K Al Darwish",M200)),"Airlines",
        ISNUMBER(SEARCH("Bupa Arabia",M200)),"Health Insurance",
        ISNUMBER(SEARCH("Dar Fahoosaat",M200)),"Consultant",
        ISNUMBER(SEARCH("General Authority of Zakat",M200)),"Tax Collection",
        ISNUMBER(SEARCH("Gulf Voyager",M200)),"Travel Agency",
        ISNUMBER(SEARCH("Hopeway Trading",M200)),"Trading Company",
        ISNUMBER(SEARCH("Interhealth Medical",M200)),"Medical Services",
        ISNUMBER(SEARCH("Ishaar",M200)),"Online Payment Service",
        ISNUMBER(SEARCH("ISO Arabia",M200)),"Certification",
        ISNUMBER(SEARCH("Khalid Saad Al Otaibi",M200)),"Trading Company",
        ISNUMBER(SEARCH("MERAS for Decoration",M200)),"Decor Company",
        ISNUMBER(SEARCH("Middle East Customs Clearance",M200)),"Customs",
        ISNUMBER(SEARCH("Ministry of Human Resources",M200)),"Government",
        ISNUMBER(SEARCH("My Business Services",M200)),"Service Provider",
        ISNUMBER(SEARCH("National Water Company",M200)),"Water Company",
        ISNUMBER(SEARCH("Rania Contracting",M200)),"Contracting",
        ISNUMBER(SEARCH("Rashid Ali Sheikh",M200)),"Shareholder",
        ISNUMBER(SEARCH("Sahab United Motors",M200)),"Car Show Room",
        ISNUMBER(SEARCH("Saud Mohammed Al Tamimi",M200)),"Shareholder",
        ISNUMBER(SEARCH("Saud Mohammed Tamimi",M200)),"Shareholder",
        ISNUMBER(SEARCH("Saudi Electric Company",M200)),"Electricity Company",
        ISNUMBER(SEARCH("Saudi Vetonit",M200)),"Building Materials",
        ISNUMBER(SEARCH("Shomoul Eng",M200)),"Safety",
        ISNUMBER(SEARCH("STC",M200)),"Telecom Company",
        ISNUMBER(SEARCH("The General Organization for Social Insurance",M200)),"Social Insurance Agency",
        ISNUMBER(SEARCH("TUV Rheinland",M200)),"Certification",
        ISNUMBER(SEARCH("Al Arabia Ceramic",M200)),"Building Materials",
        ISNUMBER(SEARCH("National Company for Building and Marketing",M200)),"Parent Company",
        ISNUMBER(SEARCH("Athraa Holding",M200)),"Holding Company",
        ISNUMBER(SEARCH("Al Rasan",M200)),"Contracting",
        ISNUMBER(SEARCH("Raboua Al Haid",M200)),"Trading Company",
        ISNUMBER(SEARCH("Al Jazeera Paint",M200)),"Manufacturer",
        ISNUMBER(SEARCH("Rania Works Contracting",M200)),"Contracting",
        ISNUMBER(SEARCH("Bandar Jarallah",M200)),"Trading Establishment",
        ISNUMBER(SEARCH("RS Infratec Saudi",M200)),"Same Company",
        ISNUMBER(SEARCH("Payroll",M200)),"Bank",
        ISNUMBER(SEARCH("Expatriate",M200)),"Government",
        ISNUMBER(SEARCH("Unknown Sender",M200)),"Unknown",
        TRUE,"Unknown"
    ),
    "-"
)</f>
        <v>Parent Company</v>
      </c>
      <c r="AA200" s="25" t="str" cm="1">
        <f t="array" ref="AA200">_xlfn.IFNA(
    _xlfn.IFS(
        Z200="Lender","Financing",
        Z200="Accounting","Accounting",
        Z200="Shareholder","Individual",
        Z200="Equipment Rental","Equipment Rental",
        Z200="Telecom Company","Telecom",
        Z200="Manufacturer","Manufacturer",
        Z200="Trading Company","Trading And Transport",
        Z200="Trading Establishment","Trading",
        Z200="Airlines","Airlines",
        Z200="Health Insurance","Insurance",
        Z200="Consultant","Consultant",
        Z200="Tax Collection","Government",
        Z200="Travel Agency","Travel Agency",
        Z200="Medical Services","Medical Center",
        Z200="Online Payment Service","Payment Facilitator",
        Z200="Certification","Safety",
        Z200="Decor Company","Design",
        Z200="Customs","Customs",
        Z200="Government","Government",
        Z200="Service Provider","Service Provider",
        Z200="Water Company","Water Company",
        Z200="Contracting","Contracting",
        Z200="Car Show Room","Car Trader",
        Z200="Electricity Company","Electricity Company",
        Z200="Building Materials","Building Materials",
        Z200="Safety","Safety",
        Z200="Social Insurance Agency","Government Fund",
        Z200="Parent Company","Holding Company",
        Z200="Holding Company","Holding Company",
        Z200="Same Company","Construction",
        Z200="Bank","Bank",
        Z200="Unknown","Unknown",
        TRUE,"-"
    ),
    "-"
)</f>
        <v>Holding Company</v>
      </c>
      <c r="AB200" s="25" t="str">
        <f t="shared" si="13"/>
        <v>-</v>
      </c>
      <c r="AC200" s="25" t="str" cm="1">
        <f t="array" ref="AC200">_xlfn.IFNA(
    _xlfn.IFS(
        Z200="Shareholder","Shareholder",
        Z200="Same Company","Same Company",
        Z200="Bank","Bank",
        Z200="Government","Government",
        Z200="Social Insurance Agency","Government",
        Z200="Parent Company","Customer",
        Z200="Lender","Lender",
        Z200="Unknown","Unknown",
        ISNUMBER(SEARCH("Abdullah Abdulkarim",M200)),"Service Provider",
        ISNUMBER(SEARCH("Abdullah Fahad",M200)),"Service Provider",
        ISNUMBER(SEARCH("Advanced Equipments",M200)),"Supplier",
        ISNUMBER(SEARCH("Al Banuk Sana",M200)),"Supplier",
        ISNUMBER(SEARCH("Al Khaleefa Factory",M200)),"Supplier",
        ISNUMBER(SEARCH("Al Saadeh Trading",M200)),"Supplier",
        ISNUMBER(SEARCH("Al Zaehaan",M200)),"Supplier",
        ISNUMBER(SEARCH("Ali Abdullah K Al Darwish",M200)),"Service Provider",
        ISNUMBER(SEARCH("Bupa Arabia",M200)),"Insurance Company",
        ISNUMBER(SEARCH("Dar Fahoosaat",M200)),"Service Provider",
        ISNUMBER(SEARCH("General Authority of Zakat",M200)),"Tax Authority",
        ISNUMBER(SEARCH("Gulf Voyager",M200)),"Service Provider",
        ISNUMBER(SEARCH("Hopeway Trading",M200)),"Supplier",
        ISNUMBER(SEARCH("Interhealth Medical",M200)),"Customer",
        ISNUMBER(SEARCH("Ishaar",M200)),"Service Provider",
        ISNUMBER(SEARCH("ISO Arabia",M200)),"Service Provider",
        ISNUMBER(SEARCH("Khalid Saad Al Otaibi",M200)),"Supplier",
        ISNUMBER(SEARCH("MERAS for Decoration",M200)),"Supplier",
        ISNUMBER(SEARCH("Middle East Customs Clearance",M200)),"Service Provider",
        ISNUMBER(SEARCH("Ministry of Human Resources",M200)),"Regulatory Agency",
        ISNUMBER(SEARCH("My Business Services",M200)),"Service Provider",
        ISNUMBER(SEARCH("National Water Company",M200)),"Utility Provider",
        ISNUMBER(SEARCH("Rania Contracting",M200)),"Supplier",
        ISNUMBER(SEARCH("Sahab United Motors",M200)),"Supplier",
        ISNUMBER(SEARCH("Saudi Electric Company",M200)),"Utility Provider",
        ISNUMBER(SEARCH("Saudi Vetonit",M200)),"Supplier",
        ISNUMBER(SEARCH("Shomoul Eng",M200)),"Service Provider",
        ISNUMBER(SEARCH("STC",M200)),"Utility Provider",
        ISNUMBER(SEARCH("The General Organization for Social Insurance",M200)),"Social Insurance Agency",
        ISNUMBER(SEARCH("TUV Rheinland",M200)),"Service Provider",
        ISNUMBER(SEARCH("Al Arabia Ceramic",M200)),"Supplier",
        ISNUMBER(SEARCH("National Company for Building",M200)),"Customer",
        ISNUMBER(SEARCH("Athraa Holding",M200)),"Customer",
        ISNUMBER(SEARCH("Al Rasan",M200)),"Supplier",
        ISNUMBER(SEARCH("Raboua Al Haid",M200)),"Customer",
        ISNUMBER(SEARCH("Al Jazeera Paint",M200)),"Supplier",
        ISNUMBER(SEARCH("Rania Works Contracting",M200)),"Supplier",
        ISNUMBER(SEARCH("Bandar Jarallah",M200)),"Supplier",
        TRUE,"Supplier"
    ),
    "-"
)</f>
        <v>Customer</v>
      </c>
      <c r="AD200" s="25" t="str" cm="1">
        <f t="array" ref="AD200">_xlfn.IFNA(
    _xlfn.IFS(
        AC200="Same Company","High",
        AC200="Shareholder","High",
        AC200="Government","High",
        AC200="Bank","High",
        AC200="Lender","High",
        AC200="Unknown","Low",
        AC200="-","Low",
        TRUE,"Medium"
    ),
    "-"
)</f>
        <v>Medium</v>
      </c>
      <c r="AE200" s="25" t="str">
        <f t="shared" si="14"/>
        <v>-</v>
      </c>
      <c r="AF200" s="25" t="str" cm="1">
        <f t="array" ref="AF200">_xlfn.IFNA(
    _xlfn.IFS(
        K200="Credit",
            _xlfn.IFS(
                OR(ISNUMBER(SEARCH("Rejected",L200)),ISNUMBER(SEARCH("Returned",L200))),"Other Income",
                TRUE,"Revenue"
            ),
        K200="Debit",
            _xlfn.IFS(
                ISNUMBER(SEARCH("Payroll",L200)),"OPEX",
                ISNUMBER(SEARCH("Expatriate",L200)),"OPEX",
                ISNUMBER(SEARCH("Zakat",M200)),"ZATCA",
                ISNUMBER(SEARCH("General Organization for Social Insurance",M200)),"OPEX",
                ISNUMBER(SEARCH("Saudi Electric",M200)),"OPEX",
                ISNUMBER(SEARCH("STC",M200)),"OPEX",
                ISNUMBER(SEARCH("National Water",M200)),"OPEX",
                ISNUMBER(SEARCH("Bupa",M200)),"OPEX",
                ISNUMBER(SEARCH("Abdullah Abdulkarim",M200)),"OPEX",
                ISNUMBER(SEARCH("Abdullah Fahad",M200)),"OPEX",
                ISNUMBER(SEARCH("ISO Arabia",M200)),"OPEX",
                ISNUMBER(SEARCH("Gulf Voyager",M200)),"OPEX",
                ISNUMBER(SEARCH("Ministry",M200)),"OPEX",
                ISNUMBER(SEARCH("General Authority of Zakat",M200)),"ZATCA",
                ISNUMBER(SEARCH("Rejected",L200)),"Other Income",
                TRUE,"COGS"
            ),
        TRUE,"-"
    ),
    "-"
)</f>
        <v>Revenue</v>
      </c>
      <c r="AG200" s="25" t="str" cm="1">
        <f t="array" ref="AG200">_xlfn.IFNA(
    _xlfn.IFS(
        ISNUMBER(SEARCH("Payroll",L200)),"Payroll",
        ISNUMBER(SEARCH("Expatriate",L200)),"Government Fees",
        ISNUMBER(SEARCH("Zakat",M200)),"Zakat",
        ISNUMBER(SEARCH("Social Insurance",M200)),"Social Insurance",
        ISNUMBER(SEARCH("Saudi Electric",M200)),"Electricity",
        ISNUMBER(SEARCH("STC",M200)),"Telecom",
        ISNUMBER(SEARCH("National Water",M200)),"Water",
        ISNUMBER(SEARCH("Bupa",M200)),"Insurance",
        ISNUMBER(SEARCH("Gulf Voyager",M200)),"Travel",
        ISNUMBER(SEARCH("Ministry",M200)),"Government Fees",
        ISNUMBER(SEARCH("Abdullah Abdulkarim",M200)),"Consulting",
        ISNUMBER(SEARCH("Abdullah Fahad",M200)),"Accounting",
        ISNUMBER(SEARCH("ISO Arabia",M200)),"Consulting",
        ISNUMBER(SEARCH("Rejected",L200)),"Refund",
        AF200="COGS","Inventory Purchase",
        AF200="Revenue","Revenue",
        AF200="OPEX","Other",
        AF200="ZATCA","Zakat",
        TRUE,"-"
    ),
    "-"
)</f>
        <v>Revenue</v>
      </c>
      <c r="AH200" s="25" t="str" cm="1">
        <f t="array" ref="AH200">_xlfn.IFNA(
    _xlfn.IFS(
        AF200="-","Low",
        AF200="Other","Low",
        TRUE,"Medium"
    ),
    "-"
)</f>
        <v>Medium</v>
      </c>
      <c r="AI200" s="25" t="str">
        <f t="shared" si="15"/>
        <v>-</v>
      </c>
    </row>
    <row r="201" spans="1:35" x14ac:dyDescent="0.25">
      <c r="A201" s="10">
        <v>59</v>
      </c>
      <c r="B201" s="10" t="s">
        <v>35</v>
      </c>
      <c r="C201" s="10" t="s">
        <v>36</v>
      </c>
      <c r="D201" s="10" t="s">
        <v>37</v>
      </c>
      <c r="E201" s="10" t="s">
        <v>38</v>
      </c>
      <c r="F201" s="11" t="s">
        <v>39</v>
      </c>
      <c r="G201" s="11" t="s">
        <v>40</v>
      </c>
      <c r="H201" s="12">
        <v>45070</v>
      </c>
      <c r="I201" s="20">
        <v>76594.36</v>
      </c>
      <c r="J201" s="20">
        <v>70000</v>
      </c>
      <c r="K201" s="10" t="s">
        <v>116</v>
      </c>
      <c r="L201" s="9" t="s">
        <v>230</v>
      </c>
      <c r="M201" s="9" t="s">
        <v>231</v>
      </c>
      <c r="N201" s="9" t="s">
        <v>232</v>
      </c>
      <c r="O201" s="9" t="s">
        <v>233</v>
      </c>
      <c r="P201" s="15">
        <v>45070</v>
      </c>
      <c r="Q201" s="9" t="s">
        <v>294</v>
      </c>
      <c r="R201" s="16">
        <v>70000</v>
      </c>
      <c r="U201" s="9" t="s">
        <v>55</v>
      </c>
      <c r="V201" s="24" t="str" cm="1">
        <f t="array" ref="V201">_xlfn.IFNA(
    _xlfn.IFS(
        ISNUMBER(SEARCH("Fast Outgoing Transfer",L201)),"Transfer",
        ISNUMBER(SEARCH("Incoming Fast Transfer",L201)),"Transfer",
        ISNUMBER(SEARCH("Outgoing International Transfer",L201)),"Transfer",
        ISNUMBER(SEARCH("Bill Payment",L201)),"SADAD",
        ISNUMBER(SEARCH("Payroll",L201)),"Payroll",
        ISNUMBER(SEARCH("Cash Deposit",L201)),"Cash",
        ISNUMBER(SEARCH("Internal Transfer",L201)),"Transfer",
        ISNUMBER(SEARCH("Expatriate Services Payment",L201)),"SADAD",
        ISNUMBER(SEARCH("Rejected",L201)),"Transfer"
    ),
    "-"
)</f>
        <v>Transfer</v>
      </c>
      <c r="W201" s="25" t="str" cm="1">
        <f t="array" ref="W201">_xlfn.IFNA(
    _xlfn.IFS(
        AND(V201="Transfer",ISNUMBER(SEARCH("RIYAD BANK",L201))),"External FI",
        AND(V201="Transfer",ISNUMBER(SEARCH("Al Ahli",L201))),"External FI",
        AND(V201="Transfer",ISNUMBER(SEARCH("CIB via",L201))),"Local Transfer",
        AND(V201="Transfer",ISNUMBER(SEARCH("CIB)",L201))),"Local Transfer",
        AND(V201="Transfer",ISNUMBER(SEARCH("SMRT",L201))),"Local Transfer",
        AND(V201="Transfer",ISNUMBER(SEARCH("Al Murabba",L201))),"Local Transfer",
        AND(V201="Transfer",ISNUMBER(SEARCH("Internal Transfer",L201))),"Same FI",
        AND(V201="Transfer",ISNUMBER(SEARCH("Rejected",L201))),"Failed",
        V201="SADAD",
            _xlfn.IFS(
                ISNUMBER(SEARCH("Expatriate",L201)),"Expat Fees",
                TRUE,"Online Payment"
            ),
        V201="Payroll","Payroll",
        V201="Cash","Deposit",
        TRUE,"-"
    ),
    "-"
)</f>
        <v>External FI</v>
      </c>
      <c r="X201" s="25" t="str" cm="1">
        <f t="array" ref="X201">_xlfn.IFNA(
    _xlfn.IFS(
        V201="-","Low",
        W201="-","Low",
        TRUE,"High"
    ),
    "-"
)</f>
        <v>High</v>
      </c>
      <c r="Y201" s="25" t="str">
        <f t="shared" si="12"/>
        <v>-</v>
      </c>
      <c r="Z201" s="25" t="str" cm="1">
        <f t="array" ref="Z201">_xlfn.IFNA(
    _xlfn.IFS(
        ISNUMBER(SEARCH("Abdul Latif Jameel",M201)),"Lender",
        ISNUMBER(SEARCH("Abdullah Abdulkarim Al Sudais",M201)),"Accounting",
        ISNUMBER(SEARCH("Abdullah Fahad for Accounting",M201)),"Accounting",
        ISNUMBER(SEARCH("Abdullah Rashid Shaikh",M201)),"Shareholder",
        ISNUMBER(SEARCH("Advanced Equipments",M201)),"Equipment Rental",
        ISNUMBER(SEARCH("Al Banuk Sana",M201)),"Telecom Company",
        ISNUMBER(SEARCH("Al Khaleefa Factory",M201)),"Manufacturer",
        ISNUMBER(SEARCH("Al Saadeh Trading",M201)),"Trading Company",
        ISNUMBER(SEARCH("Al Zaehaan",M201)),"Trading Company",
        ISNUMBER(SEARCH("Ali Abdullah K Al Darwish",M201)),"Airlines",
        ISNUMBER(SEARCH("Bupa Arabia",M201)),"Health Insurance",
        ISNUMBER(SEARCH("Dar Fahoosaat",M201)),"Consultant",
        ISNUMBER(SEARCH("General Authority of Zakat",M201)),"Tax Collection",
        ISNUMBER(SEARCH("Gulf Voyager",M201)),"Travel Agency",
        ISNUMBER(SEARCH("Hopeway Trading",M201)),"Trading Company",
        ISNUMBER(SEARCH("Interhealth Medical",M201)),"Medical Services",
        ISNUMBER(SEARCH("Ishaar",M201)),"Online Payment Service",
        ISNUMBER(SEARCH("ISO Arabia",M201)),"Certification",
        ISNUMBER(SEARCH("Khalid Saad Al Otaibi",M201)),"Trading Company",
        ISNUMBER(SEARCH("MERAS for Decoration",M201)),"Decor Company",
        ISNUMBER(SEARCH("Middle East Customs Clearance",M201)),"Customs",
        ISNUMBER(SEARCH("Ministry of Human Resources",M201)),"Government",
        ISNUMBER(SEARCH("My Business Services",M201)),"Service Provider",
        ISNUMBER(SEARCH("National Water Company",M201)),"Water Company",
        ISNUMBER(SEARCH("Rania Contracting",M201)),"Contracting",
        ISNUMBER(SEARCH("Rashid Ali Sheikh",M201)),"Shareholder",
        ISNUMBER(SEARCH("Sahab United Motors",M201)),"Car Show Room",
        ISNUMBER(SEARCH("Saud Mohammed Al Tamimi",M201)),"Shareholder",
        ISNUMBER(SEARCH("Saud Mohammed Tamimi",M201)),"Shareholder",
        ISNUMBER(SEARCH("Saudi Electric Company",M201)),"Electricity Company",
        ISNUMBER(SEARCH("Saudi Vetonit",M201)),"Building Materials",
        ISNUMBER(SEARCH("Shomoul Eng",M201)),"Safety",
        ISNUMBER(SEARCH("STC",M201)),"Telecom Company",
        ISNUMBER(SEARCH("The General Organization for Social Insurance",M201)),"Social Insurance Agency",
        ISNUMBER(SEARCH("TUV Rheinland",M201)),"Certification",
        ISNUMBER(SEARCH("Al Arabia Ceramic",M201)),"Building Materials",
        ISNUMBER(SEARCH("National Company for Building and Marketing",M201)),"Parent Company",
        ISNUMBER(SEARCH("Athraa Holding",M201)),"Holding Company",
        ISNUMBER(SEARCH("Al Rasan",M201)),"Contracting",
        ISNUMBER(SEARCH("Raboua Al Haid",M201)),"Trading Company",
        ISNUMBER(SEARCH("Al Jazeera Paint",M201)),"Manufacturer",
        ISNUMBER(SEARCH("Rania Works Contracting",M201)),"Contracting",
        ISNUMBER(SEARCH("Bandar Jarallah",M201)),"Trading Establishment",
        ISNUMBER(SEARCH("RS Infratec Saudi",M201)),"Same Company",
        ISNUMBER(SEARCH("Payroll",M201)),"Bank",
        ISNUMBER(SEARCH("Expatriate",M201)),"Government",
        ISNUMBER(SEARCH("Unknown Sender",M201)),"Unknown",
        TRUE,"Unknown"
    ),
    "-"
)</f>
        <v>Parent Company</v>
      </c>
      <c r="AA201" s="25" t="str" cm="1">
        <f t="array" ref="AA201">_xlfn.IFNA(
    _xlfn.IFS(
        Z201="Lender","Financing",
        Z201="Accounting","Accounting",
        Z201="Shareholder","Individual",
        Z201="Equipment Rental","Equipment Rental",
        Z201="Telecom Company","Telecom",
        Z201="Manufacturer","Manufacturer",
        Z201="Trading Company","Trading And Transport",
        Z201="Trading Establishment","Trading",
        Z201="Airlines","Airlines",
        Z201="Health Insurance","Insurance",
        Z201="Consultant","Consultant",
        Z201="Tax Collection","Government",
        Z201="Travel Agency","Travel Agency",
        Z201="Medical Services","Medical Center",
        Z201="Online Payment Service","Payment Facilitator",
        Z201="Certification","Safety",
        Z201="Decor Company","Design",
        Z201="Customs","Customs",
        Z201="Government","Government",
        Z201="Service Provider","Service Provider",
        Z201="Water Company","Water Company",
        Z201="Contracting","Contracting",
        Z201="Car Show Room","Car Trader",
        Z201="Electricity Company","Electricity Company",
        Z201="Building Materials","Building Materials",
        Z201="Safety","Safety",
        Z201="Social Insurance Agency","Government Fund",
        Z201="Parent Company","Holding Company",
        Z201="Holding Company","Holding Company",
        Z201="Same Company","Construction",
        Z201="Bank","Bank",
        Z201="Unknown","Unknown",
        TRUE,"-"
    ),
    "-"
)</f>
        <v>Holding Company</v>
      </c>
      <c r="AB201" s="25" t="str">
        <f t="shared" si="13"/>
        <v>-</v>
      </c>
      <c r="AC201" s="25" t="str" cm="1">
        <f t="array" ref="AC201">_xlfn.IFNA(
    _xlfn.IFS(
        Z201="Shareholder","Shareholder",
        Z201="Same Company","Same Company",
        Z201="Bank","Bank",
        Z201="Government","Government",
        Z201="Social Insurance Agency","Government",
        Z201="Parent Company","Customer",
        Z201="Lender","Lender",
        Z201="Unknown","Unknown",
        ISNUMBER(SEARCH("Abdullah Abdulkarim",M201)),"Service Provider",
        ISNUMBER(SEARCH("Abdullah Fahad",M201)),"Service Provider",
        ISNUMBER(SEARCH("Advanced Equipments",M201)),"Supplier",
        ISNUMBER(SEARCH("Al Banuk Sana",M201)),"Supplier",
        ISNUMBER(SEARCH("Al Khaleefa Factory",M201)),"Supplier",
        ISNUMBER(SEARCH("Al Saadeh Trading",M201)),"Supplier",
        ISNUMBER(SEARCH("Al Zaehaan",M201)),"Supplier",
        ISNUMBER(SEARCH("Ali Abdullah K Al Darwish",M201)),"Service Provider",
        ISNUMBER(SEARCH("Bupa Arabia",M201)),"Insurance Company",
        ISNUMBER(SEARCH("Dar Fahoosaat",M201)),"Service Provider",
        ISNUMBER(SEARCH("General Authority of Zakat",M201)),"Tax Authority",
        ISNUMBER(SEARCH("Gulf Voyager",M201)),"Service Provider",
        ISNUMBER(SEARCH("Hopeway Trading",M201)),"Supplier",
        ISNUMBER(SEARCH("Interhealth Medical",M201)),"Customer",
        ISNUMBER(SEARCH("Ishaar",M201)),"Service Provider",
        ISNUMBER(SEARCH("ISO Arabia",M201)),"Service Provider",
        ISNUMBER(SEARCH("Khalid Saad Al Otaibi",M201)),"Supplier",
        ISNUMBER(SEARCH("MERAS for Decoration",M201)),"Supplier",
        ISNUMBER(SEARCH("Middle East Customs Clearance",M201)),"Service Provider",
        ISNUMBER(SEARCH("Ministry of Human Resources",M201)),"Regulatory Agency",
        ISNUMBER(SEARCH("My Business Services",M201)),"Service Provider",
        ISNUMBER(SEARCH("National Water Company",M201)),"Utility Provider",
        ISNUMBER(SEARCH("Rania Contracting",M201)),"Supplier",
        ISNUMBER(SEARCH("Sahab United Motors",M201)),"Supplier",
        ISNUMBER(SEARCH("Saudi Electric Company",M201)),"Utility Provider",
        ISNUMBER(SEARCH("Saudi Vetonit",M201)),"Supplier",
        ISNUMBER(SEARCH("Shomoul Eng",M201)),"Service Provider",
        ISNUMBER(SEARCH("STC",M201)),"Utility Provider",
        ISNUMBER(SEARCH("The General Organization for Social Insurance",M201)),"Social Insurance Agency",
        ISNUMBER(SEARCH("TUV Rheinland",M201)),"Service Provider",
        ISNUMBER(SEARCH("Al Arabia Ceramic",M201)),"Supplier",
        ISNUMBER(SEARCH("National Company for Building",M201)),"Customer",
        ISNUMBER(SEARCH("Athraa Holding",M201)),"Customer",
        ISNUMBER(SEARCH("Al Rasan",M201)),"Supplier",
        ISNUMBER(SEARCH("Raboua Al Haid",M201)),"Customer",
        ISNUMBER(SEARCH("Al Jazeera Paint",M201)),"Supplier",
        ISNUMBER(SEARCH("Rania Works Contracting",M201)),"Supplier",
        ISNUMBER(SEARCH("Bandar Jarallah",M201)),"Supplier",
        TRUE,"Supplier"
    ),
    "-"
)</f>
        <v>Customer</v>
      </c>
      <c r="AD201" s="25" t="str" cm="1">
        <f t="array" ref="AD201">_xlfn.IFNA(
    _xlfn.IFS(
        AC201="Same Company","High",
        AC201="Shareholder","High",
        AC201="Government","High",
        AC201="Bank","High",
        AC201="Lender","High",
        AC201="Unknown","Low",
        AC201="-","Low",
        TRUE,"Medium"
    ),
    "-"
)</f>
        <v>Medium</v>
      </c>
      <c r="AE201" s="25" t="str">
        <f t="shared" si="14"/>
        <v>-</v>
      </c>
      <c r="AF201" s="25" t="str" cm="1">
        <f t="array" ref="AF201">_xlfn.IFNA(
    _xlfn.IFS(
        K201="Credit",
            _xlfn.IFS(
                OR(ISNUMBER(SEARCH("Rejected",L201)),ISNUMBER(SEARCH("Returned",L201))),"Other Income",
                TRUE,"Revenue"
            ),
        K201="Debit",
            _xlfn.IFS(
                ISNUMBER(SEARCH("Payroll",L201)),"OPEX",
                ISNUMBER(SEARCH("Expatriate",L201)),"OPEX",
                ISNUMBER(SEARCH("Zakat",M201)),"ZATCA",
                ISNUMBER(SEARCH("General Organization for Social Insurance",M201)),"OPEX",
                ISNUMBER(SEARCH("Saudi Electric",M201)),"OPEX",
                ISNUMBER(SEARCH("STC",M201)),"OPEX",
                ISNUMBER(SEARCH("National Water",M201)),"OPEX",
                ISNUMBER(SEARCH("Bupa",M201)),"OPEX",
                ISNUMBER(SEARCH("Abdullah Abdulkarim",M201)),"OPEX",
                ISNUMBER(SEARCH("Abdullah Fahad",M201)),"OPEX",
                ISNUMBER(SEARCH("ISO Arabia",M201)),"OPEX",
                ISNUMBER(SEARCH("Gulf Voyager",M201)),"OPEX",
                ISNUMBER(SEARCH("Ministry",M201)),"OPEX",
                ISNUMBER(SEARCH("General Authority of Zakat",M201)),"ZATCA",
                ISNUMBER(SEARCH("Rejected",L201)),"Other Income",
                TRUE,"COGS"
            ),
        TRUE,"-"
    ),
    "-"
)</f>
        <v>Revenue</v>
      </c>
      <c r="AG201" s="25" t="str" cm="1">
        <f t="array" ref="AG201">_xlfn.IFNA(
    _xlfn.IFS(
        ISNUMBER(SEARCH("Payroll",L201)),"Payroll",
        ISNUMBER(SEARCH("Expatriate",L201)),"Government Fees",
        ISNUMBER(SEARCH("Zakat",M201)),"Zakat",
        ISNUMBER(SEARCH("Social Insurance",M201)),"Social Insurance",
        ISNUMBER(SEARCH("Saudi Electric",M201)),"Electricity",
        ISNUMBER(SEARCH("STC",M201)),"Telecom",
        ISNUMBER(SEARCH("National Water",M201)),"Water",
        ISNUMBER(SEARCH("Bupa",M201)),"Insurance",
        ISNUMBER(SEARCH("Gulf Voyager",M201)),"Travel",
        ISNUMBER(SEARCH("Ministry",M201)),"Government Fees",
        ISNUMBER(SEARCH("Abdullah Abdulkarim",M201)),"Consulting",
        ISNUMBER(SEARCH("Abdullah Fahad",M201)),"Accounting",
        ISNUMBER(SEARCH("ISO Arabia",M201)),"Consulting",
        ISNUMBER(SEARCH("Rejected",L201)),"Refund",
        AF201="COGS","Inventory Purchase",
        AF201="Revenue","Revenue",
        AF201="OPEX","Other",
        AF201="ZATCA","Zakat",
        TRUE,"-"
    ),
    "-"
)</f>
        <v>Revenue</v>
      </c>
      <c r="AH201" s="25" t="str" cm="1">
        <f t="array" ref="AH201">_xlfn.IFNA(
    _xlfn.IFS(
        AF201="-","Low",
        AF201="Other","Low",
        TRUE,"Medium"
    ),
    "-"
)</f>
        <v>Medium</v>
      </c>
      <c r="AI201" s="25" t="str">
        <f t="shared" si="15"/>
        <v>-</v>
      </c>
    </row>
  </sheetData>
  <sortState xmlns:xlrd2="http://schemas.microsoft.com/office/spreadsheetml/2017/richdata2" ref="A2:AI201">
    <sortCondition ref="A2:A201"/>
  </sortState>
  <dataValidations count="2">
    <dataValidation type="list" allowBlank="1" showErrorMessage="1" sqref="K2:L37 K39:L201 M175:M177 M188:M189 M200:M201 O2:O201 U2:U201" xr:uid="{29C6D453-A1C5-447F-BD7D-E9EA7EBFB95D}">
      <formula1>#REF!</formula1>
    </dataValidation>
    <dataValidation type="list" allowBlank="1" sqref="R2:R201 T2:T201 N2:N201 M2:M174 M178:M187 M190:M199" xr:uid="{7DF690BB-C6F3-49E2-A37A-AADAA8912D97}">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DB9D-9512-4F26-9C80-335008BD1F67}">
  <dimension ref="A1:Q1000"/>
  <sheetViews>
    <sheetView topLeftCell="F1" workbookViewId="0">
      <selection activeCell="K5" sqref="K5"/>
    </sheetView>
  </sheetViews>
  <sheetFormatPr defaultRowHeight="12.5" x14ac:dyDescent="0.25"/>
  <cols>
    <col min="1" max="1" width="23.453125" bestFit="1" customWidth="1"/>
    <col min="2" max="2" width="26.26953125" bestFit="1" customWidth="1"/>
    <col min="3" max="3" width="25.26953125" bestFit="1" customWidth="1"/>
    <col min="4" max="4" width="21.7265625" bestFit="1" customWidth="1"/>
    <col min="5" max="5" width="18.7265625" bestFit="1" customWidth="1"/>
    <col min="6" max="6" width="21.26953125" bestFit="1" customWidth="1"/>
    <col min="7" max="7" width="15.1796875" bestFit="1" customWidth="1"/>
    <col min="8" max="8" width="29.7265625" bestFit="1" customWidth="1"/>
    <col min="9" max="9" width="17.453125" bestFit="1" customWidth="1"/>
    <col min="10" max="10" width="21.26953125" bestFit="1" customWidth="1"/>
    <col min="11" max="11" width="21" bestFit="1" customWidth="1"/>
    <col min="12" max="12" width="18" bestFit="1" customWidth="1"/>
    <col min="13" max="13" width="19.26953125" bestFit="1" customWidth="1"/>
    <col min="14" max="14" width="21.453125" bestFit="1" customWidth="1"/>
    <col min="15" max="15" width="24.453125" bestFit="1" customWidth="1"/>
    <col min="16" max="16" width="25" bestFit="1" customWidth="1"/>
    <col min="17" max="17" width="22" bestFit="1" customWidth="1"/>
  </cols>
  <sheetData>
    <row r="1" spans="1:17" x14ac:dyDescent="0.25">
      <c r="A1" s="1" t="s">
        <v>21</v>
      </c>
      <c r="B1" s="1" t="s">
        <v>22</v>
      </c>
      <c r="C1" s="1" t="s">
        <v>355</v>
      </c>
      <c r="D1" s="1" t="s">
        <v>23</v>
      </c>
      <c r="E1" s="21" t="s">
        <v>24</v>
      </c>
      <c r="F1" s="21" t="s">
        <v>356</v>
      </c>
      <c r="G1" s="1" t="s">
        <v>25</v>
      </c>
      <c r="H1" s="1" t="s">
        <v>26</v>
      </c>
      <c r="I1" s="21" t="s">
        <v>27</v>
      </c>
      <c r="J1" s="1" t="s">
        <v>28</v>
      </c>
      <c r="K1" s="1" t="s">
        <v>29</v>
      </c>
      <c r="L1" s="21" t="s">
        <v>30</v>
      </c>
      <c r="M1" s="21" t="s">
        <v>357</v>
      </c>
      <c r="N1" s="1" t="s">
        <v>358</v>
      </c>
      <c r="O1" s="1" t="s">
        <v>359</v>
      </c>
      <c r="P1" s="1" t="s">
        <v>33</v>
      </c>
      <c r="Q1" s="21" t="s">
        <v>34</v>
      </c>
    </row>
    <row r="2" spans="1:17" x14ac:dyDescent="0.25">
      <c r="A2" s="1" t="s">
        <v>360</v>
      </c>
      <c r="B2" s="1" t="s">
        <v>361</v>
      </c>
      <c r="C2" s="1" t="s">
        <v>362</v>
      </c>
      <c r="D2" s="1" t="s">
        <v>363</v>
      </c>
      <c r="E2" s="1"/>
      <c r="F2" s="1"/>
      <c r="G2" s="22" t="s">
        <v>418</v>
      </c>
      <c r="H2" s="1" t="s">
        <v>364</v>
      </c>
      <c r="I2" s="1"/>
      <c r="J2" s="1" t="s">
        <v>365</v>
      </c>
      <c r="K2" s="1" t="s">
        <v>366</v>
      </c>
      <c r="L2" s="1"/>
      <c r="M2" s="1"/>
      <c r="N2" s="1" t="s">
        <v>367</v>
      </c>
      <c r="O2" s="1" t="s">
        <v>368</v>
      </c>
      <c r="P2" s="1" t="s">
        <v>366</v>
      </c>
      <c r="Q2" s="1"/>
    </row>
    <row r="3" spans="1:17" x14ac:dyDescent="0.25">
      <c r="A3" s="1" t="s">
        <v>369</v>
      </c>
      <c r="B3" s="1" t="s">
        <v>370</v>
      </c>
      <c r="C3" s="2" t="s">
        <v>371</v>
      </c>
      <c r="D3" s="1" t="s">
        <v>366</v>
      </c>
      <c r="E3" s="1"/>
      <c r="F3" s="1"/>
      <c r="G3" s="22" t="s">
        <v>465</v>
      </c>
      <c r="H3" s="1" t="s">
        <v>372</v>
      </c>
      <c r="I3" s="1"/>
      <c r="J3" s="1" t="s">
        <v>6</v>
      </c>
      <c r="K3" s="1" t="s">
        <v>363</v>
      </c>
      <c r="L3" s="1"/>
      <c r="M3" s="1"/>
      <c r="N3" s="1" t="s">
        <v>373</v>
      </c>
      <c r="O3" s="1" t="s">
        <v>374</v>
      </c>
      <c r="P3" s="1" t="s">
        <v>363</v>
      </c>
      <c r="Q3" s="1"/>
    </row>
    <row r="4" spans="1:17" x14ac:dyDescent="0.25">
      <c r="A4" s="1" t="s">
        <v>375</v>
      </c>
      <c r="B4" s="1" t="s">
        <v>376</v>
      </c>
      <c r="C4" s="2"/>
      <c r="D4" s="1" t="s">
        <v>377</v>
      </c>
      <c r="E4" s="1"/>
      <c r="F4" s="1"/>
      <c r="G4" s="22" t="s">
        <v>586</v>
      </c>
      <c r="H4" s="1" t="s">
        <v>378</v>
      </c>
      <c r="I4" s="1"/>
      <c r="J4" s="1" t="s">
        <v>379</v>
      </c>
      <c r="K4" s="1" t="s">
        <v>377</v>
      </c>
      <c r="L4" s="1"/>
      <c r="M4" s="1"/>
      <c r="N4" s="1" t="s">
        <v>380</v>
      </c>
      <c r="O4" s="1" t="s">
        <v>381</v>
      </c>
      <c r="P4" s="1" t="s">
        <v>377</v>
      </c>
      <c r="Q4" s="1"/>
    </row>
    <row r="5" spans="1:17" x14ac:dyDescent="0.25">
      <c r="A5" s="1" t="s">
        <v>381</v>
      </c>
      <c r="B5" s="1" t="s">
        <v>382</v>
      </c>
      <c r="C5" s="1"/>
      <c r="D5" s="1"/>
      <c r="E5" s="1"/>
      <c r="F5" s="1"/>
      <c r="G5" s="1"/>
      <c r="H5" s="1" t="s">
        <v>383</v>
      </c>
      <c r="I5" s="1"/>
      <c r="J5" s="1" t="s">
        <v>384</v>
      </c>
      <c r="K5" s="1"/>
      <c r="L5" s="1"/>
      <c r="M5" s="1"/>
      <c r="N5" s="1" t="s">
        <v>385</v>
      </c>
      <c r="O5" s="1" t="s">
        <v>386</v>
      </c>
      <c r="P5" s="1"/>
      <c r="Q5" s="1"/>
    </row>
    <row r="6" spans="1:17" x14ac:dyDescent="0.25">
      <c r="A6" s="1" t="s">
        <v>387</v>
      </c>
      <c r="B6" s="1" t="s">
        <v>388</v>
      </c>
      <c r="C6" s="1"/>
      <c r="D6" s="1"/>
      <c r="E6" s="1"/>
      <c r="F6" s="1"/>
      <c r="G6" s="1"/>
      <c r="H6" s="1" t="s">
        <v>389</v>
      </c>
      <c r="I6" s="1"/>
      <c r="J6" s="1" t="s">
        <v>390</v>
      </c>
      <c r="K6" s="1"/>
      <c r="L6" s="1"/>
      <c r="M6" s="1"/>
      <c r="N6" s="1" t="s">
        <v>391</v>
      </c>
      <c r="O6" s="1" t="s">
        <v>392</v>
      </c>
      <c r="P6" s="1"/>
      <c r="Q6" s="1"/>
    </row>
    <row r="7" spans="1:17" x14ac:dyDescent="0.25">
      <c r="A7" s="1" t="s">
        <v>393</v>
      </c>
      <c r="B7" s="1" t="s">
        <v>394</v>
      </c>
      <c r="C7" s="1"/>
      <c r="D7" s="1"/>
      <c r="E7" s="1"/>
      <c r="F7" s="1"/>
      <c r="G7" s="1"/>
      <c r="H7" s="1" t="s">
        <v>395</v>
      </c>
      <c r="I7" s="1"/>
      <c r="J7" s="1" t="s">
        <v>396</v>
      </c>
      <c r="K7" s="1"/>
      <c r="L7" s="1"/>
      <c r="M7" s="1"/>
      <c r="N7" s="1" t="s">
        <v>397</v>
      </c>
      <c r="O7" s="1" t="s">
        <v>398</v>
      </c>
      <c r="P7" s="1"/>
      <c r="Q7" s="1"/>
    </row>
    <row r="8" spans="1:17" x14ac:dyDescent="0.25">
      <c r="A8" s="1" t="s">
        <v>399</v>
      </c>
      <c r="B8" s="1" t="s">
        <v>400</v>
      </c>
      <c r="C8" s="1"/>
      <c r="D8" s="1"/>
      <c r="E8" s="1"/>
      <c r="F8" s="1"/>
      <c r="G8" s="1"/>
      <c r="H8" s="1" t="s">
        <v>6</v>
      </c>
      <c r="I8" s="1"/>
      <c r="J8" s="1" t="s">
        <v>401</v>
      </c>
      <c r="K8" s="1"/>
      <c r="L8" s="1"/>
      <c r="M8" s="1"/>
      <c r="N8" s="1" t="s">
        <v>402</v>
      </c>
      <c r="O8" s="1" t="s">
        <v>403</v>
      </c>
      <c r="P8" s="1"/>
      <c r="Q8" s="1"/>
    </row>
    <row r="9" spans="1:17" x14ac:dyDescent="0.25">
      <c r="A9" s="1" t="s">
        <v>404</v>
      </c>
      <c r="B9" s="1" t="s">
        <v>405</v>
      </c>
      <c r="C9" s="1"/>
      <c r="D9" s="1"/>
      <c r="E9" s="1"/>
      <c r="F9" s="1"/>
      <c r="G9" s="1"/>
      <c r="H9" s="1" t="s">
        <v>406</v>
      </c>
      <c r="I9" s="1"/>
      <c r="J9" s="1" t="s">
        <v>407</v>
      </c>
      <c r="K9" s="1"/>
      <c r="L9" s="1"/>
      <c r="M9" s="1"/>
      <c r="N9" s="1" t="s">
        <v>408</v>
      </c>
      <c r="O9" s="1" t="s">
        <v>409</v>
      </c>
      <c r="P9" s="1"/>
      <c r="Q9" s="1"/>
    </row>
    <row r="10" spans="1:17" x14ac:dyDescent="0.25">
      <c r="A10" s="1" t="s">
        <v>410</v>
      </c>
      <c r="B10" s="1" t="s">
        <v>390</v>
      </c>
      <c r="C10" s="1"/>
      <c r="D10" s="1"/>
      <c r="E10" s="1"/>
      <c r="F10" s="1"/>
      <c r="G10" s="1"/>
      <c r="H10" s="1" t="s">
        <v>411</v>
      </c>
      <c r="I10" s="1"/>
      <c r="J10" s="1" t="s">
        <v>412</v>
      </c>
      <c r="K10" s="1"/>
      <c r="L10" s="1"/>
      <c r="M10" s="1"/>
      <c r="N10" s="1" t="s">
        <v>413</v>
      </c>
      <c r="O10" s="1" t="s">
        <v>414</v>
      </c>
      <c r="P10" s="1"/>
      <c r="Q10" s="1"/>
    </row>
    <row r="11" spans="1:17" x14ac:dyDescent="0.25">
      <c r="A11" s="1" t="s">
        <v>415</v>
      </c>
      <c r="B11" s="1" t="s">
        <v>416</v>
      </c>
      <c r="C11" s="1"/>
      <c r="D11" s="1"/>
      <c r="E11" s="1"/>
      <c r="F11" s="1"/>
      <c r="G11" s="1"/>
      <c r="H11" s="1" t="s">
        <v>417</v>
      </c>
      <c r="I11" s="1"/>
      <c r="J11" s="1" t="s">
        <v>418</v>
      </c>
      <c r="K11" s="1"/>
      <c r="L11" s="1"/>
      <c r="M11" s="1"/>
      <c r="N11" s="1"/>
      <c r="O11" s="1" t="s">
        <v>417</v>
      </c>
      <c r="P11" s="1"/>
      <c r="Q11" s="1"/>
    </row>
    <row r="12" spans="1:17" x14ac:dyDescent="0.25">
      <c r="A12" s="1" t="s">
        <v>419</v>
      </c>
      <c r="B12" s="1" t="s">
        <v>420</v>
      </c>
      <c r="C12" s="1"/>
      <c r="D12" s="1"/>
      <c r="E12" s="1"/>
      <c r="F12" s="1"/>
      <c r="G12" s="1"/>
      <c r="H12" s="1" t="s">
        <v>421</v>
      </c>
      <c r="I12" s="1"/>
      <c r="J12" s="1" t="s">
        <v>422</v>
      </c>
      <c r="K12" s="1"/>
      <c r="L12" s="1"/>
      <c r="M12" s="1"/>
      <c r="N12" s="1"/>
      <c r="O12" s="1" t="s">
        <v>423</v>
      </c>
      <c r="P12" s="1"/>
      <c r="Q12" s="1"/>
    </row>
    <row r="13" spans="1:17" x14ac:dyDescent="0.25">
      <c r="A13" s="1" t="s">
        <v>424</v>
      </c>
      <c r="B13" s="1" t="s">
        <v>425</v>
      </c>
      <c r="C13" s="1"/>
      <c r="D13" s="1"/>
      <c r="E13" s="1"/>
      <c r="F13" s="1"/>
      <c r="G13" s="1"/>
      <c r="H13" s="1" t="s">
        <v>390</v>
      </c>
      <c r="I13" s="1"/>
      <c r="J13" s="1" t="s">
        <v>426</v>
      </c>
      <c r="K13" s="1"/>
      <c r="L13" s="1"/>
      <c r="M13" s="1"/>
      <c r="N13" s="1"/>
      <c r="O13" s="1" t="s">
        <v>427</v>
      </c>
      <c r="P13" s="1"/>
      <c r="Q13" s="1"/>
    </row>
    <row r="14" spans="1:17" x14ac:dyDescent="0.25">
      <c r="A14" s="1" t="s">
        <v>426</v>
      </c>
      <c r="B14" s="1" t="s">
        <v>428</v>
      </c>
      <c r="C14" s="1"/>
      <c r="D14" s="1"/>
      <c r="E14" s="1"/>
      <c r="F14" s="1"/>
      <c r="G14" s="1"/>
      <c r="H14" s="1" t="s">
        <v>429</v>
      </c>
      <c r="I14" s="1"/>
      <c r="J14" s="1" t="s">
        <v>430</v>
      </c>
      <c r="K14" s="1"/>
      <c r="L14" s="1"/>
      <c r="M14" s="1"/>
      <c r="N14" s="1"/>
      <c r="O14" s="1" t="s">
        <v>431</v>
      </c>
      <c r="P14" s="1"/>
      <c r="Q14" s="1"/>
    </row>
    <row r="15" spans="1:17" x14ac:dyDescent="0.25">
      <c r="A15" s="1" t="s">
        <v>368</v>
      </c>
      <c r="B15" s="1" t="s">
        <v>432</v>
      </c>
      <c r="C15" s="1"/>
      <c r="D15" s="1"/>
      <c r="E15" s="1"/>
      <c r="F15" s="1"/>
      <c r="G15" s="1"/>
      <c r="H15" s="1" t="s">
        <v>433</v>
      </c>
      <c r="I15" s="1"/>
      <c r="J15" s="1" t="s">
        <v>434</v>
      </c>
      <c r="K15" s="1"/>
      <c r="L15" s="1"/>
      <c r="M15" s="1"/>
      <c r="N15" s="1"/>
      <c r="O15" s="1" t="s">
        <v>435</v>
      </c>
      <c r="P15" s="1"/>
      <c r="Q15" s="1"/>
    </row>
    <row r="16" spans="1:17" x14ac:dyDescent="0.25">
      <c r="A16" s="22" t="s">
        <v>400</v>
      </c>
      <c r="B16" s="1" t="s">
        <v>436</v>
      </c>
      <c r="C16" s="1"/>
      <c r="D16" s="1"/>
      <c r="E16" s="1"/>
      <c r="F16" s="1"/>
      <c r="G16" s="1"/>
      <c r="H16" s="1" t="s">
        <v>437</v>
      </c>
      <c r="I16" s="1"/>
      <c r="J16" s="1" t="s">
        <v>438</v>
      </c>
      <c r="K16" s="1"/>
      <c r="L16" s="1"/>
      <c r="M16" s="1"/>
      <c r="N16" s="1"/>
      <c r="O16" s="1" t="s">
        <v>439</v>
      </c>
      <c r="P16" s="1"/>
      <c r="Q16" s="1"/>
    </row>
    <row r="17" spans="1:17" x14ac:dyDescent="0.25">
      <c r="A17" s="1"/>
      <c r="B17" s="1" t="s">
        <v>440</v>
      </c>
      <c r="C17" s="1"/>
      <c r="D17" s="1"/>
      <c r="E17" s="1"/>
      <c r="F17" s="1"/>
      <c r="G17" s="1"/>
      <c r="H17" s="1" t="s">
        <v>441</v>
      </c>
      <c r="I17" s="1"/>
      <c r="J17" s="1" t="s">
        <v>442</v>
      </c>
      <c r="K17" s="1"/>
      <c r="L17" s="1"/>
      <c r="M17" s="1"/>
      <c r="N17" s="1"/>
      <c r="O17" s="1" t="s">
        <v>443</v>
      </c>
      <c r="P17" s="1"/>
      <c r="Q17" s="1"/>
    </row>
    <row r="18" spans="1:17" x14ac:dyDescent="0.25">
      <c r="A18" s="1"/>
      <c r="B18" s="1" t="s">
        <v>444</v>
      </c>
      <c r="C18" s="1"/>
      <c r="D18" s="1"/>
      <c r="E18" s="1"/>
      <c r="F18" s="1"/>
      <c r="G18" s="1"/>
      <c r="H18" s="1" t="s">
        <v>445</v>
      </c>
      <c r="I18" s="1"/>
      <c r="J18" s="1" t="s">
        <v>446</v>
      </c>
      <c r="K18" s="1"/>
      <c r="L18" s="1"/>
      <c r="M18" s="1"/>
      <c r="N18" s="1"/>
      <c r="O18" s="1" t="s">
        <v>447</v>
      </c>
      <c r="P18" s="1"/>
      <c r="Q18" s="1"/>
    </row>
    <row r="19" spans="1:17" x14ac:dyDescent="0.25">
      <c r="A19" s="1"/>
      <c r="B19" s="1" t="s">
        <v>448</v>
      </c>
      <c r="C19" s="1"/>
      <c r="D19" s="1"/>
      <c r="E19" s="1"/>
      <c r="F19" s="1"/>
      <c r="G19" s="1"/>
      <c r="H19" s="1" t="s">
        <v>449</v>
      </c>
      <c r="I19" s="1"/>
      <c r="J19" s="1" t="s">
        <v>450</v>
      </c>
      <c r="K19" s="1"/>
      <c r="L19" s="1"/>
      <c r="M19" s="1"/>
      <c r="N19" s="1"/>
      <c r="O19" s="1" t="s">
        <v>390</v>
      </c>
      <c r="P19" s="1"/>
      <c r="Q19" s="1"/>
    </row>
    <row r="20" spans="1:17" x14ac:dyDescent="0.25">
      <c r="A20" s="1"/>
      <c r="B20" s="1" t="s">
        <v>451</v>
      </c>
      <c r="C20" s="1"/>
      <c r="D20" s="1"/>
      <c r="E20" s="1"/>
      <c r="F20" s="1"/>
      <c r="G20" s="1"/>
      <c r="H20" s="1" t="s">
        <v>452</v>
      </c>
      <c r="I20" s="1"/>
      <c r="J20" s="1" t="s">
        <v>453</v>
      </c>
      <c r="K20" s="1"/>
      <c r="L20" s="1"/>
      <c r="M20" s="1"/>
      <c r="N20" s="1"/>
      <c r="O20" s="1" t="s">
        <v>454</v>
      </c>
      <c r="P20" s="1"/>
      <c r="Q20" s="1"/>
    </row>
    <row r="21" spans="1:17" x14ac:dyDescent="0.25">
      <c r="A21" s="1"/>
      <c r="B21" s="1" t="s">
        <v>455</v>
      </c>
      <c r="C21" s="1"/>
      <c r="D21" s="1"/>
      <c r="E21" s="1"/>
      <c r="F21" s="1"/>
      <c r="G21" s="1"/>
      <c r="H21" s="1" t="s">
        <v>456</v>
      </c>
      <c r="I21" s="1"/>
      <c r="J21" s="1" t="s">
        <v>457</v>
      </c>
      <c r="K21" s="1"/>
      <c r="L21" s="1"/>
      <c r="M21" s="1"/>
      <c r="N21" s="1"/>
      <c r="O21" s="1" t="s">
        <v>458</v>
      </c>
      <c r="P21" s="1"/>
      <c r="Q21" s="1"/>
    </row>
    <row r="22" spans="1:17" x14ac:dyDescent="0.25">
      <c r="A22" s="1"/>
      <c r="B22" s="1" t="s">
        <v>459</v>
      </c>
      <c r="C22" s="1"/>
      <c r="D22" s="1"/>
      <c r="E22" s="1"/>
      <c r="F22" s="1"/>
      <c r="G22" s="1"/>
      <c r="H22" s="1" t="s">
        <v>460</v>
      </c>
      <c r="I22" s="1"/>
      <c r="J22" s="1" t="s">
        <v>461</v>
      </c>
      <c r="K22" s="1"/>
      <c r="L22" s="1"/>
      <c r="M22" s="1"/>
      <c r="N22" s="1"/>
      <c r="O22" s="1" t="s">
        <v>462</v>
      </c>
      <c r="P22" s="1"/>
      <c r="Q22" s="1"/>
    </row>
    <row r="23" spans="1:17" x14ac:dyDescent="0.25">
      <c r="A23" s="1"/>
      <c r="B23" s="1" t="s">
        <v>463</v>
      </c>
      <c r="C23" s="1"/>
      <c r="D23" s="1"/>
      <c r="E23" s="1"/>
      <c r="F23" s="1"/>
      <c r="G23" s="1"/>
      <c r="H23" s="1" t="s">
        <v>464</v>
      </c>
      <c r="I23" s="1"/>
      <c r="J23" s="1" t="s">
        <v>465</v>
      </c>
      <c r="K23" s="1"/>
      <c r="L23" s="1"/>
      <c r="M23" s="1"/>
      <c r="N23" s="1"/>
      <c r="O23" s="1" t="s">
        <v>466</v>
      </c>
      <c r="P23" s="1"/>
      <c r="Q23" s="1"/>
    </row>
    <row r="24" spans="1:17" x14ac:dyDescent="0.25">
      <c r="A24" s="1"/>
      <c r="B24" s="1" t="s">
        <v>467</v>
      </c>
      <c r="C24" s="1"/>
      <c r="D24" s="1"/>
      <c r="E24" s="1"/>
      <c r="F24" s="1"/>
      <c r="G24" s="1"/>
      <c r="H24" s="1" t="s">
        <v>36</v>
      </c>
      <c r="I24" s="1"/>
      <c r="J24" s="1"/>
      <c r="K24" s="1"/>
      <c r="L24" s="1"/>
      <c r="M24" s="1"/>
      <c r="N24" s="1"/>
      <c r="O24" s="1" t="s">
        <v>468</v>
      </c>
      <c r="P24" s="1"/>
      <c r="Q24" s="1"/>
    </row>
    <row r="25" spans="1:17" x14ac:dyDescent="0.25">
      <c r="A25" s="1"/>
      <c r="B25" s="1"/>
      <c r="C25" s="1"/>
      <c r="D25" s="1"/>
      <c r="E25" s="1"/>
      <c r="F25" s="1"/>
      <c r="G25" s="1"/>
      <c r="H25" s="1" t="s">
        <v>469</v>
      </c>
      <c r="I25" s="1"/>
      <c r="J25" s="1"/>
      <c r="K25" s="1"/>
      <c r="L25" s="1"/>
      <c r="M25" s="1"/>
      <c r="N25" s="1"/>
      <c r="O25" s="1" t="s">
        <v>470</v>
      </c>
      <c r="P25" s="1"/>
      <c r="Q25" s="1"/>
    </row>
    <row r="26" spans="1:17" x14ac:dyDescent="0.25">
      <c r="A26" s="1"/>
      <c r="B26" s="1"/>
      <c r="C26" s="1"/>
      <c r="D26" s="1"/>
      <c r="E26" s="1"/>
      <c r="F26" s="1"/>
      <c r="G26" s="1"/>
      <c r="H26" s="1" t="s">
        <v>471</v>
      </c>
      <c r="I26" s="1"/>
      <c r="J26" s="1"/>
      <c r="K26" s="1"/>
      <c r="L26" s="1"/>
      <c r="M26" s="1"/>
      <c r="N26" s="1"/>
      <c r="O26" s="1" t="s">
        <v>472</v>
      </c>
      <c r="P26" s="1"/>
      <c r="Q26" s="1"/>
    </row>
    <row r="27" spans="1:17" x14ac:dyDescent="0.25">
      <c r="A27" s="1"/>
      <c r="B27" s="1"/>
      <c r="C27" s="1"/>
      <c r="D27" s="1"/>
      <c r="E27" s="1"/>
      <c r="F27" s="1"/>
      <c r="G27" s="1"/>
      <c r="H27" s="1" t="s">
        <v>473</v>
      </c>
      <c r="I27" s="1"/>
      <c r="J27" s="1"/>
      <c r="K27" s="1"/>
      <c r="L27" s="1"/>
      <c r="M27" s="1"/>
      <c r="N27" s="1"/>
      <c r="O27" s="1" t="s">
        <v>474</v>
      </c>
      <c r="P27" s="1"/>
      <c r="Q27" s="1"/>
    </row>
    <row r="28" spans="1:17" x14ac:dyDescent="0.25">
      <c r="A28" s="1"/>
      <c r="B28" s="1"/>
      <c r="C28" s="1"/>
      <c r="D28" s="1"/>
      <c r="E28" s="1"/>
      <c r="F28" s="1"/>
      <c r="G28" s="1"/>
      <c r="H28" s="1" t="s">
        <v>475</v>
      </c>
      <c r="I28" s="1"/>
      <c r="J28" s="1"/>
      <c r="K28" s="1"/>
      <c r="L28" s="1"/>
      <c r="M28" s="1"/>
      <c r="N28" s="1"/>
      <c r="O28" s="1" t="s">
        <v>388</v>
      </c>
      <c r="P28" s="1"/>
      <c r="Q28" s="1"/>
    </row>
    <row r="29" spans="1:17" x14ac:dyDescent="0.25">
      <c r="A29" s="1"/>
      <c r="B29" s="1"/>
      <c r="C29" s="1"/>
      <c r="D29" s="1"/>
      <c r="E29" s="1"/>
      <c r="F29" s="1"/>
      <c r="G29" s="1"/>
      <c r="H29" s="1" t="s">
        <v>476</v>
      </c>
      <c r="I29" s="1"/>
      <c r="J29" s="1"/>
      <c r="K29" s="1"/>
      <c r="L29" s="1"/>
      <c r="M29" s="1"/>
      <c r="N29" s="1"/>
      <c r="O29" s="1" t="s">
        <v>477</v>
      </c>
      <c r="P29" s="1"/>
      <c r="Q29" s="1"/>
    </row>
    <row r="30" spans="1:17" x14ac:dyDescent="0.25">
      <c r="A30" s="1"/>
      <c r="B30" s="1"/>
      <c r="C30" s="1"/>
      <c r="D30" s="1"/>
      <c r="E30" s="1"/>
      <c r="F30" s="1"/>
      <c r="G30" s="1"/>
      <c r="H30" s="1" t="s">
        <v>478</v>
      </c>
      <c r="I30" s="1"/>
      <c r="J30" s="1"/>
      <c r="K30" s="1"/>
      <c r="L30" s="1"/>
      <c r="M30" s="1"/>
      <c r="N30" s="1"/>
      <c r="O30" s="1" t="s">
        <v>479</v>
      </c>
      <c r="P30" s="1"/>
      <c r="Q30" s="1"/>
    </row>
    <row r="31" spans="1:17" x14ac:dyDescent="0.25">
      <c r="A31" s="1"/>
      <c r="B31" s="1"/>
      <c r="C31" s="1"/>
      <c r="D31" s="1"/>
      <c r="E31" s="1"/>
      <c r="F31" s="1"/>
      <c r="G31" s="1"/>
      <c r="H31" s="1" t="s">
        <v>443</v>
      </c>
      <c r="I31" s="1"/>
      <c r="J31" s="1"/>
      <c r="K31" s="1"/>
      <c r="L31" s="1"/>
      <c r="M31" s="1"/>
      <c r="N31" s="1"/>
      <c r="O31" s="1" t="s">
        <v>480</v>
      </c>
      <c r="P31" s="1"/>
      <c r="Q31" s="1"/>
    </row>
    <row r="32" spans="1:17" x14ac:dyDescent="0.25">
      <c r="A32" s="1"/>
      <c r="B32" s="1"/>
      <c r="C32" s="1"/>
      <c r="D32" s="1"/>
      <c r="E32" s="1"/>
      <c r="F32" s="1"/>
      <c r="G32" s="1"/>
      <c r="H32" s="1" t="s">
        <v>481</v>
      </c>
      <c r="I32" s="1"/>
      <c r="J32" s="1"/>
      <c r="K32" s="1"/>
      <c r="L32" s="1"/>
      <c r="M32" s="1"/>
      <c r="N32" s="1"/>
      <c r="O32" s="1" t="s">
        <v>482</v>
      </c>
      <c r="P32" s="1"/>
      <c r="Q32" s="1"/>
    </row>
    <row r="33" spans="1:17" x14ac:dyDescent="0.25">
      <c r="A33" s="1"/>
      <c r="B33" s="1"/>
      <c r="C33" s="1"/>
      <c r="D33" s="1"/>
      <c r="E33" s="1"/>
      <c r="F33" s="1"/>
      <c r="G33" s="1"/>
      <c r="H33" s="1" t="s">
        <v>483</v>
      </c>
      <c r="I33" s="1"/>
      <c r="J33" s="1"/>
      <c r="K33" s="1"/>
      <c r="L33" s="1"/>
      <c r="M33" s="1"/>
      <c r="N33" s="1"/>
      <c r="O33" s="1" t="s">
        <v>484</v>
      </c>
      <c r="P33" s="1"/>
      <c r="Q33" s="1"/>
    </row>
    <row r="34" spans="1:17" x14ac:dyDescent="0.25">
      <c r="A34" s="1"/>
      <c r="B34" s="1"/>
      <c r="C34" s="1"/>
      <c r="D34" s="1"/>
      <c r="E34" s="1"/>
      <c r="F34" s="1"/>
      <c r="G34" s="1"/>
      <c r="H34" s="1" t="s">
        <v>485</v>
      </c>
      <c r="I34" s="1"/>
      <c r="J34" s="1"/>
      <c r="K34" s="1"/>
      <c r="L34" s="1"/>
      <c r="M34" s="1"/>
      <c r="N34" s="1"/>
      <c r="O34" s="1" t="s">
        <v>486</v>
      </c>
      <c r="P34" s="1"/>
      <c r="Q34" s="1"/>
    </row>
    <row r="35" spans="1:17" x14ac:dyDescent="0.25">
      <c r="A35" s="1"/>
      <c r="B35" s="1"/>
      <c r="C35" s="1"/>
      <c r="D35" s="1"/>
      <c r="E35" s="1"/>
      <c r="F35" s="1"/>
      <c r="G35" s="1"/>
      <c r="H35" s="1" t="s">
        <v>487</v>
      </c>
      <c r="I35" s="1"/>
      <c r="J35" s="1"/>
      <c r="K35" s="1"/>
      <c r="L35" s="1"/>
      <c r="M35" s="1"/>
      <c r="N35" s="1"/>
      <c r="O35" s="1" t="s">
        <v>488</v>
      </c>
      <c r="P35" s="1"/>
      <c r="Q35" s="1"/>
    </row>
    <row r="36" spans="1:17" x14ac:dyDescent="0.25">
      <c r="A36" s="1"/>
      <c r="B36" s="1"/>
      <c r="C36" s="1"/>
      <c r="D36" s="1"/>
      <c r="E36" s="1"/>
      <c r="F36" s="1"/>
      <c r="G36" s="1"/>
      <c r="H36" s="1" t="s">
        <v>489</v>
      </c>
      <c r="I36" s="1"/>
      <c r="J36" s="1"/>
      <c r="K36" s="1"/>
      <c r="L36" s="1"/>
      <c r="M36" s="1"/>
      <c r="N36" s="1"/>
      <c r="O36" s="1" t="s">
        <v>490</v>
      </c>
      <c r="P36" s="1"/>
      <c r="Q36" s="1"/>
    </row>
    <row r="37" spans="1:17" x14ac:dyDescent="0.25">
      <c r="A37" s="1"/>
      <c r="B37" s="1"/>
      <c r="C37" s="1"/>
      <c r="D37" s="1"/>
      <c r="E37" s="1"/>
      <c r="F37" s="1"/>
      <c r="G37" s="1"/>
      <c r="H37" s="1" t="s">
        <v>491</v>
      </c>
      <c r="I37" s="1"/>
      <c r="J37" s="1"/>
      <c r="K37" s="1"/>
      <c r="L37" s="1"/>
      <c r="M37" s="1"/>
      <c r="N37" s="1"/>
      <c r="O37" s="1" t="s">
        <v>492</v>
      </c>
      <c r="P37" s="1"/>
      <c r="Q37" s="1"/>
    </row>
    <row r="38" spans="1:17" x14ac:dyDescent="0.25">
      <c r="A38" s="1"/>
      <c r="B38" s="1"/>
      <c r="C38" s="1"/>
      <c r="D38" s="1"/>
      <c r="E38" s="1"/>
      <c r="F38" s="1"/>
      <c r="G38" s="1"/>
      <c r="H38" s="1" t="s">
        <v>493</v>
      </c>
      <c r="I38" s="1"/>
      <c r="J38" s="1"/>
      <c r="K38" s="1"/>
      <c r="L38" s="1"/>
      <c r="M38" s="1"/>
      <c r="N38" s="1"/>
      <c r="O38" s="1" t="s">
        <v>494</v>
      </c>
      <c r="P38" s="1"/>
      <c r="Q38" s="1"/>
    </row>
    <row r="39" spans="1:17" x14ac:dyDescent="0.25">
      <c r="A39" s="1"/>
      <c r="B39" s="1"/>
      <c r="C39" s="1"/>
      <c r="D39" s="1"/>
      <c r="E39" s="1"/>
      <c r="F39" s="1"/>
      <c r="G39" s="1"/>
      <c r="H39" s="1" t="s">
        <v>468</v>
      </c>
      <c r="I39" s="1"/>
      <c r="J39" s="1"/>
      <c r="K39" s="1"/>
      <c r="L39" s="1"/>
      <c r="M39" s="1"/>
      <c r="N39" s="1"/>
      <c r="O39" s="1" t="s">
        <v>495</v>
      </c>
      <c r="P39" s="1"/>
      <c r="Q39" s="1"/>
    </row>
    <row r="40" spans="1:17" x14ac:dyDescent="0.25">
      <c r="A40" s="1"/>
      <c r="B40" s="1"/>
      <c r="C40" s="1"/>
      <c r="D40" s="1"/>
      <c r="E40" s="1"/>
      <c r="F40" s="1"/>
      <c r="G40" s="1"/>
      <c r="H40" s="1" t="s">
        <v>496</v>
      </c>
      <c r="I40" s="1"/>
      <c r="J40" s="1"/>
      <c r="K40" s="1"/>
      <c r="L40" s="1"/>
      <c r="M40" s="1"/>
      <c r="N40" s="1"/>
      <c r="O40" s="1" t="s">
        <v>497</v>
      </c>
      <c r="P40" s="1"/>
      <c r="Q40" s="1"/>
    </row>
    <row r="41" spans="1:17" x14ac:dyDescent="0.25">
      <c r="A41" s="1"/>
      <c r="B41" s="1"/>
      <c r="C41" s="1"/>
      <c r="D41" s="1"/>
      <c r="E41" s="1"/>
      <c r="F41" s="1"/>
      <c r="G41" s="1"/>
      <c r="H41" s="1" t="s">
        <v>498</v>
      </c>
      <c r="I41" s="1"/>
      <c r="J41" s="1"/>
      <c r="K41" s="1"/>
      <c r="L41" s="1"/>
      <c r="M41" s="1"/>
      <c r="N41" s="1"/>
      <c r="O41" s="1" t="s">
        <v>499</v>
      </c>
      <c r="P41" s="1"/>
      <c r="Q41" s="1"/>
    </row>
    <row r="42" spans="1:17" x14ac:dyDescent="0.25">
      <c r="A42" s="1"/>
      <c r="B42" s="1"/>
      <c r="C42" s="1"/>
      <c r="D42" s="1"/>
      <c r="E42" s="1"/>
      <c r="F42" s="1"/>
      <c r="G42" s="1"/>
      <c r="H42" s="1" t="s">
        <v>500</v>
      </c>
      <c r="I42" s="1"/>
      <c r="J42" s="1"/>
      <c r="K42" s="1"/>
      <c r="L42" s="1"/>
      <c r="M42" s="1"/>
      <c r="N42" s="1"/>
      <c r="O42" s="1" t="s">
        <v>489</v>
      </c>
      <c r="P42" s="1"/>
      <c r="Q42" s="1"/>
    </row>
    <row r="43" spans="1:17" x14ac:dyDescent="0.25">
      <c r="A43" s="1"/>
      <c r="B43" s="1"/>
      <c r="C43" s="1"/>
      <c r="D43" s="1"/>
      <c r="E43" s="1"/>
      <c r="F43" s="1"/>
      <c r="G43" s="1"/>
      <c r="H43" s="1" t="s">
        <v>501</v>
      </c>
      <c r="I43" s="1"/>
      <c r="J43" s="1"/>
      <c r="K43" s="1"/>
      <c r="L43" s="1"/>
      <c r="M43" s="1"/>
      <c r="N43" s="1"/>
      <c r="O43" s="1" t="s">
        <v>502</v>
      </c>
      <c r="P43" s="1"/>
      <c r="Q43" s="1"/>
    </row>
    <row r="44" spans="1:17" x14ac:dyDescent="0.25">
      <c r="A44" s="1"/>
      <c r="B44" s="1"/>
      <c r="C44" s="1"/>
      <c r="D44" s="1"/>
      <c r="E44" s="1"/>
      <c r="F44" s="1"/>
      <c r="G44" s="1"/>
      <c r="H44" s="1" t="s">
        <v>503</v>
      </c>
      <c r="I44" s="1"/>
      <c r="J44" s="1"/>
      <c r="K44" s="1"/>
      <c r="L44" s="1"/>
      <c r="M44" s="1"/>
      <c r="N44" s="1"/>
      <c r="O44" s="1" t="s">
        <v>504</v>
      </c>
      <c r="P44" s="1"/>
      <c r="Q44" s="1"/>
    </row>
    <row r="45" spans="1:17" x14ac:dyDescent="0.25">
      <c r="A45" s="1"/>
      <c r="B45" s="1"/>
      <c r="C45" s="1"/>
      <c r="D45" s="1"/>
      <c r="E45" s="1"/>
      <c r="F45" s="1"/>
      <c r="G45" s="1"/>
      <c r="H45" s="1" t="s">
        <v>505</v>
      </c>
      <c r="I45" s="1"/>
      <c r="J45" s="1"/>
      <c r="K45" s="1"/>
      <c r="L45" s="1"/>
      <c r="M45" s="1"/>
      <c r="N45" s="1"/>
      <c r="O45" s="1" t="s">
        <v>501</v>
      </c>
      <c r="P45" s="1"/>
      <c r="Q45" s="1"/>
    </row>
    <row r="46" spans="1:17" x14ac:dyDescent="0.25">
      <c r="A46" s="1"/>
      <c r="B46" s="1"/>
      <c r="C46" s="1"/>
      <c r="D46" s="1"/>
      <c r="E46" s="1"/>
      <c r="F46" s="1"/>
      <c r="G46" s="1"/>
      <c r="H46" s="1" t="s">
        <v>506</v>
      </c>
      <c r="I46" s="1"/>
      <c r="J46" s="1"/>
      <c r="K46" s="1"/>
      <c r="L46" s="1"/>
      <c r="M46" s="1"/>
      <c r="N46" s="1"/>
      <c r="O46" s="1" t="s">
        <v>438</v>
      </c>
      <c r="P46" s="1"/>
      <c r="Q46" s="1"/>
    </row>
    <row r="47" spans="1:17" x14ac:dyDescent="0.25">
      <c r="A47" s="1"/>
      <c r="B47" s="1"/>
      <c r="C47" s="1"/>
      <c r="D47" s="1"/>
      <c r="E47" s="1"/>
      <c r="F47" s="1"/>
      <c r="G47" s="1"/>
      <c r="H47" s="1" t="s">
        <v>507</v>
      </c>
      <c r="I47" s="1"/>
      <c r="J47" s="1"/>
      <c r="K47" s="1"/>
      <c r="L47" s="1"/>
      <c r="M47" s="1"/>
      <c r="N47" s="1"/>
      <c r="O47" s="1" t="s">
        <v>508</v>
      </c>
      <c r="P47" s="1"/>
      <c r="Q47" s="1"/>
    </row>
    <row r="48" spans="1:17" x14ac:dyDescent="0.25">
      <c r="A48" s="1"/>
      <c r="B48" s="1"/>
      <c r="C48" s="1"/>
      <c r="D48" s="1"/>
      <c r="E48" s="1"/>
      <c r="F48" s="1"/>
      <c r="G48" s="1"/>
      <c r="H48" s="1" t="s">
        <v>509</v>
      </c>
      <c r="I48" s="1"/>
      <c r="J48" s="1"/>
      <c r="K48" s="1"/>
      <c r="L48" s="1"/>
      <c r="M48" s="1"/>
      <c r="N48" s="1"/>
      <c r="O48" s="1" t="s">
        <v>510</v>
      </c>
      <c r="P48" s="1"/>
      <c r="Q48" s="1"/>
    </row>
    <row r="49" spans="1:17" x14ac:dyDescent="0.25">
      <c r="A49" s="1"/>
      <c r="B49" s="1"/>
      <c r="C49" s="1"/>
      <c r="D49" s="1"/>
      <c r="E49" s="1"/>
      <c r="F49" s="1"/>
      <c r="G49" s="1"/>
      <c r="H49" s="1" t="s">
        <v>511</v>
      </c>
      <c r="I49" s="1"/>
      <c r="J49" s="1"/>
      <c r="K49" s="1"/>
      <c r="L49" s="1"/>
      <c r="M49" s="1"/>
      <c r="N49" s="1"/>
      <c r="O49" s="1"/>
      <c r="P49" s="1"/>
      <c r="Q49" s="1"/>
    </row>
    <row r="50" spans="1:17" x14ac:dyDescent="0.25">
      <c r="A50" s="1"/>
      <c r="B50" s="1"/>
      <c r="C50" s="1"/>
      <c r="D50" s="1"/>
      <c r="E50" s="1"/>
      <c r="F50" s="1"/>
      <c r="G50" s="1"/>
      <c r="H50" s="1" t="s">
        <v>478</v>
      </c>
      <c r="I50" s="1"/>
      <c r="J50" s="1"/>
      <c r="K50" s="1"/>
      <c r="L50" s="1"/>
      <c r="M50" s="1"/>
      <c r="N50" s="1"/>
      <c r="O50" s="1"/>
      <c r="P50" s="1"/>
      <c r="Q50" s="1"/>
    </row>
    <row r="51" spans="1:17" x14ac:dyDescent="0.25">
      <c r="A51" s="1"/>
      <c r="B51" s="1"/>
      <c r="C51" s="1"/>
      <c r="D51" s="1"/>
      <c r="E51" s="1"/>
      <c r="F51" s="1"/>
      <c r="G51" s="1"/>
      <c r="H51" s="1" t="s">
        <v>512</v>
      </c>
      <c r="I51" s="1"/>
      <c r="J51" s="1"/>
      <c r="K51" s="1"/>
      <c r="L51" s="1"/>
      <c r="M51" s="1"/>
      <c r="N51" s="1"/>
      <c r="O51" s="1"/>
      <c r="P51" s="1"/>
      <c r="Q51" s="1"/>
    </row>
    <row r="52" spans="1:17" x14ac:dyDescent="0.25">
      <c r="A52" s="1"/>
      <c r="B52" s="1"/>
      <c r="C52" s="1"/>
      <c r="D52" s="1"/>
      <c r="E52" s="1"/>
      <c r="F52" s="1"/>
      <c r="G52" s="1"/>
      <c r="H52" s="1" t="s">
        <v>513</v>
      </c>
      <c r="I52" s="1"/>
      <c r="J52" s="1"/>
      <c r="K52" s="1"/>
      <c r="L52" s="1"/>
      <c r="M52" s="1"/>
      <c r="N52" s="1"/>
      <c r="O52" s="1"/>
      <c r="P52" s="1"/>
      <c r="Q52" s="1"/>
    </row>
    <row r="53" spans="1:17" x14ac:dyDescent="0.25">
      <c r="A53" s="1"/>
      <c r="B53" s="1"/>
      <c r="C53" s="1"/>
      <c r="D53" s="1"/>
      <c r="E53" s="1"/>
      <c r="F53" s="1"/>
      <c r="G53" s="1"/>
      <c r="H53" s="1" t="s">
        <v>514</v>
      </c>
      <c r="I53" s="1"/>
      <c r="J53" s="1"/>
      <c r="K53" s="1"/>
      <c r="L53" s="1"/>
      <c r="M53" s="1"/>
      <c r="N53" s="1"/>
      <c r="O53" s="1"/>
      <c r="P53" s="1"/>
      <c r="Q53" s="1"/>
    </row>
    <row r="54" spans="1:17" x14ac:dyDescent="0.25">
      <c r="A54" s="1"/>
      <c r="B54" s="1"/>
      <c r="C54" s="1"/>
      <c r="D54" s="1"/>
      <c r="E54" s="1"/>
      <c r="F54" s="1"/>
      <c r="G54" s="1"/>
      <c r="H54" s="1" t="s">
        <v>515</v>
      </c>
      <c r="I54" s="1"/>
      <c r="J54" s="1"/>
      <c r="K54" s="1"/>
      <c r="L54" s="1"/>
      <c r="M54" s="1"/>
      <c r="N54" s="1"/>
      <c r="O54" s="1"/>
      <c r="P54" s="1"/>
      <c r="Q54" s="1"/>
    </row>
    <row r="55" spans="1:17" x14ac:dyDescent="0.25">
      <c r="A55" s="1"/>
      <c r="B55" s="1"/>
      <c r="C55" s="1"/>
      <c r="D55" s="1"/>
      <c r="E55" s="1"/>
      <c r="F55" s="1"/>
      <c r="G55" s="1"/>
      <c r="H55" s="1" t="s">
        <v>516</v>
      </c>
      <c r="I55" s="1"/>
      <c r="J55" s="1"/>
      <c r="K55" s="1"/>
      <c r="L55" s="1"/>
      <c r="M55" s="1"/>
      <c r="N55" s="1"/>
      <c r="O55" s="1"/>
      <c r="P55" s="1"/>
      <c r="Q55" s="1"/>
    </row>
    <row r="56" spans="1:17" x14ac:dyDescent="0.25">
      <c r="A56" s="1"/>
      <c r="B56" s="1"/>
      <c r="C56" s="1"/>
      <c r="D56" s="1"/>
      <c r="E56" s="1"/>
      <c r="F56" s="1"/>
      <c r="G56" s="1"/>
      <c r="H56" s="1" t="s">
        <v>517</v>
      </c>
      <c r="I56" s="1"/>
      <c r="J56" s="1"/>
      <c r="K56" s="1"/>
      <c r="L56" s="1"/>
      <c r="M56" s="1"/>
      <c r="N56" s="1"/>
      <c r="O56" s="1"/>
      <c r="P56" s="1"/>
      <c r="Q56" s="1"/>
    </row>
    <row r="57" spans="1:17" x14ac:dyDescent="0.25">
      <c r="A57" s="1"/>
      <c r="B57" s="1"/>
      <c r="C57" s="1"/>
      <c r="D57" s="1"/>
      <c r="E57" s="1"/>
      <c r="F57" s="1"/>
      <c r="G57" s="1"/>
      <c r="H57" s="1" t="s">
        <v>430</v>
      </c>
      <c r="I57" s="1"/>
      <c r="J57" s="1"/>
      <c r="K57" s="1"/>
      <c r="L57" s="1"/>
      <c r="M57" s="1"/>
      <c r="N57" s="1"/>
      <c r="O57" s="1"/>
      <c r="P57" s="1"/>
      <c r="Q57" s="1"/>
    </row>
    <row r="58" spans="1:17" x14ac:dyDescent="0.25">
      <c r="A58" s="1"/>
      <c r="B58" s="1"/>
      <c r="C58" s="1"/>
      <c r="D58" s="1"/>
      <c r="E58" s="1"/>
      <c r="F58" s="1"/>
      <c r="G58" s="1"/>
      <c r="H58" s="1" t="s">
        <v>518</v>
      </c>
      <c r="I58" s="1"/>
      <c r="J58" s="1"/>
      <c r="K58" s="1"/>
      <c r="L58" s="1"/>
      <c r="M58" s="1"/>
      <c r="N58" s="1"/>
      <c r="O58" s="1"/>
      <c r="P58" s="1"/>
      <c r="Q58" s="1"/>
    </row>
    <row r="59" spans="1:17" x14ac:dyDescent="0.25">
      <c r="A59" s="1"/>
      <c r="B59" s="1"/>
      <c r="C59" s="1"/>
      <c r="D59" s="1"/>
      <c r="E59" s="1"/>
      <c r="F59" s="1"/>
      <c r="G59" s="1"/>
      <c r="H59" s="1" t="s">
        <v>427</v>
      </c>
      <c r="I59" s="1"/>
      <c r="J59" s="1"/>
      <c r="K59" s="1"/>
      <c r="L59" s="1"/>
      <c r="M59" s="1"/>
      <c r="N59" s="1"/>
      <c r="O59" s="1"/>
      <c r="P59" s="1"/>
      <c r="Q59" s="1"/>
    </row>
    <row r="60" spans="1:17" x14ac:dyDescent="0.25">
      <c r="A60" s="1"/>
      <c r="B60" s="1"/>
      <c r="C60" s="1"/>
      <c r="D60" s="1"/>
      <c r="E60" s="1"/>
      <c r="F60" s="1"/>
      <c r="G60" s="1"/>
      <c r="H60" s="1" t="s">
        <v>519</v>
      </c>
      <c r="I60" s="1"/>
      <c r="J60" s="1"/>
      <c r="K60" s="1"/>
      <c r="L60" s="1"/>
      <c r="M60" s="1"/>
      <c r="N60" s="1"/>
      <c r="O60" s="1"/>
      <c r="P60" s="1"/>
      <c r="Q60" s="1"/>
    </row>
    <row r="61" spans="1:17" x14ac:dyDescent="0.25">
      <c r="A61" s="1"/>
      <c r="B61" s="1"/>
      <c r="C61" s="1"/>
      <c r="D61" s="1"/>
      <c r="E61" s="1"/>
      <c r="F61" s="1"/>
      <c r="G61" s="1"/>
      <c r="H61" s="1" t="s">
        <v>465</v>
      </c>
      <c r="I61" s="1"/>
      <c r="J61" s="1"/>
      <c r="K61" s="1"/>
      <c r="L61" s="1"/>
      <c r="M61" s="1"/>
      <c r="N61" s="1"/>
      <c r="O61" s="1"/>
      <c r="P61" s="1"/>
      <c r="Q61" s="1"/>
    </row>
    <row r="62" spans="1:17" x14ac:dyDescent="0.25">
      <c r="A62" s="1"/>
      <c r="B62" s="1"/>
      <c r="C62" s="1"/>
      <c r="D62" s="1"/>
      <c r="E62" s="1"/>
      <c r="F62" s="1"/>
      <c r="G62" s="1"/>
      <c r="H62" s="1" t="s">
        <v>520</v>
      </c>
      <c r="I62" s="1"/>
      <c r="J62" s="1"/>
      <c r="K62" s="1"/>
      <c r="L62" s="1"/>
      <c r="M62" s="1"/>
      <c r="N62" s="1"/>
      <c r="O62" s="1"/>
      <c r="P62" s="1"/>
      <c r="Q62" s="1"/>
    </row>
    <row r="63" spans="1:17" x14ac:dyDescent="0.25">
      <c r="A63" s="1"/>
      <c r="B63" s="1"/>
      <c r="C63" s="1"/>
      <c r="D63" s="1"/>
      <c r="E63" s="1"/>
      <c r="F63" s="1"/>
      <c r="G63" s="1"/>
      <c r="H63" s="1" t="s">
        <v>521</v>
      </c>
      <c r="I63" s="1"/>
      <c r="J63" s="1"/>
      <c r="K63" s="1"/>
      <c r="L63" s="1"/>
      <c r="M63" s="1"/>
      <c r="N63" s="1"/>
      <c r="O63" s="1"/>
      <c r="P63" s="1"/>
      <c r="Q63" s="1"/>
    </row>
    <row r="64" spans="1:17" x14ac:dyDescent="0.25">
      <c r="A64" s="1"/>
      <c r="B64" s="1"/>
      <c r="C64" s="1"/>
      <c r="D64" s="1"/>
      <c r="E64" s="1"/>
      <c r="F64" s="1"/>
      <c r="G64" s="1"/>
      <c r="H64" s="1" t="s">
        <v>522</v>
      </c>
      <c r="I64" s="1"/>
      <c r="J64" s="1"/>
      <c r="K64" s="1"/>
      <c r="L64" s="1"/>
      <c r="M64" s="1"/>
      <c r="N64" s="1"/>
      <c r="O64" s="1"/>
      <c r="P64" s="1"/>
      <c r="Q64" s="1"/>
    </row>
    <row r="65" spans="1:17" x14ac:dyDescent="0.25">
      <c r="A65" s="1"/>
      <c r="B65" s="1"/>
      <c r="C65" s="1"/>
      <c r="D65" s="1"/>
      <c r="E65" s="1"/>
      <c r="F65" s="1"/>
      <c r="G65" s="1"/>
      <c r="H65" s="1" t="s">
        <v>523</v>
      </c>
      <c r="I65" s="1"/>
      <c r="J65" s="1"/>
      <c r="K65" s="1"/>
      <c r="L65" s="1"/>
      <c r="M65" s="1"/>
      <c r="N65" s="1"/>
      <c r="O65" s="1"/>
      <c r="P65" s="1"/>
      <c r="Q65" s="1"/>
    </row>
    <row r="66" spans="1:17" x14ac:dyDescent="0.25">
      <c r="A66" s="1"/>
      <c r="B66" s="1"/>
      <c r="C66" s="1"/>
      <c r="D66" s="1"/>
      <c r="E66" s="1"/>
      <c r="F66" s="1"/>
      <c r="G66" s="1"/>
      <c r="H66" s="1" t="s">
        <v>390</v>
      </c>
      <c r="I66" s="1"/>
      <c r="J66" s="1"/>
      <c r="K66" s="1"/>
      <c r="L66" s="1"/>
      <c r="M66" s="1"/>
      <c r="N66" s="1"/>
      <c r="O66" s="1"/>
      <c r="P66" s="1"/>
      <c r="Q66" s="1"/>
    </row>
    <row r="67" spans="1:17" x14ac:dyDescent="0.25">
      <c r="A67" s="1"/>
      <c r="B67" s="1"/>
      <c r="C67" s="1"/>
      <c r="D67" s="1"/>
      <c r="E67" s="1"/>
      <c r="F67" s="1"/>
      <c r="G67" s="1"/>
      <c r="H67" s="1" t="s">
        <v>524</v>
      </c>
      <c r="I67" s="1"/>
      <c r="J67" s="1"/>
      <c r="K67" s="1"/>
      <c r="L67" s="1"/>
      <c r="M67" s="1"/>
      <c r="N67" s="1"/>
      <c r="O67" s="1"/>
      <c r="P67" s="1"/>
      <c r="Q67" s="1"/>
    </row>
    <row r="68" spans="1:17" x14ac:dyDescent="0.25">
      <c r="A68" s="1"/>
      <c r="B68" s="1"/>
      <c r="C68" s="1"/>
      <c r="D68" s="1"/>
      <c r="E68" s="1"/>
      <c r="F68" s="1"/>
      <c r="G68" s="1"/>
      <c r="H68" s="1" t="s">
        <v>524</v>
      </c>
      <c r="I68" s="1"/>
      <c r="J68" s="1"/>
      <c r="K68" s="1"/>
      <c r="L68" s="1"/>
      <c r="M68" s="1"/>
      <c r="N68" s="1"/>
      <c r="O68" s="1"/>
      <c r="P68" s="1"/>
      <c r="Q68" s="1"/>
    </row>
    <row r="69" spans="1:17" x14ac:dyDescent="0.25">
      <c r="A69" s="1"/>
      <c r="B69" s="1"/>
      <c r="C69" s="1"/>
      <c r="D69" s="1"/>
      <c r="E69" s="1"/>
      <c r="F69" s="1"/>
      <c r="G69" s="1"/>
      <c r="H69" s="1" t="s">
        <v>525</v>
      </c>
      <c r="I69" s="1"/>
      <c r="J69" s="1"/>
      <c r="K69" s="1"/>
      <c r="L69" s="1"/>
      <c r="M69" s="1"/>
      <c r="N69" s="1"/>
      <c r="O69" s="1"/>
      <c r="P69" s="1"/>
      <c r="Q69" s="1"/>
    </row>
    <row r="70" spans="1:17" x14ac:dyDescent="0.25">
      <c r="A70" s="1"/>
      <c r="B70" s="1"/>
      <c r="C70" s="1"/>
      <c r="D70" s="1"/>
      <c r="E70" s="1"/>
      <c r="F70" s="1"/>
      <c r="G70" s="1"/>
      <c r="H70" s="1" t="s">
        <v>526</v>
      </c>
      <c r="I70" s="1"/>
      <c r="J70" s="1"/>
      <c r="K70" s="1"/>
      <c r="L70" s="1"/>
      <c r="M70" s="1"/>
      <c r="N70" s="1"/>
      <c r="O70" s="1"/>
      <c r="P70" s="1"/>
      <c r="Q70" s="1"/>
    </row>
    <row r="71" spans="1:17" x14ac:dyDescent="0.25">
      <c r="A71" s="1"/>
      <c r="B71" s="1"/>
      <c r="C71" s="1"/>
      <c r="D71" s="1"/>
      <c r="E71" s="1"/>
      <c r="F71" s="1"/>
      <c r="G71" s="1"/>
      <c r="H71" s="1" t="s">
        <v>527</v>
      </c>
      <c r="I71" s="1"/>
      <c r="J71" s="1"/>
      <c r="K71" s="1"/>
      <c r="L71" s="1"/>
      <c r="M71" s="1"/>
      <c r="N71" s="1"/>
      <c r="O71" s="1"/>
      <c r="P71" s="1"/>
      <c r="Q71" s="1"/>
    </row>
    <row r="72" spans="1:17" x14ac:dyDescent="0.25">
      <c r="A72" s="1"/>
      <c r="B72" s="1"/>
      <c r="C72" s="1"/>
      <c r="D72" s="1"/>
      <c r="E72" s="1"/>
      <c r="F72" s="1"/>
      <c r="G72" s="1"/>
      <c r="H72" s="1" t="s">
        <v>528</v>
      </c>
      <c r="I72" s="1"/>
      <c r="J72" s="1"/>
      <c r="K72" s="1"/>
      <c r="L72" s="1"/>
      <c r="M72" s="1"/>
      <c r="N72" s="1"/>
      <c r="O72" s="1"/>
      <c r="P72" s="1"/>
      <c r="Q72" s="1"/>
    </row>
    <row r="73" spans="1:17" x14ac:dyDescent="0.25">
      <c r="A73" s="1"/>
      <c r="B73" s="1"/>
      <c r="C73" s="1"/>
      <c r="D73" s="1"/>
      <c r="E73" s="1"/>
      <c r="F73" s="1"/>
      <c r="G73" s="1"/>
      <c r="H73" s="1" t="s">
        <v>529</v>
      </c>
      <c r="I73" s="1"/>
      <c r="J73" s="1"/>
      <c r="K73" s="1"/>
      <c r="L73" s="1"/>
      <c r="M73" s="1"/>
      <c r="N73" s="1"/>
      <c r="O73" s="1"/>
      <c r="P73" s="1"/>
      <c r="Q73" s="1"/>
    </row>
    <row r="74" spans="1:17" x14ac:dyDescent="0.25">
      <c r="A74" s="1"/>
      <c r="B74" s="1"/>
      <c r="C74" s="1"/>
      <c r="D74" s="1"/>
      <c r="E74" s="1"/>
      <c r="F74" s="1"/>
      <c r="G74" s="1"/>
      <c r="H74" s="1" t="s">
        <v>379</v>
      </c>
      <c r="I74" s="1"/>
      <c r="J74" s="1"/>
      <c r="K74" s="1"/>
      <c r="L74" s="1"/>
      <c r="M74" s="1"/>
      <c r="N74" s="1"/>
      <c r="O74" s="1"/>
      <c r="P74" s="1"/>
      <c r="Q74" s="1"/>
    </row>
    <row r="75" spans="1:17" x14ac:dyDescent="0.25">
      <c r="A75" s="1"/>
      <c r="B75" s="1"/>
      <c r="C75" s="1"/>
      <c r="D75" s="1"/>
      <c r="E75" s="1"/>
      <c r="F75" s="1"/>
      <c r="G75" s="1"/>
      <c r="H75" s="1" t="s">
        <v>530</v>
      </c>
      <c r="I75" s="1"/>
      <c r="J75" s="1"/>
      <c r="K75" s="1"/>
      <c r="L75" s="1"/>
      <c r="M75" s="1"/>
      <c r="N75" s="1"/>
      <c r="O75" s="1"/>
      <c r="P75" s="1"/>
      <c r="Q75" s="1"/>
    </row>
    <row r="76" spans="1:17" x14ac:dyDescent="0.25">
      <c r="A76" s="1"/>
      <c r="B76" s="1"/>
      <c r="C76" s="1"/>
      <c r="D76" s="1"/>
      <c r="E76" s="1"/>
      <c r="F76" s="1"/>
      <c r="G76" s="1"/>
      <c r="H76" s="1" t="s">
        <v>434</v>
      </c>
      <c r="I76" s="1"/>
      <c r="J76" s="1"/>
      <c r="K76" s="1"/>
      <c r="L76" s="1"/>
      <c r="M76" s="1"/>
      <c r="N76" s="1"/>
      <c r="O76" s="1"/>
      <c r="P76" s="1"/>
      <c r="Q76" s="1"/>
    </row>
    <row r="77" spans="1:17" x14ac:dyDescent="0.25">
      <c r="A77" s="1"/>
      <c r="B77" s="1"/>
      <c r="C77" s="1"/>
      <c r="D77" s="1"/>
      <c r="E77" s="1"/>
      <c r="F77" s="1"/>
      <c r="G77" s="1"/>
      <c r="H77" s="1" t="s">
        <v>531</v>
      </c>
      <c r="I77" s="1"/>
      <c r="J77" s="1"/>
      <c r="K77" s="1"/>
      <c r="L77" s="1"/>
      <c r="M77" s="1"/>
      <c r="N77" s="1"/>
      <c r="O77" s="1"/>
      <c r="P77" s="1"/>
      <c r="Q77" s="1"/>
    </row>
    <row r="78" spans="1:17" x14ac:dyDescent="0.25">
      <c r="A78" s="1"/>
      <c r="B78" s="1"/>
      <c r="C78" s="1"/>
      <c r="D78" s="1"/>
      <c r="E78" s="1"/>
      <c r="F78" s="1"/>
      <c r="G78" s="1"/>
      <c r="H78" s="1" t="s">
        <v>490</v>
      </c>
      <c r="I78" s="1"/>
      <c r="J78" s="1"/>
      <c r="K78" s="1"/>
      <c r="L78" s="1"/>
      <c r="M78" s="1"/>
      <c r="N78" s="1"/>
      <c r="O78" s="1"/>
      <c r="P78" s="1"/>
      <c r="Q78" s="1"/>
    </row>
    <row r="79" spans="1:17" x14ac:dyDescent="0.25">
      <c r="A79" s="1"/>
      <c r="B79" s="1"/>
      <c r="C79" s="1"/>
      <c r="D79" s="1"/>
      <c r="E79" s="1"/>
      <c r="F79" s="1"/>
      <c r="G79" s="1"/>
      <c r="H79" s="1" t="s">
        <v>532</v>
      </c>
      <c r="I79" s="1"/>
      <c r="J79" s="1"/>
      <c r="K79" s="1"/>
      <c r="L79" s="1"/>
      <c r="M79" s="1"/>
      <c r="N79" s="1"/>
      <c r="O79" s="1"/>
      <c r="P79" s="1"/>
      <c r="Q79" s="1"/>
    </row>
    <row r="80" spans="1:17" x14ac:dyDescent="0.25">
      <c r="A80" s="1"/>
      <c r="B80" s="1"/>
      <c r="C80" s="1"/>
      <c r="D80" s="1"/>
      <c r="E80" s="1"/>
      <c r="F80" s="1"/>
      <c r="G80" s="1"/>
      <c r="H80" s="1" t="s">
        <v>533</v>
      </c>
      <c r="I80" s="1"/>
      <c r="J80" s="1"/>
      <c r="K80" s="1"/>
      <c r="L80" s="1"/>
      <c r="M80" s="1"/>
      <c r="N80" s="1"/>
      <c r="O80" s="1"/>
      <c r="P80" s="1"/>
      <c r="Q80" s="1"/>
    </row>
    <row r="81" spans="1:17" x14ac:dyDescent="0.25">
      <c r="A81" s="1"/>
      <c r="B81" s="1"/>
      <c r="C81" s="1"/>
      <c r="D81" s="1"/>
      <c r="E81" s="1"/>
      <c r="F81" s="1"/>
      <c r="G81" s="1"/>
      <c r="H81" s="1" t="s">
        <v>534</v>
      </c>
      <c r="I81" s="1"/>
      <c r="J81" s="1"/>
      <c r="K81" s="1"/>
      <c r="L81" s="1"/>
      <c r="M81" s="1"/>
      <c r="N81" s="1"/>
      <c r="O81" s="1"/>
      <c r="P81" s="1"/>
      <c r="Q81" s="1"/>
    </row>
    <row r="82" spans="1:17" x14ac:dyDescent="0.25">
      <c r="A82" s="1"/>
      <c r="B82" s="1"/>
      <c r="C82" s="1"/>
      <c r="D82" s="1"/>
      <c r="E82" s="1"/>
      <c r="F82" s="1"/>
      <c r="G82" s="1"/>
      <c r="H82" s="1" t="s">
        <v>535</v>
      </c>
      <c r="I82" s="1"/>
      <c r="J82" s="1"/>
      <c r="K82" s="1"/>
      <c r="L82" s="1"/>
      <c r="M82" s="1"/>
      <c r="N82" s="1"/>
      <c r="O82" s="1"/>
      <c r="P82" s="1"/>
      <c r="Q82" s="1"/>
    </row>
    <row r="83" spans="1:17" x14ac:dyDescent="0.25">
      <c r="A83" s="1"/>
      <c r="B83" s="1"/>
      <c r="C83" s="1"/>
      <c r="D83" s="1"/>
      <c r="E83" s="1"/>
      <c r="F83" s="1"/>
      <c r="G83" s="1"/>
      <c r="H83" s="1" t="s">
        <v>536</v>
      </c>
      <c r="I83" s="1"/>
      <c r="J83" s="1"/>
      <c r="K83" s="1"/>
      <c r="L83" s="1"/>
      <c r="M83" s="1"/>
      <c r="N83" s="1"/>
      <c r="O83" s="1"/>
      <c r="P83" s="1"/>
      <c r="Q83" s="1"/>
    </row>
    <row r="84" spans="1:17" x14ac:dyDescent="0.25">
      <c r="A84" s="1"/>
      <c r="B84" s="1"/>
      <c r="C84" s="1"/>
      <c r="D84" s="1"/>
      <c r="E84" s="1"/>
      <c r="F84" s="1"/>
      <c r="G84" s="1"/>
      <c r="H84" s="1" t="s">
        <v>383</v>
      </c>
      <c r="I84" s="1"/>
      <c r="J84" s="1"/>
      <c r="K84" s="1"/>
      <c r="L84" s="1"/>
      <c r="M84" s="1"/>
      <c r="N84" s="1"/>
      <c r="O84" s="1"/>
      <c r="P84" s="1"/>
      <c r="Q84" s="1"/>
    </row>
    <row r="85" spans="1:17" x14ac:dyDescent="0.25">
      <c r="A85" s="1"/>
      <c r="B85" s="1"/>
      <c r="C85" s="1"/>
      <c r="D85" s="1"/>
      <c r="E85" s="1"/>
      <c r="F85" s="1"/>
      <c r="G85" s="1"/>
      <c r="H85" s="1" t="s">
        <v>537</v>
      </c>
      <c r="I85" s="1"/>
      <c r="J85" s="1"/>
      <c r="K85" s="1"/>
      <c r="L85" s="1"/>
      <c r="M85" s="1"/>
      <c r="N85" s="1"/>
      <c r="O85" s="1"/>
      <c r="P85" s="1"/>
      <c r="Q85" s="1"/>
    </row>
    <row r="86" spans="1:17" x14ac:dyDescent="0.25">
      <c r="A86" s="1"/>
      <c r="B86" s="1"/>
      <c r="C86" s="1"/>
      <c r="D86" s="1"/>
      <c r="E86" s="1"/>
      <c r="F86" s="1"/>
      <c r="G86" s="1"/>
      <c r="H86" s="1" t="s">
        <v>504</v>
      </c>
      <c r="I86" s="1"/>
      <c r="J86" s="1"/>
      <c r="K86" s="1"/>
      <c r="L86" s="1"/>
      <c r="M86" s="1"/>
      <c r="N86" s="1"/>
      <c r="O86" s="1"/>
      <c r="P86" s="1"/>
      <c r="Q86" s="1"/>
    </row>
    <row r="87" spans="1:17" x14ac:dyDescent="0.25">
      <c r="A87" s="1"/>
      <c r="B87" s="1"/>
      <c r="C87" s="1"/>
      <c r="D87" s="1"/>
      <c r="E87" s="1"/>
      <c r="F87" s="1"/>
      <c r="G87" s="1"/>
      <c r="H87" s="1" t="s">
        <v>482</v>
      </c>
      <c r="I87" s="1"/>
      <c r="J87" s="1"/>
      <c r="K87" s="1"/>
      <c r="L87" s="1"/>
      <c r="M87" s="1"/>
      <c r="N87" s="1"/>
      <c r="O87" s="1"/>
      <c r="P87" s="1"/>
      <c r="Q87" s="1"/>
    </row>
    <row r="88" spans="1:17" x14ac:dyDescent="0.25">
      <c r="A88" s="1"/>
      <c r="B88" s="1"/>
      <c r="C88" s="1"/>
      <c r="D88" s="1"/>
      <c r="E88" s="1"/>
      <c r="F88" s="1"/>
      <c r="G88" s="1"/>
      <c r="H88" s="1" t="s">
        <v>538</v>
      </c>
      <c r="I88" s="1"/>
      <c r="J88" s="1"/>
      <c r="K88" s="1"/>
      <c r="L88" s="1"/>
      <c r="M88" s="1"/>
      <c r="N88" s="1"/>
      <c r="O88" s="1"/>
      <c r="P88" s="1"/>
      <c r="Q88" s="1"/>
    </row>
    <row r="89" spans="1:17" x14ac:dyDescent="0.25">
      <c r="A89" s="1"/>
      <c r="B89" s="1"/>
      <c r="C89" s="1"/>
      <c r="D89" s="1"/>
      <c r="E89" s="1"/>
      <c r="F89" s="1"/>
      <c r="G89" s="1"/>
      <c r="H89" s="1" t="s">
        <v>539</v>
      </c>
      <c r="I89" s="1"/>
      <c r="J89" s="1"/>
      <c r="K89" s="1"/>
      <c r="L89" s="1"/>
      <c r="M89" s="1"/>
      <c r="N89" s="1"/>
      <c r="O89" s="1"/>
      <c r="P89" s="1"/>
      <c r="Q89" s="1"/>
    </row>
    <row r="90" spans="1:17" x14ac:dyDescent="0.25">
      <c r="A90" s="1"/>
      <c r="B90" s="1"/>
      <c r="C90" s="1"/>
      <c r="D90" s="1"/>
      <c r="E90" s="1"/>
      <c r="F90" s="1"/>
      <c r="G90" s="1"/>
      <c r="H90" s="1" t="s">
        <v>540</v>
      </c>
      <c r="I90" s="1"/>
      <c r="J90" s="1"/>
      <c r="K90" s="1"/>
      <c r="L90" s="1"/>
      <c r="M90" s="1"/>
      <c r="N90" s="1"/>
      <c r="O90" s="1"/>
      <c r="P90" s="1"/>
      <c r="Q90" s="1"/>
    </row>
    <row r="91" spans="1:17" x14ac:dyDescent="0.25">
      <c r="A91" s="1"/>
      <c r="B91" s="1"/>
      <c r="C91" s="1"/>
      <c r="D91" s="1"/>
      <c r="E91" s="1"/>
      <c r="F91" s="1"/>
      <c r="G91" s="1"/>
      <c r="H91" s="1" t="s">
        <v>541</v>
      </c>
      <c r="I91" s="1"/>
      <c r="J91" s="1"/>
      <c r="K91" s="1"/>
      <c r="L91" s="1"/>
      <c r="M91" s="1"/>
      <c r="N91" s="1"/>
      <c r="O91" s="1"/>
      <c r="P91" s="1"/>
      <c r="Q91" s="1"/>
    </row>
    <row r="92" spans="1:17" x14ac:dyDescent="0.25">
      <c r="A92" s="1"/>
      <c r="B92" s="1"/>
      <c r="C92" s="1"/>
      <c r="D92" s="1"/>
      <c r="E92" s="1"/>
      <c r="F92" s="1"/>
      <c r="G92" s="1"/>
      <c r="H92" s="1" t="s">
        <v>542</v>
      </c>
      <c r="I92" s="1"/>
      <c r="J92" s="1"/>
      <c r="K92" s="1"/>
      <c r="L92" s="1"/>
      <c r="M92" s="1"/>
      <c r="N92" s="1"/>
      <c r="O92" s="1"/>
      <c r="P92" s="1"/>
      <c r="Q92" s="1"/>
    </row>
    <row r="93" spans="1:17" x14ac:dyDescent="0.25">
      <c r="A93" s="1"/>
      <c r="B93" s="1"/>
      <c r="C93" s="1"/>
      <c r="D93" s="1"/>
      <c r="E93" s="1"/>
      <c r="F93" s="1"/>
      <c r="G93" s="1"/>
      <c r="H93" s="1" t="s">
        <v>543</v>
      </c>
      <c r="I93" s="1"/>
      <c r="J93" s="1"/>
      <c r="K93" s="1"/>
      <c r="L93" s="1"/>
      <c r="M93" s="1"/>
      <c r="N93" s="1"/>
      <c r="O93" s="1"/>
      <c r="P93" s="1"/>
      <c r="Q93" s="1"/>
    </row>
    <row r="94" spans="1:17" x14ac:dyDescent="0.25">
      <c r="A94" s="1"/>
      <c r="B94" s="1"/>
      <c r="C94" s="1"/>
      <c r="D94" s="1"/>
      <c r="E94" s="1"/>
      <c r="F94" s="1"/>
      <c r="G94" s="1"/>
      <c r="H94" s="1" t="s">
        <v>544</v>
      </c>
      <c r="I94" s="1"/>
      <c r="J94" s="1"/>
      <c r="K94" s="1"/>
      <c r="L94" s="1"/>
      <c r="M94" s="1"/>
      <c r="N94" s="1"/>
      <c r="O94" s="1"/>
      <c r="P94" s="1"/>
      <c r="Q94" s="1"/>
    </row>
    <row r="95" spans="1:17" x14ac:dyDescent="0.25">
      <c r="A95" s="1"/>
      <c r="B95" s="1"/>
      <c r="C95" s="1"/>
      <c r="D95" s="1"/>
      <c r="E95" s="1"/>
      <c r="F95" s="1"/>
      <c r="G95" s="1"/>
      <c r="H95" s="1" t="s">
        <v>545</v>
      </c>
      <c r="I95" s="1"/>
      <c r="J95" s="1"/>
      <c r="K95" s="1"/>
      <c r="L95" s="1"/>
      <c r="M95" s="1"/>
      <c r="N95" s="1"/>
      <c r="O95" s="1"/>
      <c r="P95" s="1"/>
      <c r="Q95" s="1"/>
    </row>
    <row r="96" spans="1:17" x14ac:dyDescent="0.25">
      <c r="A96" s="1"/>
      <c r="B96" s="1"/>
      <c r="C96" s="1"/>
      <c r="D96" s="1"/>
      <c r="E96" s="1"/>
      <c r="F96" s="1"/>
      <c r="G96" s="1"/>
      <c r="H96" s="1" t="s">
        <v>442</v>
      </c>
      <c r="I96" s="1"/>
      <c r="J96" s="1"/>
      <c r="K96" s="1"/>
      <c r="L96" s="1"/>
      <c r="M96" s="1"/>
      <c r="N96" s="1"/>
      <c r="O96" s="1"/>
      <c r="P96" s="1"/>
      <c r="Q96" s="1"/>
    </row>
    <row r="97" spans="1:17" x14ac:dyDescent="0.25">
      <c r="A97" s="1"/>
      <c r="B97" s="1"/>
      <c r="C97" s="1"/>
      <c r="D97" s="1"/>
      <c r="E97" s="1"/>
      <c r="F97" s="1"/>
      <c r="G97" s="1"/>
      <c r="H97" s="1" t="s">
        <v>546</v>
      </c>
      <c r="I97" s="1"/>
      <c r="J97" s="1"/>
      <c r="K97" s="1"/>
      <c r="L97" s="1"/>
      <c r="M97" s="1"/>
      <c r="N97" s="1"/>
      <c r="O97" s="1"/>
      <c r="P97" s="1"/>
      <c r="Q97" s="1"/>
    </row>
    <row r="98" spans="1:17" x14ac:dyDescent="0.25">
      <c r="A98" s="1"/>
      <c r="B98" s="1"/>
      <c r="C98" s="1"/>
      <c r="D98" s="1"/>
      <c r="E98" s="1"/>
      <c r="F98" s="1"/>
      <c r="G98" s="1"/>
      <c r="H98" s="1" t="s">
        <v>547</v>
      </c>
      <c r="I98" s="1"/>
      <c r="J98" s="1"/>
      <c r="K98" s="1"/>
      <c r="L98" s="1"/>
      <c r="M98" s="1"/>
      <c r="N98" s="1"/>
      <c r="O98" s="1"/>
      <c r="P98" s="1"/>
      <c r="Q98" s="1"/>
    </row>
    <row r="99" spans="1:17" x14ac:dyDescent="0.25">
      <c r="A99" s="1"/>
      <c r="B99" s="1"/>
      <c r="C99" s="1"/>
      <c r="D99" s="1"/>
      <c r="E99" s="1"/>
      <c r="F99" s="1"/>
      <c r="G99" s="1"/>
      <c r="H99" s="1" t="s">
        <v>548</v>
      </c>
      <c r="I99" s="1"/>
      <c r="J99" s="1"/>
      <c r="K99" s="1"/>
      <c r="L99" s="1"/>
      <c r="M99" s="1"/>
      <c r="N99" s="1"/>
      <c r="O99" s="1"/>
      <c r="P99" s="1"/>
      <c r="Q99" s="1"/>
    </row>
    <row r="100" spans="1:17" x14ac:dyDescent="0.25">
      <c r="A100" s="1"/>
      <c r="B100" s="1"/>
      <c r="C100" s="1"/>
      <c r="D100" s="1"/>
      <c r="E100" s="1"/>
      <c r="F100" s="1"/>
      <c r="G100" s="1"/>
      <c r="H100" s="1" t="s">
        <v>549</v>
      </c>
      <c r="I100" s="1"/>
      <c r="J100" s="1"/>
      <c r="K100" s="1"/>
      <c r="L100" s="1"/>
      <c r="M100" s="1"/>
      <c r="N100" s="1"/>
      <c r="O100" s="1"/>
      <c r="P100" s="1"/>
      <c r="Q100" s="1"/>
    </row>
    <row r="101" spans="1:17" x14ac:dyDescent="0.25">
      <c r="A101" s="1"/>
      <c r="B101" s="1"/>
      <c r="C101" s="1"/>
      <c r="D101" s="1"/>
      <c r="E101" s="1"/>
      <c r="F101" s="1"/>
      <c r="G101" s="1"/>
      <c r="H101" s="1" t="s">
        <v>533</v>
      </c>
      <c r="I101" s="1"/>
      <c r="J101" s="1"/>
      <c r="K101" s="1"/>
      <c r="L101" s="1"/>
      <c r="M101" s="1"/>
      <c r="N101" s="1"/>
      <c r="O101" s="1"/>
      <c r="P101" s="1"/>
      <c r="Q101" s="1"/>
    </row>
    <row r="102" spans="1:17" x14ac:dyDescent="0.25">
      <c r="A102" s="1"/>
      <c r="B102" s="1"/>
      <c r="C102" s="1"/>
      <c r="D102" s="1"/>
      <c r="E102" s="1"/>
      <c r="F102" s="1"/>
      <c r="G102" s="1"/>
      <c r="H102" s="1" t="s">
        <v>550</v>
      </c>
      <c r="I102" s="1"/>
      <c r="J102" s="1"/>
      <c r="K102" s="1"/>
      <c r="L102" s="1"/>
      <c r="M102" s="1"/>
      <c r="N102" s="1"/>
      <c r="O102" s="1"/>
      <c r="P102" s="1"/>
      <c r="Q102" s="1"/>
    </row>
    <row r="103" spans="1:17" x14ac:dyDescent="0.25">
      <c r="A103" s="1"/>
      <c r="B103" s="1"/>
      <c r="C103" s="1"/>
      <c r="D103" s="1"/>
      <c r="E103" s="1"/>
      <c r="F103" s="1"/>
      <c r="G103" s="1"/>
      <c r="H103" s="1" t="s">
        <v>551</v>
      </c>
      <c r="I103" s="1"/>
      <c r="J103" s="1"/>
      <c r="K103" s="1"/>
      <c r="L103" s="1"/>
      <c r="M103" s="1"/>
      <c r="N103" s="1"/>
      <c r="O103" s="1"/>
      <c r="P103" s="1"/>
      <c r="Q103" s="1"/>
    </row>
    <row r="104" spans="1:17" x14ac:dyDescent="0.25">
      <c r="A104" s="1"/>
      <c r="B104" s="1"/>
      <c r="C104" s="1"/>
      <c r="D104" s="1"/>
      <c r="E104" s="1"/>
      <c r="F104" s="1"/>
      <c r="G104" s="1"/>
      <c r="H104" s="1" t="s">
        <v>552</v>
      </c>
      <c r="I104" s="1"/>
      <c r="J104" s="1"/>
      <c r="K104" s="1"/>
      <c r="L104" s="1"/>
      <c r="M104" s="1"/>
      <c r="N104" s="1"/>
      <c r="O104" s="1"/>
      <c r="P104" s="1"/>
      <c r="Q104" s="1"/>
    </row>
    <row r="105" spans="1:17" x14ac:dyDescent="0.25">
      <c r="A105" s="1"/>
      <c r="B105" s="1"/>
      <c r="C105" s="1"/>
      <c r="D105" s="1"/>
      <c r="E105" s="1"/>
      <c r="F105" s="1"/>
      <c r="G105" s="1"/>
      <c r="H105" s="1" t="s">
        <v>553</v>
      </c>
      <c r="I105" s="1"/>
      <c r="J105" s="1"/>
      <c r="K105" s="1"/>
      <c r="L105" s="1"/>
      <c r="M105" s="1"/>
      <c r="N105" s="1"/>
      <c r="O105" s="1"/>
      <c r="P105" s="1"/>
      <c r="Q105" s="1"/>
    </row>
    <row r="106" spans="1:17" x14ac:dyDescent="0.25">
      <c r="A106" s="1"/>
      <c r="B106" s="1"/>
      <c r="C106" s="1"/>
      <c r="D106" s="1"/>
      <c r="E106" s="1"/>
      <c r="F106" s="1"/>
      <c r="G106" s="1"/>
      <c r="H106" s="1" t="s">
        <v>554</v>
      </c>
      <c r="I106" s="1"/>
      <c r="J106" s="1"/>
      <c r="K106" s="1"/>
      <c r="L106" s="1"/>
      <c r="M106" s="1"/>
      <c r="N106" s="1"/>
      <c r="O106" s="1"/>
      <c r="P106" s="1"/>
      <c r="Q106" s="1"/>
    </row>
    <row r="107" spans="1:17" x14ac:dyDescent="0.25">
      <c r="A107" s="1"/>
      <c r="B107" s="1"/>
      <c r="C107" s="1"/>
      <c r="D107" s="1"/>
      <c r="E107" s="1"/>
      <c r="F107" s="1"/>
      <c r="G107" s="1"/>
      <c r="H107" s="1" t="s">
        <v>555</v>
      </c>
      <c r="I107" s="1"/>
      <c r="J107" s="1"/>
      <c r="K107" s="1"/>
      <c r="L107" s="1"/>
      <c r="M107" s="1"/>
      <c r="N107" s="1"/>
      <c r="O107" s="1"/>
      <c r="P107" s="1"/>
      <c r="Q107" s="1"/>
    </row>
    <row r="108" spans="1:17" x14ac:dyDescent="0.25">
      <c r="A108" s="1"/>
      <c r="B108" s="1"/>
      <c r="C108" s="1"/>
      <c r="D108" s="1"/>
      <c r="E108" s="1"/>
      <c r="F108" s="1"/>
      <c r="G108" s="1"/>
      <c r="H108" s="1" t="s">
        <v>556</v>
      </c>
      <c r="I108" s="1"/>
      <c r="J108" s="1"/>
      <c r="K108" s="1"/>
      <c r="L108" s="1"/>
      <c r="M108" s="1"/>
      <c r="N108" s="1"/>
      <c r="O108" s="1"/>
      <c r="P108" s="1"/>
      <c r="Q108" s="1"/>
    </row>
    <row r="109" spans="1:17" x14ac:dyDescent="0.25">
      <c r="A109" s="1"/>
      <c r="B109" s="1"/>
      <c r="C109" s="1"/>
      <c r="D109" s="1"/>
      <c r="E109" s="1"/>
      <c r="F109" s="1"/>
      <c r="G109" s="1"/>
      <c r="H109" s="1" t="s">
        <v>557</v>
      </c>
      <c r="I109" s="1"/>
      <c r="J109" s="1"/>
      <c r="K109" s="1"/>
      <c r="L109" s="1"/>
      <c r="M109" s="1"/>
      <c r="N109" s="1"/>
      <c r="O109" s="1"/>
      <c r="P109" s="1"/>
      <c r="Q109" s="1"/>
    </row>
    <row r="110" spans="1:17" x14ac:dyDescent="0.25">
      <c r="A110" s="1"/>
      <c r="B110" s="1"/>
      <c r="C110" s="1"/>
      <c r="D110" s="1"/>
      <c r="E110" s="1"/>
      <c r="F110" s="1"/>
      <c r="G110" s="1"/>
      <c r="H110" s="1" t="s">
        <v>558</v>
      </c>
      <c r="I110" s="1"/>
      <c r="J110" s="1"/>
      <c r="K110" s="1"/>
      <c r="L110" s="1"/>
      <c r="M110" s="1"/>
      <c r="N110" s="1"/>
      <c r="O110" s="1"/>
      <c r="P110" s="1"/>
      <c r="Q110" s="1"/>
    </row>
    <row r="111" spans="1:17" x14ac:dyDescent="0.25">
      <c r="A111" s="1"/>
      <c r="B111" s="1"/>
      <c r="C111" s="1"/>
      <c r="D111" s="1"/>
      <c r="E111" s="1"/>
      <c r="F111" s="1"/>
      <c r="G111" s="1"/>
      <c r="H111" s="1" t="s">
        <v>559</v>
      </c>
      <c r="I111" s="1"/>
      <c r="J111" s="1"/>
      <c r="K111" s="1"/>
      <c r="L111" s="1"/>
      <c r="M111" s="1"/>
      <c r="N111" s="1"/>
      <c r="O111" s="1"/>
      <c r="P111" s="1"/>
      <c r="Q111" s="1"/>
    </row>
    <row r="112" spans="1:17" x14ac:dyDescent="0.25">
      <c r="A112" s="1"/>
      <c r="B112" s="1"/>
      <c r="C112" s="1"/>
      <c r="D112" s="1"/>
      <c r="E112" s="1"/>
      <c r="F112" s="1"/>
      <c r="G112" s="1"/>
      <c r="H112" s="1" t="s">
        <v>560</v>
      </c>
      <c r="I112" s="1"/>
      <c r="J112" s="1"/>
      <c r="K112" s="1"/>
      <c r="L112" s="1"/>
      <c r="M112" s="1"/>
      <c r="N112" s="1"/>
      <c r="O112" s="1"/>
      <c r="P112" s="1"/>
      <c r="Q112" s="1"/>
    </row>
    <row r="113" spans="1:17" x14ac:dyDescent="0.25">
      <c r="A113" s="1"/>
      <c r="B113" s="1"/>
      <c r="C113" s="1"/>
      <c r="D113" s="1"/>
      <c r="E113" s="1"/>
      <c r="F113" s="1"/>
      <c r="G113" s="1"/>
      <c r="H113" s="1" t="s">
        <v>561</v>
      </c>
      <c r="I113" s="1"/>
      <c r="J113" s="1"/>
      <c r="K113" s="1"/>
      <c r="L113" s="1"/>
      <c r="M113" s="1"/>
      <c r="N113" s="1"/>
      <c r="O113" s="1"/>
      <c r="P113" s="1"/>
      <c r="Q113" s="1"/>
    </row>
    <row r="114" spans="1:17" x14ac:dyDescent="0.25">
      <c r="A114" s="1"/>
      <c r="B114" s="1"/>
      <c r="C114" s="1"/>
      <c r="D114" s="1"/>
      <c r="E114" s="1"/>
      <c r="F114" s="1"/>
      <c r="G114" s="1"/>
      <c r="H114" s="1" t="s">
        <v>562</v>
      </c>
      <c r="I114" s="1"/>
      <c r="J114" s="1"/>
      <c r="K114" s="1"/>
      <c r="L114" s="1"/>
      <c r="M114" s="1"/>
      <c r="N114" s="1"/>
      <c r="O114" s="1"/>
      <c r="P114" s="1"/>
      <c r="Q114" s="1"/>
    </row>
    <row r="115" spans="1:17" x14ac:dyDescent="0.25">
      <c r="A115" s="1"/>
      <c r="B115" s="1"/>
      <c r="C115" s="1"/>
      <c r="D115" s="1"/>
      <c r="E115" s="1"/>
      <c r="F115" s="1"/>
      <c r="G115" s="1"/>
      <c r="H115" s="1" t="s">
        <v>563</v>
      </c>
      <c r="I115" s="1"/>
      <c r="J115" s="1"/>
      <c r="K115" s="1"/>
      <c r="L115" s="1"/>
      <c r="M115" s="1"/>
      <c r="N115" s="1"/>
      <c r="O115" s="1"/>
      <c r="P115" s="1"/>
      <c r="Q115" s="1"/>
    </row>
    <row r="116" spans="1:17" x14ac:dyDescent="0.25">
      <c r="A116" s="1"/>
      <c r="B116" s="1"/>
      <c r="C116" s="1"/>
      <c r="D116" s="1"/>
      <c r="E116" s="1"/>
      <c r="F116" s="1"/>
      <c r="G116" s="1"/>
      <c r="H116" s="1" t="s">
        <v>564</v>
      </c>
      <c r="I116" s="1"/>
      <c r="J116" s="1"/>
      <c r="K116" s="1"/>
      <c r="L116" s="1"/>
      <c r="M116" s="1"/>
      <c r="N116" s="1"/>
      <c r="O116" s="1"/>
      <c r="P116" s="1"/>
      <c r="Q116" s="1"/>
    </row>
    <row r="117" spans="1:17" x14ac:dyDescent="0.25">
      <c r="A117" s="1"/>
      <c r="B117" s="1"/>
      <c r="C117" s="1"/>
      <c r="D117" s="1"/>
      <c r="E117" s="1"/>
      <c r="F117" s="1"/>
      <c r="G117" s="1"/>
      <c r="H117" s="1" t="s">
        <v>565</v>
      </c>
      <c r="I117" s="1"/>
      <c r="J117" s="1"/>
      <c r="K117" s="1"/>
      <c r="L117" s="1"/>
      <c r="M117" s="1"/>
      <c r="N117" s="1"/>
      <c r="O117" s="1"/>
      <c r="P117" s="1"/>
      <c r="Q117" s="1"/>
    </row>
    <row r="118" spans="1:17" x14ac:dyDescent="0.25">
      <c r="A118" s="1"/>
      <c r="B118" s="1"/>
      <c r="C118" s="1"/>
      <c r="D118" s="1"/>
      <c r="E118" s="1"/>
      <c r="F118" s="1"/>
      <c r="G118" s="1"/>
      <c r="H118" s="1" t="s">
        <v>479</v>
      </c>
      <c r="I118" s="1"/>
      <c r="J118" s="1"/>
      <c r="K118" s="1"/>
      <c r="L118" s="1"/>
      <c r="M118" s="1"/>
      <c r="N118" s="1"/>
      <c r="O118" s="1"/>
      <c r="P118" s="1"/>
      <c r="Q118" s="1"/>
    </row>
    <row r="119" spans="1:17" x14ac:dyDescent="0.25">
      <c r="A119" s="1"/>
      <c r="B119" s="1"/>
      <c r="C119" s="1"/>
      <c r="D119" s="1"/>
      <c r="E119" s="1"/>
      <c r="F119" s="1"/>
      <c r="G119" s="1"/>
      <c r="H119" s="1" t="s">
        <v>566</v>
      </c>
      <c r="I119" s="1"/>
      <c r="J119" s="1"/>
      <c r="K119" s="1"/>
      <c r="L119" s="1"/>
      <c r="M119" s="1"/>
      <c r="N119" s="1"/>
      <c r="O119" s="1"/>
      <c r="P119" s="1"/>
      <c r="Q119" s="1"/>
    </row>
    <row r="120" spans="1:17" x14ac:dyDescent="0.25">
      <c r="A120" s="1"/>
      <c r="B120" s="1"/>
      <c r="C120" s="1"/>
      <c r="D120" s="1"/>
      <c r="E120" s="1"/>
      <c r="F120" s="1"/>
      <c r="G120" s="1"/>
      <c r="H120" s="1" t="s">
        <v>567</v>
      </c>
      <c r="I120" s="1"/>
      <c r="J120" s="1"/>
      <c r="K120" s="1"/>
      <c r="L120" s="1"/>
      <c r="M120" s="1"/>
      <c r="N120" s="1"/>
      <c r="O120" s="1"/>
      <c r="P120" s="1"/>
      <c r="Q120" s="1"/>
    </row>
    <row r="121" spans="1:17" x14ac:dyDescent="0.25">
      <c r="A121" s="1"/>
      <c r="B121" s="1"/>
      <c r="C121" s="1"/>
      <c r="D121" s="1"/>
      <c r="E121" s="1"/>
      <c r="F121" s="1"/>
      <c r="G121" s="1"/>
      <c r="H121" s="1" t="s">
        <v>568</v>
      </c>
      <c r="I121" s="1"/>
      <c r="J121" s="1"/>
      <c r="K121" s="1"/>
      <c r="L121" s="1"/>
      <c r="M121" s="1"/>
      <c r="N121" s="1"/>
      <c r="O121" s="1"/>
      <c r="P121" s="1"/>
      <c r="Q121" s="1"/>
    </row>
    <row r="122" spans="1:17" x14ac:dyDescent="0.25">
      <c r="A122" s="1"/>
      <c r="B122" s="1"/>
      <c r="C122" s="1"/>
      <c r="D122" s="1"/>
      <c r="E122" s="1"/>
      <c r="F122" s="1"/>
      <c r="G122" s="1"/>
      <c r="H122" s="1" t="s">
        <v>569</v>
      </c>
      <c r="I122" s="1"/>
      <c r="J122" s="1"/>
      <c r="K122" s="1"/>
      <c r="L122" s="1"/>
      <c r="M122" s="1"/>
      <c r="N122" s="1"/>
      <c r="O122" s="1"/>
      <c r="P122" s="1"/>
      <c r="Q122" s="1"/>
    </row>
    <row r="123" spans="1:17" x14ac:dyDescent="0.25">
      <c r="A123" s="1"/>
      <c r="B123" s="1"/>
      <c r="C123" s="1"/>
      <c r="D123" s="1"/>
      <c r="E123" s="1"/>
      <c r="F123" s="1"/>
      <c r="G123" s="1"/>
      <c r="H123" s="1" t="s">
        <v>570</v>
      </c>
      <c r="I123" s="1"/>
      <c r="J123" s="1"/>
      <c r="K123" s="1"/>
      <c r="L123" s="1"/>
      <c r="M123" s="1"/>
      <c r="N123" s="1"/>
      <c r="O123" s="1"/>
      <c r="P123" s="1"/>
      <c r="Q123" s="1"/>
    </row>
    <row r="124" spans="1:17" x14ac:dyDescent="0.25">
      <c r="A124" s="1"/>
      <c r="B124" s="1"/>
      <c r="C124" s="1"/>
      <c r="D124" s="1"/>
      <c r="E124" s="1"/>
      <c r="F124" s="1"/>
      <c r="G124" s="1"/>
      <c r="H124" s="1" t="s">
        <v>571</v>
      </c>
      <c r="I124" s="1"/>
      <c r="J124" s="1"/>
      <c r="K124" s="1"/>
      <c r="L124" s="1"/>
      <c r="M124" s="1"/>
      <c r="N124" s="1"/>
      <c r="O124" s="1"/>
      <c r="P124" s="1"/>
      <c r="Q124" s="1"/>
    </row>
    <row r="125" spans="1:17" x14ac:dyDescent="0.25">
      <c r="A125" s="1"/>
      <c r="B125" s="1"/>
      <c r="C125" s="1"/>
      <c r="D125" s="1"/>
      <c r="E125" s="1"/>
      <c r="F125" s="1"/>
      <c r="G125" s="1"/>
      <c r="H125" s="1" t="s">
        <v>572</v>
      </c>
      <c r="I125" s="1"/>
      <c r="J125" s="1"/>
      <c r="K125" s="1"/>
      <c r="L125" s="1"/>
      <c r="M125" s="1"/>
      <c r="N125" s="1"/>
      <c r="O125" s="1"/>
      <c r="P125" s="1"/>
      <c r="Q125" s="1"/>
    </row>
    <row r="126" spans="1:17" x14ac:dyDescent="0.25">
      <c r="A126" s="1"/>
      <c r="B126" s="1"/>
      <c r="C126" s="1"/>
      <c r="D126" s="1"/>
      <c r="E126" s="1"/>
      <c r="F126" s="1"/>
      <c r="G126" s="1"/>
      <c r="H126" s="1" t="s">
        <v>573</v>
      </c>
      <c r="I126" s="1"/>
      <c r="J126" s="1"/>
      <c r="K126" s="1"/>
      <c r="L126" s="1"/>
      <c r="M126" s="1"/>
      <c r="N126" s="1"/>
      <c r="O126" s="1"/>
      <c r="P126" s="1"/>
      <c r="Q126" s="1"/>
    </row>
    <row r="127" spans="1:17" x14ac:dyDescent="0.25">
      <c r="A127" s="1"/>
      <c r="B127" s="1"/>
      <c r="C127" s="1"/>
      <c r="D127" s="1"/>
      <c r="E127" s="1"/>
      <c r="F127" s="1"/>
      <c r="G127" s="1"/>
      <c r="H127" s="1" t="s">
        <v>574</v>
      </c>
      <c r="I127" s="1"/>
      <c r="J127" s="1"/>
      <c r="K127" s="1"/>
      <c r="L127" s="1"/>
      <c r="M127" s="1"/>
      <c r="N127" s="1"/>
      <c r="O127" s="1"/>
      <c r="P127" s="1"/>
      <c r="Q127" s="1"/>
    </row>
    <row r="128" spans="1:17" x14ac:dyDescent="0.25">
      <c r="A128" s="1"/>
      <c r="B128" s="1"/>
      <c r="C128" s="1"/>
      <c r="D128" s="1"/>
      <c r="E128" s="1"/>
      <c r="F128" s="1"/>
      <c r="G128" s="1"/>
      <c r="H128" s="1" t="s">
        <v>564</v>
      </c>
      <c r="I128" s="1"/>
      <c r="J128" s="1"/>
      <c r="K128" s="1"/>
      <c r="L128" s="1"/>
      <c r="M128" s="1"/>
      <c r="N128" s="1"/>
      <c r="O128" s="1"/>
      <c r="P128" s="1"/>
      <c r="Q128" s="1"/>
    </row>
    <row r="129" spans="1:17" x14ac:dyDescent="0.25">
      <c r="A129" s="1"/>
      <c r="B129" s="1"/>
      <c r="C129" s="1"/>
      <c r="D129" s="1"/>
      <c r="E129" s="1"/>
      <c r="F129" s="1"/>
      <c r="G129" s="1"/>
      <c r="H129" s="1" t="s">
        <v>575</v>
      </c>
      <c r="I129" s="1"/>
      <c r="J129" s="1"/>
      <c r="K129" s="1"/>
      <c r="L129" s="1"/>
      <c r="M129" s="1"/>
      <c r="N129" s="1"/>
      <c r="O129" s="1"/>
      <c r="P129" s="1"/>
      <c r="Q129" s="1"/>
    </row>
    <row r="130" spans="1:17" x14ac:dyDescent="0.25">
      <c r="A130" s="1"/>
      <c r="B130" s="1"/>
      <c r="C130" s="1"/>
      <c r="D130" s="1"/>
      <c r="E130" s="1"/>
      <c r="F130" s="1"/>
      <c r="G130" s="1"/>
      <c r="H130" s="1" t="s">
        <v>576</v>
      </c>
      <c r="I130" s="1"/>
      <c r="J130" s="1"/>
      <c r="K130" s="1"/>
      <c r="L130" s="1"/>
      <c r="M130" s="1"/>
      <c r="N130" s="1"/>
      <c r="O130" s="1"/>
      <c r="P130" s="1"/>
      <c r="Q130" s="1"/>
    </row>
    <row r="131" spans="1:17" x14ac:dyDescent="0.25">
      <c r="A131" s="1"/>
      <c r="B131" s="1"/>
      <c r="C131" s="1"/>
      <c r="D131" s="1"/>
      <c r="E131" s="1"/>
      <c r="F131" s="1"/>
      <c r="G131" s="1"/>
      <c r="H131" s="1" t="s">
        <v>577</v>
      </c>
      <c r="I131" s="1"/>
      <c r="J131" s="1"/>
      <c r="K131" s="1"/>
      <c r="L131" s="1"/>
      <c r="M131" s="1"/>
      <c r="N131" s="1"/>
      <c r="O131" s="1"/>
      <c r="P131" s="1"/>
      <c r="Q131" s="1"/>
    </row>
    <row r="132" spans="1:17" x14ac:dyDescent="0.25">
      <c r="A132" s="1"/>
      <c r="B132" s="1"/>
      <c r="C132" s="1"/>
      <c r="D132" s="1"/>
      <c r="E132" s="1"/>
      <c r="F132" s="1"/>
      <c r="G132" s="1"/>
      <c r="H132" s="1" t="s">
        <v>578</v>
      </c>
      <c r="I132" s="1"/>
      <c r="J132" s="1"/>
      <c r="K132" s="1"/>
      <c r="L132" s="1"/>
      <c r="M132" s="1"/>
      <c r="N132" s="1"/>
      <c r="O132" s="1"/>
      <c r="P132" s="1"/>
      <c r="Q132" s="1"/>
    </row>
    <row r="133" spans="1:17" x14ac:dyDescent="0.25">
      <c r="A133" s="1"/>
      <c r="B133" s="1"/>
      <c r="C133" s="1"/>
      <c r="D133" s="1"/>
      <c r="E133" s="1"/>
      <c r="F133" s="1"/>
      <c r="G133" s="1"/>
      <c r="H133" s="1" t="s">
        <v>579</v>
      </c>
      <c r="I133" s="1"/>
      <c r="J133" s="1"/>
      <c r="K133" s="1"/>
      <c r="L133" s="1"/>
      <c r="M133" s="1"/>
      <c r="N133" s="1"/>
      <c r="O133" s="1"/>
      <c r="P133" s="1"/>
      <c r="Q133" s="1"/>
    </row>
    <row r="134" spans="1:17" x14ac:dyDescent="0.25">
      <c r="A134" s="1"/>
      <c r="B134" s="1"/>
      <c r="C134" s="1"/>
      <c r="D134" s="1"/>
      <c r="E134" s="1"/>
      <c r="F134" s="1"/>
      <c r="G134" s="1"/>
      <c r="H134" s="1" t="s">
        <v>580</v>
      </c>
      <c r="I134" s="1"/>
      <c r="J134" s="1"/>
      <c r="K134" s="1"/>
      <c r="L134" s="1"/>
      <c r="M134" s="1"/>
      <c r="N134" s="1"/>
      <c r="O134" s="1"/>
      <c r="P134" s="1"/>
      <c r="Q134" s="1"/>
    </row>
    <row r="135" spans="1:17" x14ac:dyDescent="0.25">
      <c r="A135" s="1"/>
      <c r="B135" s="1"/>
      <c r="C135" s="1"/>
      <c r="D135" s="1"/>
      <c r="E135" s="1"/>
      <c r="F135" s="1"/>
      <c r="G135" s="1"/>
      <c r="H135" s="1" t="s">
        <v>581</v>
      </c>
      <c r="I135" s="1"/>
      <c r="J135" s="1"/>
      <c r="K135" s="1"/>
      <c r="L135" s="1"/>
      <c r="M135" s="1"/>
      <c r="N135" s="1"/>
      <c r="O135" s="1"/>
      <c r="P135" s="1"/>
      <c r="Q135" s="1"/>
    </row>
    <row r="136" spans="1:17" x14ac:dyDescent="0.25">
      <c r="A136" s="1"/>
      <c r="B136" s="1"/>
      <c r="C136" s="1"/>
      <c r="D136" s="1"/>
      <c r="E136" s="1"/>
      <c r="F136" s="1"/>
      <c r="G136" s="1"/>
      <c r="H136" s="1" t="s">
        <v>582</v>
      </c>
      <c r="I136" s="1"/>
      <c r="J136" s="1"/>
      <c r="K136" s="1"/>
      <c r="L136" s="1"/>
      <c r="M136" s="1"/>
      <c r="N136" s="1"/>
      <c r="O136" s="1"/>
      <c r="P136" s="1"/>
      <c r="Q136" s="1"/>
    </row>
    <row r="137" spans="1:17" x14ac:dyDescent="0.25">
      <c r="A137" s="1"/>
      <c r="B137" s="1"/>
      <c r="C137" s="1"/>
      <c r="D137" s="1"/>
      <c r="E137" s="1"/>
      <c r="F137" s="1"/>
      <c r="G137" s="1"/>
      <c r="H137" s="1" t="s">
        <v>583</v>
      </c>
      <c r="I137" s="1"/>
      <c r="J137" s="1"/>
      <c r="K137" s="1"/>
      <c r="L137" s="1"/>
      <c r="M137" s="1"/>
      <c r="N137" s="1"/>
      <c r="O137" s="1"/>
      <c r="P137" s="1"/>
      <c r="Q137" s="1"/>
    </row>
    <row r="138" spans="1:17" x14ac:dyDescent="0.25">
      <c r="A138" s="1"/>
      <c r="B138" s="1"/>
      <c r="C138" s="1"/>
      <c r="D138" s="1"/>
      <c r="E138" s="1"/>
      <c r="F138" s="1"/>
      <c r="G138" s="1"/>
      <c r="H138" s="1" t="s">
        <v>584</v>
      </c>
      <c r="I138" s="1"/>
      <c r="J138" s="1"/>
      <c r="K138" s="1"/>
      <c r="L138" s="1"/>
      <c r="M138" s="1"/>
      <c r="N138" s="1"/>
      <c r="O138" s="1"/>
      <c r="P138" s="1"/>
      <c r="Q138" s="1"/>
    </row>
    <row r="139" spans="1:17" x14ac:dyDescent="0.25">
      <c r="A139" s="1"/>
      <c r="B139" s="1"/>
      <c r="C139" s="1"/>
      <c r="D139" s="1"/>
      <c r="E139" s="1"/>
      <c r="F139" s="1"/>
      <c r="G139" s="1"/>
      <c r="H139" s="1" t="s">
        <v>585</v>
      </c>
      <c r="I139" s="1"/>
      <c r="J139" s="1"/>
      <c r="K139" s="1"/>
      <c r="L139" s="1"/>
      <c r="M139" s="1"/>
      <c r="N139" s="1"/>
      <c r="O139" s="1"/>
      <c r="P139" s="1"/>
      <c r="Q139" s="1"/>
    </row>
    <row r="140" spans="1:17" x14ac:dyDescent="0.25">
      <c r="A140" s="1"/>
      <c r="B140" s="1"/>
      <c r="C140" s="1"/>
      <c r="D140" s="1"/>
      <c r="E140" s="1"/>
      <c r="F140" s="1"/>
      <c r="G140" s="1"/>
      <c r="H140" s="1" t="s">
        <v>585</v>
      </c>
      <c r="I140" s="1"/>
      <c r="J140" s="1"/>
      <c r="K140" s="1"/>
      <c r="L140" s="1"/>
      <c r="M140" s="1"/>
      <c r="N140" s="1"/>
      <c r="O140" s="1"/>
      <c r="P140" s="1"/>
      <c r="Q140" s="1"/>
    </row>
    <row r="141" spans="1:17" x14ac:dyDescent="0.25">
      <c r="A141" s="1"/>
      <c r="B141" s="1"/>
      <c r="C141" s="1"/>
      <c r="D141" s="1"/>
      <c r="E141" s="1"/>
      <c r="F141" s="1"/>
      <c r="G141" s="1"/>
      <c r="H141" s="1" t="s">
        <v>585</v>
      </c>
      <c r="I141" s="1"/>
      <c r="J141" s="1"/>
      <c r="K141" s="1"/>
      <c r="L141" s="1"/>
      <c r="M141" s="1"/>
      <c r="N141" s="1"/>
      <c r="O141" s="1"/>
      <c r="P141" s="1"/>
      <c r="Q141" s="1"/>
    </row>
    <row r="142" spans="1:17" x14ac:dyDescent="0.25">
      <c r="A142" s="1"/>
      <c r="B142" s="1"/>
      <c r="C142" s="1"/>
      <c r="D142" s="1"/>
      <c r="E142" s="1"/>
      <c r="F142" s="1"/>
      <c r="G142" s="1"/>
      <c r="H142" s="1" t="s">
        <v>585</v>
      </c>
      <c r="I142" s="1"/>
      <c r="J142" s="1"/>
      <c r="K142" s="1"/>
      <c r="L142" s="1"/>
      <c r="M142" s="1"/>
      <c r="N142" s="1"/>
      <c r="O142" s="1"/>
      <c r="P142" s="1"/>
      <c r="Q142" s="1"/>
    </row>
    <row r="143" spans="1:17" x14ac:dyDescent="0.25">
      <c r="A143" s="1"/>
      <c r="B143" s="1"/>
      <c r="C143" s="1"/>
      <c r="D143" s="1"/>
      <c r="E143" s="1"/>
      <c r="F143" s="1"/>
      <c r="G143" s="1"/>
      <c r="H143" s="1" t="s">
        <v>585</v>
      </c>
      <c r="I143" s="1"/>
      <c r="J143" s="1"/>
      <c r="K143" s="1"/>
      <c r="L143" s="1"/>
      <c r="M143" s="1"/>
      <c r="N143" s="1"/>
      <c r="O143" s="1"/>
      <c r="P143" s="1"/>
      <c r="Q143" s="1"/>
    </row>
    <row r="144" spans="1:17" x14ac:dyDescent="0.25">
      <c r="A144" s="1"/>
      <c r="B144" s="1"/>
      <c r="C144" s="1"/>
      <c r="D144" s="1"/>
      <c r="E144" s="1"/>
      <c r="F144" s="1"/>
      <c r="G144" s="1"/>
      <c r="H144" s="1" t="s">
        <v>585</v>
      </c>
      <c r="I144" s="1"/>
      <c r="J144" s="1"/>
      <c r="K144" s="1"/>
      <c r="L144" s="1"/>
      <c r="M144" s="1"/>
      <c r="N144" s="1"/>
      <c r="O144" s="1"/>
      <c r="P144" s="1"/>
      <c r="Q144" s="1"/>
    </row>
    <row r="145" spans="1:17" x14ac:dyDescent="0.25">
      <c r="A145" s="1"/>
      <c r="B145" s="1"/>
      <c r="C145" s="1"/>
      <c r="D145" s="1"/>
      <c r="E145" s="1"/>
      <c r="F145" s="1"/>
      <c r="G145" s="1"/>
      <c r="H145" s="1" t="s">
        <v>585</v>
      </c>
      <c r="I145" s="1"/>
      <c r="J145" s="1"/>
      <c r="K145" s="1"/>
      <c r="L145" s="1"/>
      <c r="M145" s="1"/>
      <c r="N145" s="1"/>
      <c r="O145" s="1"/>
      <c r="P145" s="1"/>
      <c r="Q145" s="1"/>
    </row>
    <row r="146" spans="1:17" x14ac:dyDescent="0.25">
      <c r="A146" s="1"/>
      <c r="B146" s="1"/>
      <c r="C146" s="1"/>
      <c r="D146" s="1"/>
      <c r="E146" s="1"/>
      <c r="F146" s="1"/>
      <c r="G146" s="1"/>
      <c r="H146" s="1" t="s">
        <v>585</v>
      </c>
      <c r="I146" s="1"/>
      <c r="J146" s="1"/>
      <c r="K146" s="1"/>
      <c r="L146" s="1"/>
      <c r="M146" s="1"/>
      <c r="N146" s="1"/>
      <c r="O146" s="1"/>
      <c r="P146" s="1"/>
      <c r="Q146" s="1"/>
    </row>
    <row r="147" spans="1:17" x14ac:dyDescent="0.25">
      <c r="A147" s="1"/>
      <c r="B147" s="1"/>
      <c r="C147" s="1"/>
      <c r="D147" s="1"/>
      <c r="E147" s="1"/>
      <c r="F147" s="1"/>
      <c r="G147" s="1"/>
      <c r="H147" s="1" t="s">
        <v>585</v>
      </c>
      <c r="I147" s="1"/>
      <c r="J147" s="1"/>
      <c r="K147" s="1"/>
      <c r="L147" s="1"/>
      <c r="M147" s="1"/>
      <c r="N147" s="1"/>
      <c r="O147" s="1"/>
      <c r="P147" s="1"/>
      <c r="Q147" s="1"/>
    </row>
    <row r="148" spans="1:17" x14ac:dyDescent="0.25">
      <c r="A148" s="1"/>
      <c r="B148" s="1"/>
      <c r="C148" s="1"/>
      <c r="D148" s="1"/>
      <c r="E148" s="1"/>
      <c r="F148" s="1"/>
      <c r="G148" s="1"/>
      <c r="H148" s="1" t="s">
        <v>585</v>
      </c>
      <c r="I148" s="1"/>
      <c r="J148" s="1"/>
      <c r="K148" s="1"/>
      <c r="L148" s="1"/>
      <c r="M148" s="1"/>
      <c r="N148" s="1"/>
      <c r="O148" s="1"/>
      <c r="P148" s="1"/>
      <c r="Q148" s="1"/>
    </row>
    <row r="149" spans="1:17" x14ac:dyDescent="0.25">
      <c r="A149" s="1"/>
      <c r="B149" s="1"/>
      <c r="C149" s="1"/>
      <c r="D149" s="1"/>
      <c r="E149" s="1"/>
      <c r="F149" s="1"/>
      <c r="G149" s="1"/>
      <c r="H149" s="1" t="s">
        <v>585</v>
      </c>
      <c r="I149" s="1"/>
      <c r="J149" s="1"/>
      <c r="K149" s="1"/>
      <c r="L149" s="1"/>
      <c r="M149" s="1"/>
      <c r="N149" s="1"/>
      <c r="O149" s="1"/>
      <c r="P149" s="1"/>
      <c r="Q149" s="1"/>
    </row>
    <row r="150" spans="1:17" x14ac:dyDescent="0.25">
      <c r="A150" s="1"/>
      <c r="B150" s="1"/>
      <c r="C150" s="1"/>
      <c r="D150" s="1"/>
      <c r="E150" s="1"/>
      <c r="F150" s="1"/>
      <c r="G150" s="1"/>
      <c r="H150" s="1" t="s">
        <v>585</v>
      </c>
      <c r="I150" s="1"/>
      <c r="J150" s="1"/>
      <c r="K150" s="1"/>
      <c r="L150" s="1"/>
      <c r="M150" s="1"/>
      <c r="N150" s="1"/>
      <c r="O150" s="1"/>
      <c r="P150" s="1"/>
      <c r="Q150" s="1"/>
    </row>
    <row r="151" spans="1:17" x14ac:dyDescent="0.25">
      <c r="A151" s="1"/>
      <c r="B151" s="1"/>
      <c r="C151" s="1"/>
      <c r="D151" s="1"/>
      <c r="E151" s="1"/>
      <c r="F151" s="1"/>
      <c r="G151" s="1"/>
      <c r="H151" s="1" t="s">
        <v>585</v>
      </c>
      <c r="I151" s="1"/>
      <c r="J151" s="1"/>
      <c r="K151" s="1"/>
      <c r="L151" s="1"/>
      <c r="M151" s="1"/>
      <c r="N151" s="1"/>
      <c r="O151" s="1"/>
      <c r="P151" s="1"/>
      <c r="Q151" s="1"/>
    </row>
    <row r="152" spans="1:17" x14ac:dyDescent="0.25">
      <c r="A152" s="1"/>
      <c r="B152" s="1"/>
      <c r="C152" s="1"/>
      <c r="D152" s="1"/>
      <c r="E152" s="1"/>
      <c r="F152" s="1"/>
      <c r="G152" s="1"/>
      <c r="H152" s="1" t="s">
        <v>585</v>
      </c>
      <c r="I152" s="1"/>
      <c r="J152" s="1"/>
      <c r="K152" s="1"/>
      <c r="L152" s="1"/>
      <c r="M152" s="1"/>
      <c r="N152" s="1"/>
      <c r="O152" s="1"/>
      <c r="P152" s="1"/>
      <c r="Q152" s="1"/>
    </row>
    <row r="153" spans="1:17" x14ac:dyDescent="0.25">
      <c r="A153" s="1"/>
      <c r="B153" s="1"/>
      <c r="C153" s="1"/>
      <c r="D153" s="1"/>
      <c r="E153" s="1"/>
      <c r="F153" s="1"/>
      <c r="G153" s="1"/>
      <c r="H153" s="1" t="s">
        <v>585</v>
      </c>
      <c r="I153" s="1"/>
      <c r="J153" s="1"/>
      <c r="K153" s="1"/>
      <c r="L153" s="1"/>
      <c r="M153" s="1"/>
      <c r="N153" s="1"/>
      <c r="O153" s="1"/>
      <c r="P153" s="1"/>
      <c r="Q153" s="1"/>
    </row>
    <row r="154" spans="1:17" x14ac:dyDescent="0.25">
      <c r="A154" s="1"/>
      <c r="B154" s="1"/>
      <c r="C154" s="1"/>
      <c r="D154" s="1"/>
      <c r="E154" s="1"/>
      <c r="F154" s="1"/>
      <c r="G154" s="1"/>
      <c r="H154" s="1" t="s">
        <v>585</v>
      </c>
      <c r="I154" s="1"/>
      <c r="J154" s="1"/>
      <c r="K154" s="1"/>
      <c r="L154" s="1"/>
      <c r="M154" s="1"/>
      <c r="N154" s="1"/>
      <c r="O154" s="1"/>
      <c r="P154" s="1"/>
      <c r="Q154" s="1"/>
    </row>
    <row r="155" spans="1:17" x14ac:dyDescent="0.25">
      <c r="A155" s="1"/>
      <c r="B155" s="1"/>
      <c r="C155" s="1"/>
      <c r="D155" s="1"/>
      <c r="E155" s="1"/>
      <c r="F155" s="1"/>
      <c r="G155" s="1"/>
      <c r="H155" s="1" t="s">
        <v>585</v>
      </c>
      <c r="I155" s="1"/>
      <c r="J155" s="1"/>
      <c r="K155" s="1"/>
      <c r="L155" s="1"/>
      <c r="M155" s="1"/>
      <c r="N155" s="1"/>
      <c r="O155" s="1"/>
      <c r="P155" s="1"/>
      <c r="Q155" s="1"/>
    </row>
    <row r="156" spans="1:17" x14ac:dyDescent="0.25">
      <c r="A156" s="1"/>
      <c r="B156" s="1"/>
      <c r="C156" s="1"/>
      <c r="D156" s="1"/>
      <c r="E156" s="1"/>
      <c r="F156" s="1"/>
      <c r="G156" s="1"/>
      <c r="H156" s="1" t="s">
        <v>585</v>
      </c>
      <c r="I156" s="1"/>
      <c r="J156" s="1"/>
      <c r="K156" s="1"/>
      <c r="L156" s="1"/>
      <c r="M156" s="1"/>
      <c r="N156" s="1"/>
      <c r="O156" s="1"/>
      <c r="P156" s="1"/>
      <c r="Q156" s="1"/>
    </row>
    <row r="157" spans="1:17" x14ac:dyDescent="0.25">
      <c r="A157" s="1"/>
      <c r="B157" s="1"/>
      <c r="C157" s="1"/>
      <c r="D157" s="1"/>
      <c r="E157" s="1"/>
      <c r="F157" s="1"/>
      <c r="G157" s="1"/>
      <c r="H157" s="1" t="s">
        <v>585</v>
      </c>
      <c r="I157" s="1"/>
      <c r="J157" s="1"/>
      <c r="K157" s="1"/>
      <c r="L157" s="1"/>
      <c r="M157" s="1"/>
      <c r="N157" s="1"/>
      <c r="O157" s="1"/>
      <c r="P157" s="1"/>
      <c r="Q157" s="1"/>
    </row>
    <row r="158" spans="1:17" x14ac:dyDescent="0.25">
      <c r="A158" s="1"/>
      <c r="B158" s="1"/>
      <c r="C158" s="1"/>
      <c r="D158" s="1"/>
      <c r="E158" s="1"/>
      <c r="F158" s="1"/>
      <c r="G158" s="1"/>
      <c r="H158" s="1" t="s">
        <v>585</v>
      </c>
      <c r="I158" s="1"/>
      <c r="J158" s="1"/>
      <c r="K158" s="1"/>
      <c r="L158" s="1"/>
      <c r="M158" s="1"/>
      <c r="N158" s="1"/>
      <c r="O158" s="1"/>
      <c r="P158" s="1"/>
      <c r="Q158" s="1"/>
    </row>
    <row r="159" spans="1:17" x14ac:dyDescent="0.25">
      <c r="A159" s="1"/>
      <c r="B159" s="1"/>
      <c r="C159" s="1"/>
      <c r="D159" s="1"/>
      <c r="E159" s="1"/>
      <c r="F159" s="1"/>
      <c r="G159" s="1"/>
      <c r="H159" s="1" t="s">
        <v>585</v>
      </c>
      <c r="I159" s="1"/>
      <c r="J159" s="1"/>
      <c r="K159" s="1"/>
      <c r="L159" s="1"/>
      <c r="M159" s="1"/>
      <c r="N159" s="1"/>
      <c r="O159" s="1"/>
      <c r="P159" s="1"/>
      <c r="Q159" s="1"/>
    </row>
    <row r="160" spans="1:17" x14ac:dyDescent="0.25">
      <c r="A160" s="1"/>
      <c r="B160" s="1"/>
      <c r="C160" s="1"/>
      <c r="D160" s="1"/>
      <c r="E160" s="1"/>
      <c r="F160" s="1"/>
      <c r="G160" s="1"/>
      <c r="H160" s="1" t="s">
        <v>585</v>
      </c>
      <c r="I160" s="1"/>
      <c r="J160" s="1"/>
      <c r="K160" s="1"/>
      <c r="L160" s="1"/>
      <c r="M160" s="1"/>
      <c r="N160" s="1"/>
      <c r="O160" s="1"/>
      <c r="P160" s="1"/>
      <c r="Q160" s="1"/>
    </row>
    <row r="161" spans="1:17" x14ac:dyDescent="0.25">
      <c r="A161" s="1"/>
      <c r="B161" s="1"/>
      <c r="C161" s="1"/>
      <c r="D161" s="1"/>
      <c r="E161" s="1"/>
      <c r="F161" s="1"/>
      <c r="G161" s="1"/>
      <c r="H161" s="1" t="s">
        <v>585</v>
      </c>
      <c r="I161" s="1"/>
      <c r="J161" s="1"/>
      <c r="K161" s="1"/>
      <c r="L161" s="1"/>
      <c r="M161" s="1"/>
      <c r="N161" s="1"/>
      <c r="O161" s="1"/>
      <c r="P161" s="1"/>
      <c r="Q161" s="1"/>
    </row>
    <row r="162" spans="1:17" x14ac:dyDescent="0.25">
      <c r="A162" s="1"/>
      <c r="B162" s="1"/>
      <c r="C162" s="1"/>
      <c r="D162" s="1"/>
      <c r="E162" s="1"/>
      <c r="F162" s="1"/>
      <c r="G162" s="1"/>
      <c r="H162" s="1" t="s">
        <v>585</v>
      </c>
      <c r="I162" s="1"/>
      <c r="J162" s="1"/>
      <c r="K162" s="1"/>
      <c r="L162" s="1"/>
      <c r="M162" s="1"/>
      <c r="N162" s="1"/>
      <c r="O162" s="1"/>
      <c r="P162" s="1"/>
      <c r="Q162" s="1"/>
    </row>
    <row r="163" spans="1:17" x14ac:dyDescent="0.25">
      <c r="A163" s="1"/>
      <c r="B163" s="1"/>
      <c r="C163" s="1"/>
      <c r="D163" s="1"/>
      <c r="E163" s="1"/>
      <c r="F163" s="1"/>
      <c r="G163" s="1"/>
      <c r="H163" s="1" t="s">
        <v>585</v>
      </c>
      <c r="I163" s="1"/>
      <c r="J163" s="1"/>
      <c r="K163" s="1"/>
      <c r="L163" s="1"/>
      <c r="M163" s="1"/>
      <c r="N163" s="1"/>
      <c r="O163" s="1"/>
      <c r="P163" s="1"/>
      <c r="Q163" s="1"/>
    </row>
    <row r="164" spans="1:17" x14ac:dyDescent="0.25">
      <c r="A164" s="1"/>
      <c r="B164" s="1"/>
      <c r="C164" s="1"/>
      <c r="D164" s="1"/>
      <c r="E164" s="1"/>
      <c r="F164" s="1"/>
      <c r="G164" s="1"/>
      <c r="H164" s="1" t="s">
        <v>585</v>
      </c>
      <c r="I164" s="1"/>
      <c r="J164" s="1"/>
      <c r="K164" s="1"/>
      <c r="L164" s="1"/>
      <c r="M164" s="1"/>
      <c r="N164" s="1"/>
      <c r="O164" s="1"/>
      <c r="P164" s="1"/>
      <c r="Q164" s="1"/>
    </row>
    <row r="165" spans="1:17" x14ac:dyDescent="0.25">
      <c r="A165" s="1"/>
      <c r="B165" s="1"/>
      <c r="C165" s="1"/>
      <c r="D165" s="1"/>
      <c r="E165" s="1"/>
      <c r="F165" s="1"/>
      <c r="G165" s="1"/>
      <c r="H165" s="1" t="s">
        <v>585</v>
      </c>
      <c r="I165" s="1"/>
      <c r="J165" s="1"/>
      <c r="K165" s="1"/>
      <c r="L165" s="1"/>
      <c r="M165" s="1"/>
      <c r="N165" s="1"/>
      <c r="O165" s="1"/>
      <c r="P165" s="1"/>
      <c r="Q165" s="1"/>
    </row>
    <row r="166" spans="1:17" x14ac:dyDescent="0.25">
      <c r="A166" s="1"/>
      <c r="B166" s="1"/>
      <c r="C166" s="1"/>
      <c r="D166" s="1"/>
      <c r="E166" s="1"/>
      <c r="F166" s="1"/>
      <c r="G166" s="1"/>
      <c r="H166" s="1" t="s">
        <v>585</v>
      </c>
      <c r="I166" s="1"/>
      <c r="J166" s="1"/>
      <c r="K166" s="1"/>
      <c r="L166" s="1"/>
      <c r="M166" s="1"/>
      <c r="N166" s="1"/>
      <c r="O166" s="1"/>
      <c r="P166" s="1"/>
      <c r="Q166" s="1"/>
    </row>
    <row r="167" spans="1:17" x14ac:dyDescent="0.25">
      <c r="A167" s="1"/>
      <c r="B167" s="1"/>
      <c r="C167" s="1"/>
      <c r="D167" s="1"/>
      <c r="E167" s="1"/>
      <c r="F167" s="1"/>
      <c r="G167" s="1"/>
      <c r="H167" s="1" t="s">
        <v>585</v>
      </c>
      <c r="I167" s="1"/>
      <c r="J167" s="1"/>
      <c r="K167" s="1"/>
      <c r="L167" s="1"/>
      <c r="M167" s="1"/>
      <c r="N167" s="1"/>
      <c r="O167" s="1"/>
      <c r="P167" s="1"/>
      <c r="Q167" s="1"/>
    </row>
    <row r="168" spans="1:17" x14ac:dyDescent="0.25">
      <c r="A168" s="1"/>
      <c r="B168" s="1"/>
      <c r="C168" s="1"/>
      <c r="D168" s="1"/>
      <c r="E168" s="1"/>
      <c r="F168" s="1"/>
      <c r="G168" s="1"/>
      <c r="H168" s="1" t="s">
        <v>585</v>
      </c>
      <c r="I168" s="1"/>
      <c r="J168" s="1"/>
      <c r="K168" s="1"/>
      <c r="L168" s="1"/>
      <c r="M168" s="1"/>
      <c r="N168" s="1"/>
      <c r="O168" s="1"/>
      <c r="P168" s="1"/>
      <c r="Q168" s="1"/>
    </row>
    <row r="169" spans="1:17" x14ac:dyDescent="0.25">
      <c r="A169" s="1"/>
      <c r="B169" s="1"/>
      <c r="C169" s="1"/>
      <c r="D169" s="1"/>
      <c r="E169" s="1"/>
      <c r="F169" s="1"/>
      <c r="G169" s="1"/>
      <c r="H169" s="1" t="s">
        <v>585</v>
      </c>
      <c r="I169" s="1"/>
      <c r="J169" s="1"/>
      <c r="K169" s="1"/>
      <c r="L169" s="1"/>
      <c r="M169" s="1"/>
      <c r="N169" s="1"/>
      <c r="O169" s="1"/>
      <c r="P169" s="1"/>
      <c r="Q169" s="1"/>
    </row>
    <row r="170" spans="1:17" x14ac:dyDescent="0.25">
      <c r="A170" s="1"/>
      <c r="B170" s="1"/>
      <c r="C170" s="1"/>
      <c r="D170" s="1"/>
      <c r="E170" s="1"/>
      <c r="F170" s="1"/>
      <c r="G170" s="1"/>
      <c r="H170" s="1" t="s">
        <v>585</v>
      </c>
      <c r="I170" s="1"/>
      <c r="J170" s="1"/>
      <c r="K170" s="1"/>
      <c r="L170" s="1"/>
      <c r="M170" s="1"/>
      <c r="N170" s="1"/>
      <c r="O170" s="1"/>
      <c r="P170" s="1"/>
      <c r="Q170" s="1"/>
    </row>
    <row r="171" spans="1:17" x14ac:dyDescent="0.25">
      <c r="A171" s="1"/>
      <c r="B171" s="1"/>
      <c r="C171" s="1"/>
      <c r="D171" s="1"/>
      <c r="E171" s="1"/>
      <c r="F171" s="1"/>
      <c r="G171" s="1"/>
      <c r="H171" s="1" t="s">
        <v>585</v>
      </c>
      <c r="I171" s="1"/>
      <c r="J171" s="1"/>
      <c r="K171" s="1"/>
      <c r="L171" s="1"/>
      <c r="M171" s="1"/>
      <c r="N171" s="1"/>
      <c r="O171" s="1"/>
      <c r="P171" s="1"/>
      <c r="Q171" s="1"/>
    </row>
    <row r="172" spans="1:17" x14ac:dyDescent="0.25">
      <c r="A172" s="1"/>
      <c r="B172" s="1"/>
      <c r="C172" s="1"/>
      <c r="D172" s="1"/>
      <c r="E172" s="1"/>
      <c r="F172" s="1"/>
      <c r="G172" s="1"/>
      <c r="H172" s="1" t="s">
        <v>585</v>
      </c>
      <c r="I172" s="1"/>
      <c r="J172" s="1"/>
      <c r="K172" s="1"/>
      <c r="L172" s="1"/>
      <c r="M172" s="1"/>
      <c r="N172" s="1"/>
      <c r="O172" s="1"/>
      <c r="P172" s="1"/>
      <c r="Q172" s="1"/>
    </row>
    <row r="173" spans="1:17" x14ac:dyDescent="0.25">
      <c r="A173" s="1"/>
      <c r="B173" s="1"/>
      <c r="C173" s="1"/>
      <c r="D173" s="1"/>
      <c r="E173" s="1"/>
      <c r="F173" s="1"/>
      <c r="G173" s="1"/>
      <c r="H173" s="1" t="s">
        <v>585</v>
      </c>
      <c r="I173" s="1"/>
      <c r="J173" s="1"/>
      <c r="K173" s="1"/>
      <c r="L173" s="1"/>
      <c r="M173" s="1"/>
      <c r="N173" s="1"/>
      <c r="O173" s="1"/>
      <c r="P173" s="1"/>
      <c r="Q173" s="1"/>
    </row>
    <row r="174" spans="1:17" x14ac:dyDescent="0.25">
      <c r="A174" s="1"/>
      <c r="B174" s="1"/>
      <c r="C174" s="1"/>
      <c r="D174" s="1"/>
      <c r="E174" s="1"/>
      <c r="F174" s="1"/>
      <c r="G174" s="1"/>
      <c r="H174" s="1" t="s">
        <v>585</v>
      </c>
      <c r="I174" s="1"/>
      <c r="J174" s="1"/>
      <c r="K174" s="1"/>
      <c r="L174" s="1"/>
      <c r="M174" s="1"/>
      <c r="N174" s="1"/>
      <c r="O174" s="1"/>
      <c r="P174" s="1"/>
      <c r="Q174" s="1"/>
    </row>
    <row r="175" spans="1:17" x14ac:dyDescent="0.25">
      <c r="A175" s="1"/>
      <c r="B175" s="1"/>
      <c r="C175" s="1"/>
      <c r="D175" s="1"/>
      <c r="E175" s="1"/>
      <c r="F175" s="1"/>
      <c r="G175" s="1"/>
      <c r="H175" s="1" t="s">
        <v>585</v>
      </c>
      <c r="I175" s="1"/>
      <c r="J175" s="1"/>
      <c r="K175" s="1"/>
      <c r="L175" s="1"/>
      <c r="M175" s="1"/>
      <c r="N175" s="1"/>
      <c r="O175" s="1"/>
      <c r="P175" s="1"/>
      <c r="Q175" s="1"/>
    </row>
    <row r="176" spans="1:17" x14ac:dyDescent="0.25">
      <c r="A176" s="1"/>
      <c r="B176" s="1"/>
      <c r="C176" s="1"/>
      <c r="D176" s="1"/>
      <c r="E176" s="1"/>
      <c r="F176" s="1"/>
      <c r="G176" s="1"/>
      <c r="H176" s="1" t="s">
        <v>585</v>
      </c>
      <c r="I176" s="1"/>
      <c r="J176" s="1"/>
      <c r="K176" s="1"/>
      <c r="L176" s="1"/>
      <c r="M176" s="1"/>
      <c r="N176" s="1"/>
      <c r="O176" s="1"/>
      <c r="P176" s="1"/>
      <c r="Q176" s="1"/>
    </row>
    <row r="177" spans="1:17" x14ac:dyDescent="0.25">
      <c r="A177" s="1"/>
      <c r="B177" s="1"/>
      <c r="C177" s="1"/>
      <c r="D177" s="1"/>
      <c r="E177" s="1"/>
      <c r="F177" s="1"/>
      <c r="G177" s="1"/>
      <c r="H177" s="1" t="s">
        <v>585</v>
      </c>
      <c r="I177" s="1"/>
      <c r="J177" s="1"/>
      <c r="K177" s="1"/>
      <c r="L177" s="1"/>
      <c r="M177" s="1"/>
      <c r="N177" s="1"/>
      <c r="O177" s="1"/>
      <c r="P177" s="1"/>
      <c r="Q177" s="1"/>
    </row>
    <row r="178" spans="1:17" x14ac:dyDescent="0.25">
      <c r="A178" s="1"/>
      <c r="B178" s="1"/>
      <c r="C178" s="1"/>
      <c r="D178" s="1"/>
      <c r="E178" s="1"/>
      <c r="F178" s="1"/>
      <c r="G178" s="1"/>
      <c r="H178" s="1" t="s">
        <v>585</v>
      </c>
      <c r="I178" s="1"/>
      <c r="J178" s="1"/>
      <c r="K178" s="1"/>
      <c r="L178" s="1"/>
      <c r="M178" s="1"/>
      <c r="N178" s="1"/>
      <c r="O178" s="1"/>
      <c r="P178" s="1"/>
      <c r="Q178" s="1"/>
    </row>
    <row r="179" spans="1:17" x14ac:dyDescent="0.25">
      <c r="A179" s="1"/>
      <c r="B179" s="1"/>
      <c r="C179" s="1"/>
      <c r="D179" s="1"/>
      <c r="E179" s="1"/>
      <c r="F179" s="1"/>
      <c r="G179" s="1"/>
      <c r="H179" s="1" t="s">
        <v>585</v>
      </c>
      <c r="I179" s="1"/>
      <c r="J179" s="1"/>
      <c r="K179" s="1"/>
      <c r="L179" s="1"/>
      <c r="M179" s="1"/>
      <c r="N179" s="1"/>
      <c r="O179" s="1"/>
      <c r="P179" s="1"/>
      <c r="Q179" s="1"/>
    </row>
    <row r="180" spans="1:17" x14ac:dyDescent="0.25">
      <c r="A180" s="1"/>
      <c r="B180" s="1"/>
      <c r="C180" s="1"/>
      <c r="D180" s="1"/>
      <c r="E180" s="1"/>
      <c r="F180" s="1"/>
      <c r="G180" s="1"/>
      <c r="H180" s="1" t="s">
        <v>585</v>
      </c>
      <c r="I180" s="1"/>
      <c r="J180" s="1"/>
      <c r="K180" s="1"/>
      <c r="L180" s="1"/>
      <c r="M180" s="1"/>
      <c r="N180" s="1"/>
      <c r="O180" s="1"/>
      <c r="P180" s="1"/>
      <c r="Q180" s="1"/>
    </row>
    <row r="181" spans="1:17" x14ac:dyDescent="0.25">
      <c r="A181" s="1"/>
      <c r="B181" s="1"/>
      <c r="C181" s="1"/>
      <c r="D181" s="1"/>
      <c r="E181" s="1"/>
      <c r="F181" s="1"/>
      <c r="G181" s="1"/>
      <c r="H181" s="1" t="s">
        <v>585</v>
      </c>
      <c r="I181" s="1"/>
      <c r="J181" s="1"/>
      <c r="K181" s="1"/>
      <c r="L181" s="1"/>
      <c r="M181" s="1"/>
      <c r="N181" s="1"/>
      <c r="O181" s="1"/>
      <c r="P181" s="1"/>
      <c r="Q181" s="1"/>
    </row>
    <row r="182" spans="1:17" x14ac:dyDescent="0.25">
      <c r="A182" s="1"/>
      <c r="B182" s="1"/>
      <c r="C182" s="1"/>
      <c r="D182" s="1"/>
      <c r="E182" s="1"/>
      <c r="F182" s="1"/>
      <c r="G182" s="1"/>
      <c r="H182" s="1" t="s">
        <v>585</v>
      </c>
      <c r="I182" s="1"/>
      <c r="J182" s="1"/>
      <c r="K182" s="1"/>
      <c r="L182" s="1"/>
      <c r="M182" s="1"/>
      <c r="N182" s="1"/>
      <c r="O182" s="1"/>
      <c r="P182" s="1"/>
      <c r="Q182" s="1"/>
    </row>
    <row r="183" spans="1:17" x14ac:dyDescent="0.25">
      <c r="A183" s="1"/>
      <c r="B183" s="1"/>
      <c r="C183" s="1"/>
      <c r="D183" s="1"/>
      <c r="E183" s="1"/>
      <c r="F183" s="1"/>
      <c r="G183" s="1"/>
      <c r="H183" s="1" t="s">
        <v>585</v>
      </c>
      <c r="I183" s="1"/>
      <c r="J183" s="1"/>
      <c r="K183" s="1"/>
      <c r="L183" s="1"/>
      <c r="M183" s="1"/>
      <c r="N183" s="1"/>
      <c r="O183" s="1"/>
      <c r="P183" s="1"/>
      <c r="Q183" s="1"/>
    </row>
    <row r="184" spans="1:17" x14ac:dyDescent="0.25">
      <c r="A184" s="1"/>
      <c r="B184" s="1"/>
      <c r="C184" s="1"/>
      <c r="D184" s="1"/>
      <c r="E184" s="1"/>
      <c r="F184" s="1"/>
      <c r="G184" s="1"/>
      <c r="H184" s="1" t="s">
        <v>585</v>
      </c>
      <c r="I184" s="1"/>
      <c r="J184" s="1"/>
      <c r="K184" s="1"/>
      <c r="L184" s="1"/>
      <c r="M184" s="1"/>
      <c r="N184" s="1"/>
      <c r="O184" s="1"/>
      <c r="P184" s="1"/>
      <c r="Q184" s="1"/>
    </row>
    <row r="185" spans="1:17" x14ac:dyDescent="0.25">
      <c r="A185" s="1"/>
      <c r="B185" s="1"/>
      <c r="C185" s="1"/>
      <c r="D185" s="1"/>
      <c r="E185" s="1"/>
      <c r="F185" s="1"/>
      <c r="G185" s="1"/>
      <c r="H185" s="1" t="s">
        <v>585</v>
      </c>
      <c r="I185" s="1"/>
      <c r="J185" s="1"/>
      <c r="K185" s="1"/>
      <c r="L185" s="1"/>
      <c r="M185" s="1"/>
      <c r="N185" s="1"/>
      <c r="O185" s="1"/>
      <c r="P185" s="1"/>
      <c r="Q185" s="1"/>
    </row>
    <row r="186" spans="1:17" x14ac:dyDescent="0.25">
      <c r="A186" s="1"/>
      <c r="B186" s="1"/>
      <c r="C186" s="1"/>
      <c r="D186" s="1"/>
      <c r="E186" s="1"/>
      <c r="F186" s="1"/>
      <c r="G186" s="1"/>
      <c r="H186" s="1" t="s">
        <v>585</v>
      </c>
      <c r="I186" s="1"/>
      <c r="J186" s="1"/>
      <c r="K186" s="1"/>
      <c r="L186" s="1"/>
      <c r="M186" s="1"/>
      <c r="N186" s="1"/>
      <c r="O186" s="1"/>
      <c r="P186" s="1"/>
      <c r="Q186" s="1"/>
    </row>
    <row r="187" spans="1:17" x14ac:dyDescent="0.25">
      <c r="A187" s="1"/>
      <c r="B187" s="1"/>
      <c r="C187" s="1"/>
      <c r="D187" s="1"/>
      <c r="E187" s="1"/>
      <c r="F187" s="1"/>
      <c r="G187" s="1"/>
      <c r="H187" s="1" t="s">
        <v>585</v>
      </c>
      <c r="I187" s="1"/>
      <c r="J187" s="1"/>
      <c r="K187" s="1"/>
      <c r="L187" s="1"/>
      <c r="M187" s="1"/>
      <c r="N187" s="1"/>
      <c r="O187" s="1"/>
      <c r="P187" s="1"/>
      <c r="Q187" s="1"/>
    </row>
    <row r="188" spans="1:17" x14ac:dyDescent="0.25">
      <c r="A188" s="1"/>
      <c r="B188" s="1"/>
      <c r="C188" s="1"/>
      <c r="D188" s="1"/>
      <c r="E188" s="1"/>
      <c r="F188" s="1"/>
      <c r="G188" s="1"/>
      <c r="H188" s="1" t="s">
        <v>585</v>
      </c>
      <c r="I188" s="1"/>
      <c r="J188" s="1"/>
      <c r="K188" s="1"/>
      <c r="L188" s="1"/>
      <c r="M188" s="1"/>
      <c r="N188" s="1"/>
      <c r="O188" s="1"/>
      <c r="P188" s="1"/>
      <c r="Q188" s="1"/>
    </row>
    <row r="189" spans="1:17" x14ac:dyDescent="0.25">
      <c r="A189" s="1"/>
      <c r="B189" s="1"/>
      <c r="C189" s="1"/>
      <c r="D189" s="1"/>
      <c r="E189" s="1"/>
      <c r="F189" s="1"/>
      <c r="G189" s="1"/>
      <c r="H189" s="1" t="s">
        <v>585</v>
      </c>
      <c r="I189" s="1"/>
      <c r="J189" s="1"/>
      <c r="K189" s="1"/>
      <c r="L189" s="1"/>
      <c r="M189" s="1"/>
      <c r="N189" s="1"/>
      <c r="O189" s="1"/>
      <c r="P189" s="1"/>
      <c r="Q189" s="1"/>
    </row>
    <row r="190" spans="1:17" x14ac:dyDescent="0.25">
      <c r="A190" s="1"/>
      <c r="B190" s="1"/>
      <c r="C190" s="1"/>
      <c r="D190" s="1"/>
      <c r="E190" s="1"/>
      <c r="F190" s="1"/>
      <c r="G190" s="1"/>
      <c r="H190" s="1" t="s">
        <v>585</v>
      </c>
      <c r="I190" s="1"/>
      <c r="J190" s="1"/>
      <c r="K190" s="1"/>
      <c r="L190" s="1"/>
      <c r="M190" s="1"/>
      <c r="N190" s="1"/>
      <c r="O190" s="1"/>
      <c r="P190" s="1"/>
      <c r="Q190" s="1"/>
    </row>
    <row r="191" spans="1:17" x14ac:dyDescent="0.25">
      <c r="A191" s="1"/>
      <c r="B191" s="1"/>
      <c r="C191" s="1"/>
      <c r="D191" s="1"/>
      <c r="E191" s="1"/>
      <c r="F191" s="1"/>
      <c r="G191" s="1"/>
      <c r="H191" s="1" t="s">
        <v>585</v>
      </c>
      <c r="I191" s="1"/>
      <c r="J191" s="1"/>
      <c r="K191" s="1"/>
      <c r="L191" s="1"/>
      <c r="M191" s="1"/>
      <c r="N191" s="1"/>
      <c r="O191" s="1"/>
      <c r="P191" s="1"/>
      <c r="Q191" s="1"/>
    </row>
    <row r="192" spans="1:17" x14ac:dyDescent="0.25">
      <c r="A192" s="1"/>
      <c r="B192" s="1"/>
      <c r="C192" s="1"/>
      <c r="D192" s="1"/>
      <c r="E192" s="1"/>
      <c r="F192" s="1"/>
      <c r="G192" s="1"/>
      <c r="H192" s="1" t="s">
        <v>585</v>
      </c>
      <c r="I192" s="1"/>
      <c r="J192" s="1"/>
      <c r="K192" s="1"/>
      <c r="L192" s="1"/>
      <c r="M192" s="1"/>
      <c r="N192" s="1"/>
      <c r="O192" s="1"/>
      <c r="P192" s="1"/>
      <c r="Q192" s="1"/>
    </row>
    <row r="193" spans="1:17" x14ac:dyDescent="0.25">
      <c r="A193" s="1"/>
      <c r="B193" s="1"/>
      <c r="C193" s="1"/>
      <c r="D193" s="1"/>
      <c r="E193" s="1"/>
      <c r="F193" s="1"/>
      <c r="G193" s="1"/>
      <c r="H193" s="1" t="s">
        <v>585</v>
      </c>
      <c r="I193" s="1"/>
      <c r="J193" s="1"/>
      <c r="K193" s="1"/>
      <c r="L193" s="1"/>
      <c r="M193" s="1"/>
      <c r="N193" s="1"/>
      <c r="O193" s="1"/>
      <c r="P193" s="1"/>
      <c r="Q193" s="1"/>
    </row>
    <row r="194" spans="1:17" x14ac:dyDescent="0.25">
      <c r="A194" s="1"/>
      <c r="B194" s="1"/>
      <c r="C194" s="1"/>
      <c r="D194" s="1"/>
      <c r="E194" s="1"/>
      <c r="F194" s="1"/>
      <c r="G194" s="1"/>
      <c r="H194" s="1" t="s">
        <v>585</v>
      </c>
      <c r="I194" s="1"/>
      <c r="J194" s="1"/>
      <c r="K194" s="1"/>
      <c r="L194" s="1"/>
      <c r="M194" s="1"/>
      <c r="N194" s="1"/>
      <c r="O194" s="1"/>
      <c r="P194" s="1"/>
      <c r="Q194" s="1"/>
    </row>
    <row r="195" spans="1:17" x14ac:dyDescent="0.25">
      <c r="A195" s="1"/>
      <c r="B195" s="1"/>
      <c r="C195" s="1"/>
      <c r="D195" s="1"/>
      <c r="E195" s="1"/>
      <c r="F195" s="1"/>
      <c r="G195" s="1"/>
      <c r="H195" s="1" t="s">
        <v>585</v>
      </c>
      <c r="I195" s="1"/>
      <c r="J195" s="1"/>
      <c r="K195" s="1"/>
      <c r="L195" s="1"/>
      <c r="M195" s="1"/>
      <c r="N195" s="1"/>
      <c r="O195" s="1"/>
      <c r="P195" s="1"/>
      <c r="Q195" s="1"/>
    </row>
    <row r="196" spans="1:17" x14ac:dyDescent="0.25">
      <c r="A196" s="1"/>
      <c r="B196" s="1"/>
      <c r="C196" s="1"/>
      <c r="D196" s="1"/>
      <c r="E196" s="1"/>
      <c r="F196" s="1"/>
      <c r="G196" s="1"/>
      <c r="H196" s="1" t="s">
        <v>585</v>
      </c>
      <c r="I196" s="1"/>
      <c r="J196" s="1"/>
      <c r="K196" s="1"/>
      <c r="L196" s="1"/>
      <c r="M196" s="1"/>
      <c r="N196" s="1"/>
      <c r="O196" s="1"/>
      <c r="P196" s="1"/>
      <c r="Q196" s="1"/>
    </row>
    <row r="197" spans="1:17" x14ac:dyDescent="0.25">
      <c r="A197" s="1"/>
      <c r="B197" s="1"/>
      <c r="C197" s="1"/>
      <c r="D197" s="1"/>
      <c r="E197" s="1"/>
      <c r="F197" s="1"/>
      <c r="G197" s="1"/>
      <c r="H197" s="1" t="s">
        <v>585</v>
      </c>
      <c r="I197" s="1"/>
      <c r="J197" s="1"/>
      <c r="K197" s="1"/>
      <c r="L197" s="1"/>
      <c r="M197" s="1"/>
      <c r="N197" s="1"/>
      <c r="O197" s="1"/>
      <c r="P197" s="1"/>
      <c r="Q197" s="1"/>
    </row>
    <row r="198" spans="1:17" x14ac:dyDescent="0.25">
      <c r="A198" s="1"/>
      <c r="B198" s="1"/>
      <c r="C198" s="1"/>
      <c r="D198" s="1"/>
      <c r="E198" s="1"/>
      <c r="F198" s="1"/>
      <c r="G198" s="1"/>
      <c r="H198" s="1" t="s">
        <v>585</v>
      </c>
      <c r="I198" s="1"/>
      <c r="J198" s="1"/>
      <c r="K198" s="1"/>
      <c r="L198" s="1"/>
      <c r="M198" s="1"/>
      <c r="N198" s="1"/>
      <c r="O198" s="1"/>
      <c r="P198" s="1"/>
      <c r="Q198" s="1"/>
    </row>
    <row r="199" spans="1:17" x14ac:dyDescent="0.25">
      <c r="A199" s="1"/>
      <c r="B199" s="1"/>
      <c r="C199" s="1"/>
      <c r="D199" s="1"/>
      <c r="E199" s="1"/>
      <c r="F199" s="1"/>
      <c r="G199" s="1"/>
      <c r="H199" s="1" t="s">
        <v>585</v>
      </c>
      <c r="I199" s="1"/>
      <c r="J199" s="1"/>
      <c r="K199" s="1"/>
      <c r="L199" s="1"/>
      <c r="M199" s="1"/>
      <c r="N199" s="1"/>
      <c r="O199" s="1"/>
      <c r="P199" s="1"/>
      <c r="Q199" s="1"/>
    </row>
    <row r="200" spans="1:17" x14ac:dyDescent="0.25">
      <c r="A200" s="1"/>
      <c r="B200" s="1"/>
      <c r="C200" s="1"/>
      <c r="D200" s="1"/>
      <c r="E200" s="1"/>
      <c r="F200" s="1"/>
      <c r="G200" s="1"/>
      <c r="H200" s="1" t="s">
        <v>585</v>
      </c>
      <c r="I200" s="1"/>
      <c r="J200" s="1"/>
      <c r="K200" s="1"/>
      <c r="L200" s="1"/>
      <c r="M200" s="1"/>
      <c r="N200" s="1"/>
      <c r="O200" s="1"/>
      <c r="P200" s="1"/>
      <c r="Q200" s="1"/>
    </row>
    <row r="201" spans="1:17" x14ac:dyDescent="0.25">
      <c r="A201" s="1"/>
      <c r="B201" s="1"/>
      <c r="C201" s="1"/>
      <c r="D201" s="1"/>
      <c r="E201" s="1"/>
      <c r="F201" s="1"/>
      <c r="G201" s="1"/>
      <c r="H201" s="1" t="s">
        <v>585</v>
      </c>
      <c r="I201" s="1"/>
      <c r="J201" s="1"/>
      <c r="K201" s="1"/>
      <c r="L201" s="1"/>
      <c r="M201" s="1"/>
      <c r="N201" s="1"/>
      <c r="O201" s="1"/>
      <c r="P201" s="1"/>
      <c r="Q201" s="1"/>
    </row>
    <row r="202" spans="1:17" x14ac:dyDescent="0.25">
      <c r="A202" s="1"/>
      <c r="B202" s="1"/>
      <c r="C202" s="1"/>
      <c r="D202" s="1"/>
      <c r="E202" s="1"/>
      <c r="F202" s="1"/>
      <c r="G202" s="1"/>
      <c r="H202" s="1" t="s">
        <v>585</v>
      </c>
      <c r="I202" s="1"/>
      <c r="J202" s="1"/>
      <c r="K202" s="1"/>
      <c r="L202" s="1"/>
      <c r="M202" s="1"/>
      <c r="N202" s="1"/>
      <c r="O202" s="1"/>
      <c r="P202" s="1"/>
      <c r="Q202" s="1"/>
    </row>
    <row r="203" spans="1:17" x14ac:dyDescent="0.25">
      <c r="A203" s="1"/>
      <c r="B203" s="1"/>
      <c r="C203" s="1"/>
      <c r="D203" s="1"/>
      <c r="E203" s="1"/>
      <c r="F203" s="1"/>
      <c r="G203" s="1"/>
      <c r="H203" s="1" t="s">
        <v>585</v>
      </c>
      <c r="I203" s="1"/>
      <c r="J203" s="1"/>
      <c r="K203" s="1"/>
      <c r="L203" s="1"/>
      <c r="M203" s="1"/>
      <c r="N203" s="1"/>
      <c r="O203" s="1"/>
      <c r="P203" s="1"/>
      <c r="Q203" s="1"/>
    </row>
    <row r="204" spans="1:17" x14ac:dyDescent="0.25">
      <c r="A204" s="1"/>
      <c r="B204" s="1"/>
      <c r="C204" s="1"/>
      <c r="D204" s="1"/>
      <c r="E204" s="1"/>
      <c r="F204" s="1"/>
      <c r="G204" s="1"/>
      <c r="H204" s="1" t="s">
        <v>585</v>
      </c>
      <c r="I204" s="1"/>
      <c r="J204" s="1"/>
      <c r="K204" s="1"/>
      <c r="L204" s="1"/>
      <c r="M204" s="1"/>
      <c r="N204" s="1"/>
      <c r="O204" s="1"/>
      <c r="P204" s="1"/>
      <c r="Q204" s="1"/>
    </row>
    <row r="205" spans="1:17" x14ac:dyDescent="0.25">
      <c r="A205" s="1"/>
      <c r="B205" s="1"/>
      <c r="C205" s="1"/>
      <c r="D205" s="1"/>
      <c r="E205" s="1"/>
      <c r="F205" s="1"/>
      <c r="G205" s="1"/>
      <c r="H205" s="1" t="s">
        <v>585</v>
      </c>
      <c r="I205" s="1"/>
      <c r="J205" s="1"/>
      <c r="K205" s="1"/>
      <c r="L205" s="1"/>
      <c r="M205" s="1"/>
      <c r="N205" s="1"/>
      <c r="O205" s="1"/>
      <c r="P205" s="1"/>
      <c r="Q205" s="1"/>
    </row>
    <row r="206" spans="1:17" x14ac:dyDescent="0.25">
      <c r="A206" s="1"/>
      <c r="B206" s="1"/>
      <c r="C206" s="1"/>
      <c r="D206" s="1"/>
      <c r="E206" s="1"/>
      <c r="F206" s="1"/>
      <c r="G206" s="1"/>
      <c r="H206" s="1" t="s">
        <v>585</v>
      </c>
      <c r="I206" s="1"/>
      <c r="J206" s="1"/>
      <c r="K206" s="1"/>
      <c r="L206" s="1"/>
      <c r="M206" s="1"/>
      <c r="N206" s="1"/>
      <c r="O206" s="1"/>
      <c r="P206" s="1"/>
      <c r="Q206" s="1"/>
    </row>
    <row r="207" spans="1:17" x14ac:dyDescent="0.25">
      <c r="A207" s="1"/>
      <c r="B207" s="1"/>
      <c r="C207" s="1"/>
      <c r="D207" s="1"/>
      <c r="E207" s="1"/>
      <c r="F207" s="1"/>
      <c r="G207" s="1"/>
      <c r="H207" s="1" t="s">
        <v>585</v>
      </c>
      <c r="I207" s="1"/>
      <c r="J207" s="1"/>
      <c r="K207" s="1"/>
      <c r="L207" s="1"/>
      <c r="M207" s="1"/>
      <c r="N207" s="1"/>
      <c r="O207" s="1"/>
      <c r="P207" s="1"/>
      <c r="Q207" s="1"/>
    </row>
    <row r="208" spans="1:17" x14ac:dyDescent="0.25">
      <c r="A208" s="1"/>
      <c r="B208" s="1"/>
      <c r="C208" s="1"/>
      <c r="D208" s="1"/>
      <c r="E208" s="1"/>
      <c r="F208" s="1"/>
      <c r="G208" s="1"/>
      <c r="H208" s="1" t="s">
        <v>585</v>
      </c>
      <c r="I208" s="1"/>
      <c r="J208" s="1"/>
      <c r="K208" s="1"/>
      <c r="L208" s="1"/>
      <c r="M208" s="1"/>
      <c r="N208" s="1"/>
      <c r="O208" s="1"/>
      <c r="P208" s="1"/>
      <c r="Q208" s="1"/>
    </row>
    <row r="209" spans="1:17" x14ac:dyDescent="0.25">
      <c r="A209" s="1"/>
      <c r="B209" s="1"/>
      <c r="C209" s="1"/>
      <c r="D209" s="1"/>
      <c r="E209" s="1"/>
      <c r="F209" s="1"/>
      <c r="G209" s="1"/>
      <c r="H209" s="1" t="s">
        <v>585</v>
      </c>
      <c r="I209" s="1"/>
      <c r="J209" s="1"/>
      <c r="K209" s="1"/>
      <c r="L209" s="1"/>
      <c r="M209" s="1"/>
      <c r="N209" s="1"/>
      <c r="O209" s="1"/>
      <c r="P209" s="1"/>
      <c r="Q209" s="1"/>
    </row>
    <row r="210" spans="1:17" x14ac:dyDescent="0.25">
      <c r="A210" s="1"/>
      <c r="B210" s="1"/>
      <c r="C210" s="1"/>
      <c r="D210" s="1"/>
      <c r="E210" s="1"/>
      <c r="F210" s="1"/>
      <c r="G210" s="1"/>
      <c r="H210" s="1" t="s">
        <v>585</v>
      </c>
      <c r="I210" s="1"/>
      <c r="J210" s="1"/>
      <c r="K210" s="1"/>
      <c r="L210" s="1"/>
      <c r="M210" s="1"/>
      <c r="N210" s="1"/>
      <c r="O210" s="1"/>
      <c r="P210" s="1"/>
      <c r="Q210" s="1"/>
    </row>
    <row r="211" spans="1:17" x14ac:dyDescent="0.25">
      <c r="A211" s="1"/>
      <c r="B211" s="1"/>
      <c r="C211" s="1"/>
      <c r="D211" s="1"/>
      <c r="E211" s="1"/>
      <c r="F211" s="1"/>
      <c r="G211" s="1"/>
      <c r="H211" s="1" t="s">
        <v>585</v>
      </c>
      <c r="I211" s="1"/>
      <c r="J211" s="1"/>
      <c r="K211" s="1"/>
      <c r="L211" s="1"/>
      <c r="M211" s="1"/>
      <c r="N211" s="1"/>
      <c r="O211" s="1"/>
      <c r="P211" s="1"/>
      <c r="Q211" s="1"/>
    </row>
    <row r="212" spans="1:17" x14ac:dyDescent="0.25">
      <c r="A212" s="1"/>
      <c r="B212" s="1"/>
      <c r="C212" s="1"/>
      <c r="D212" s="1"/>
      <c r="E212" s="1"/>
      <c r="F212" s="1"/>
      <c r="G212" s="1"/>
      <c r="H212" s="1" t="s">
        <v>585</v>
      </c>
      <c r="I212" s="1"/>
      <c r="J212" s="1"/>
      <c r="K212" s="1"/>
      <c r="L212" s="1"/>
      <c r="M212" s="1"/>
      <c r="N212" s="1"/>
      <c r="O212" s="1"/>
      <c r="P212" s="1"/>
      <c r="Q212" s="1"/>
    </row>
    <row r="213" spans="1:17" x14ac:dyDescent="0.25">
      <c r="A213" s="1"/>
      <c r="B213" s="1"/>
      <c r="C213" s="1"/>
      <c r="D213" s="1"/>
      <c r="E213" s="1"/>
      <c r="F213" s="1"/>
      <c r="G213" s="1"/>
      <c r="H213" s="1" t="s">
        <v>585</v>
      </c>
      <c r="I213" s="1"/>
      <c r="J213" s="1"/>
      <c r="K213" s="1"/>
      <c r="L213" s="1"/>
      <c r="M213" s="1"/>
      <c r="N213" s="1"/>
      <c r="O213" s="1"/>
      <c r="P213" s="1"/>
      <c r="Q213" s="1"/>
    </row>
    <row r="214" spans="1:17" x14ac:dyDescent="0.25">
      <c r="A214" s="1"/>
      <c r="B214" s="1"/>
      <c r="C214" s="1"/>
      <c r="D214" s="1"/>
      <c r="E214" s="1"/>
      <c r="F214" s="1"/>
      <c r="G214" s="1"/>
      <c r="H214" s="1" t="s">
        <v>585</v>
      </c>
      <c r="I214" s="1"/>
      <c r="J214" s="1"/>
      <c r="K214" s="1"/>
      <c r="L214" s="1"/>
      <c r="M214" s="1"/>
      <c r="N214" s="1"/>
      <c r="O214" s="1"/>
      <c r="P214" s="1"/>
      <c r="Q214" s="1"/>
    </row>
    <row r="215" spans="1:17" x14ac:dyDescent="0.25">
      <c r="A215" s="1"/>
      <c r="B215" s="1"/>
      <c r="C215" s="1"/>
      <c r="D215" s="1"/>
      <c r="E215" s="1"/>
      <c r="F215" s="1"/>
      <c r="G215" s="1"/>
      <c r="H215" s="1" t="s">
        <v>585</v>
      </c>
      <c r="I215" s="1"/>
      <c r="J215" s="1"/>
      <c r="K215" s="1"/>
      <c r="L215" s="1"/>
      <c r="M215" s="1"/>
      <c r="N215" s="1"/>
      <c r="O215" s="1"/>
      <c r="P215" s="1"/>
      <c r="Q215" s="1"/>
    </row>
    <row r="216" spans="1:17" x14ac:dyDescent="0.25">
      <c r="A216" s="1"/>
      <c r="B216" s="1"/>
      <c r="C216" s="1"/>
      <c r="D216" s="1"/>
      <c r="E216" s="1"/>
      <c r="F216" s="1"/>
      <c r="G216" s="1"/>
      <c r="H216" s="1" t="s">
        <v>585</v>
      </c>
      <c r="I216" s="1"/>
      <c r="J216" s="1"/>
      <c r="K216" s="1"/>
      <c r="L216" s="1"/>
      <c r="M216" s="1"/>
      <c r="N216" s="1"/>
      <c r="O216" s="1"/>
      <c r="P216" s="1"/>
      <c r="Q216" s="1"/>
    </row>
    <row r="217" spans="1:17" x14ac:dyDescent="0.25">
      <c r="A217" s="1"/>
      <c r="B217" s="1"/>
      <c r="C217" s="1"/>
      <c r="D217" s="1"/>
      <c r="E217" s="1"/>
      <c r="F217" s="1"/>
      <c r="G217" s="1"/>
      <c r="H217" s="1" t="s">
        <v>585</v>
      </c>
      <c r="I217" s="1"/>
      <c r="J217" s="1"/>
      <c r="K217" s="1"/>
      <c r="L217" s="1"/>
      <c r="M217" s="1"/>
      <c r="N217" s="1"/>
      <c r="O217" s="1"/>
      <c r="P217" s="1"/>
      <c r="Q217" s="1"/>
    </row>
    <row r="218" spans="1:17" x14ac:dyDescent="0.25">
      <c r="A218" s="1"/>
      <c r="B218" s="1"/>
      <c r="C218" s="1"/>
      <c r="D218" s="1"/>
      <c r="E218" s="1"/>
      <c r="F218" s="1"/>
      <c r="G218" s="1"/>
      <c r="H218" s="1" t="s">
        <v>585</v>
      </c>
      <c r="I218" s="1"/>
      <c r="J218" s="1"/>
      <c r="K218" s="1"/>
      <c r="L218" s="1"/>
      <c r="M218" s="1"/>
      <c r="N218" s="1"/>
      <c r="O218" s="1"/>
      <c r="P218" s="1"/>
      <c r="Q218" s="1"/>
    </row>
    <row r="219" spans="1:17" x14ac:dyDescent="0.25">
      <c r="A219" s="1"/>
      <c r="B219" s="1"/>
      <c r="C219" s="1"/>
      <c r="D219" s="1"/>
      <c r="E219" s="1"/>
      <c r="F219" s="1"/>
      <c r="G219" s="1"/>
      <c r="H219" s="1" t="s">
        <v>585</v>
      </c>
      <c r="I219" s="1"/>
      <c r="J219" s="1"/>
      <c r="K219" s="1"/>
      <c r="L219" s="1"/>
      <c r="M219" s="1"/>
      <c r="N219" s="1"/>
      <c r="O219" s="1"/>
      <c r="P219" s="1"/>
      <c r="Q219" s="1"/>
    </row>
    <row r="220" spans="1:17" x14ac:dyDescent="0.25">
      <c r="A220" s="1"/>
      <c r="B220" s="1"/>
      <c r="C220" s="1"/>
      <c r="D220" s="1"/>
      <c r="E220" s="1"/>
      <c r="F220" s="1"/>
      <c r="G220" s="1"/>
      <c r="H220" s="1" t="s">
        <v>585</v>
      </c>
      <c r="I220" s="1"/>
      <c r="J220" s="1"/>
      <c r="K220" s="1"/>
      <c r="L220" s="1"/>
      <c r="M220" s="1"/>
      <c r="N220" s="1"/>
      <c r="O220" s="1"/>
      <c r="P220" s="1"/>
      <c r="Q220" s="1"/>
    </row>
    <row r="221" spans="1:17" x14ac:dyDescent="0.25">
      <c r="A221" s="1"/>
      <c r="B221" s="1"/>
      <c r="C221" s="1"/>
      <c r="D221" s="1"/>
      <c r="E221" s="1"/>
      <c r="F221" s="1"/>
      <c r="G221" s="1"/>
      <c r="H221" s="1" t="s">
        <v>585</v>
      </c>
      <c r="I221" s="1"/>
      <c r="J221" s="1"/>
      <c r="K221" s="1"/>
      <c r="L221" s="1"/>
      <c r="M221" s="1"/>
      <c r="N221" s="1"/>
      <c r="O221" s="1"/>
      <c r="P221" s="1"/>
      <c r="Q221" s="1"/>
    </row>
    <row r="222" spans="1:17" x14ac:dyDescent="0.25">
      <c r="A222" s="1"/>
      <c r="B222" s="1"/>
      <c r="C222" s="1"/>
      <c r="D222" s="1"/>
      <c r="E222" s="1"/>
      <c r="F222" s="1"/>
      <c r="G222" s="1"/>
      <c r="H222" s="1" t="s">
        <v>585</v>
      </c>
      <c r="I222" s="1"/>
      <c r="J222" s="1"/>
      <c r="K222" s="1"/>
      <c r="L222" s="1"/>
      <c r="M222" s="1"/>
      <c r="N222" s="1"/>
      <c r="O222" s="1"/>
      <c r="P222" s="1"/>
      <c r="Q222" s="1"/>
    </row>
    <row r="223" spans="1:17" x14ac:dyDescent="0.25">
      <c r="A223" s="1"/>
      <c r="B223" s="1"/>
      <c r="C223" s="1"/>
      <c r="D223" s="1"/>
      <c r="E223" s="1"/>
      <c r="F223" s="1"/>
      <c r="G223" s="1"/>
      <c r="H223" s="1" t="s">
        <v>585</v>
      </c>
      <c r="I223" s="1"/>
      <c r="J223" s="1"/>
      <c r="K223" s="1"/>
      <c r="L223" s="1"/>
      <c r="M223" s="1"/>
      <c r="N223" s="1"/>
      <c r="O223" s="1"/>
      <c r="P223" s="1"/>
      <c r="Q223" s="1"/>
    </row>
    <row r="224" spans="1:17" x14ac:dyDescent="0.25">
      <c r="A224" s="1"/>
      <c r="B224" s="1"/>
      <c r="C224" s="1"/>
      <c r="D224" s="1"/>
      <c r="E224" s="1"/>
      <c r="F224" s="1"/>
      <c r="G224" s="1"/>
      <c r="H224" s="1" t="s">
        <v>585</v>
      </c>
      <c r="I224" s="1"/>
      <c r="J224" s="1"/>
      <c r="K224" s="1"/>
      <c r="L224" s="1"/>
      <c r="M224" s="1"/>
      <c r="N224" s="1"/>
      <c r="O224" s="1"/>
      <c r="P224" s="1"/>
      <c r="Q224" s="1"/>
    </row>
    <row r="225" spans="1:17" x14ac:dyDescent="0.25">
      <c r="A225" s="1"/>
      <c r="B225" s="1"/>
      <c r="C225" s="1"/>
      <c r="D225" s="1"/>
      <c r="E225" s="1"/>
      <c r="F225" s="1"/>
      <c r="G225" s="1"/>
      <c r="H225" s="1" t="s">
        <v>585</v>
      </c>
      <c r="I225" s="1"/>
      <c r="J225" s="1"/>
      <c r="K225" s="1"/>
      <c r="L225" s="1"/>
      <c r="M225" s="1"/>
      <c r="N225" s="1"/>
      <c r="O225" s="1"/>
      <c r="P225" s="1"/>
      <c r="Q225" s="1"/>
    </row>
    <row r="226" spans="1:17" x14ac:dyDescent="0.25">
      <c r="A226" s="1"/>
      <c r="B226" s="1"/>
      <c r="C226" s="1"/>
      <c r="D226" s="1"/>
      <c r="E226" s="1"/>
      <c r="F226" s="1"/>
      <c r="G226" s="1"/>
      <c r="H226" s="1" t="s">
        <v>585</v>
      </c>
      <c r="I226" s="1"/>
      <c r="J226" s="1"/>
      <c r="K226" s="1"/>
      <c r="L226" s="1"/>
      <c r="M226" s="1"/>
      <c r="N226" s="1"/>
      <c r="O226" s="1"/>
      <c r="P226" s="1"/>
      <c r="Q226" s="1"/>
    </row>
    <row r="227" spans="1:17" x14ac:dyDescent="0.25">
      <c r="A227" s="1"/>
      <c r="B227" s="1"/>
      <c r="C227" s="1"/>
      <c r="D227" s="1"/>
      <c r="E227" s="1"/>
      <c r="F227" s="1"/>
      <c r="G227" s="1"/>
      <c r="H227" s="1" t="s">
        <v>585</v>
      </c>
      <c r="I227" s="1"/>
      <c r="J227" s="1"/>
      <c r="K227" s="1"/>
      <c r="L227" s="1"/>
      <c r="M227" s="1"/>
      <c r="N227" s="1"/>
      <c r="O227" s="1"/>
      <c r="P227" s="1"/>
      <c r="Q227" s="1"/>
    </row>
    <row r="228" spans="1:17" x14ac:dyDescent="0.25">
      <c r="A228" s="1"/>
      <c r="B228" s="1"/>
      <c r="C228" s="1"/>
      <c r="D228" s="1"/>
      <c r="E228" s="1"/>
      <c r="F228" s="1"/>
      <c r="G228" s="1"/>
      <c r="H228" s="1" t="s">
        <v>585</v>
      </c>
      <c r="I228" s="1"/>
      <c r="J228" s="1"/>
      <c r="K228" s="1"/>
      <c r="L228" s="1"/>
      <c r="M228" s="1"/>
      <c r="N228" s="1"/>
      <c r="O228" s="1"/>
      <c r="P228" s="1"/>
      <c r="Q228" s="1"/>
    </row>
    <row r="229" spans="1:17" x14ac:dyDescent="0.25">
      <c r="A229" s="1"/>
      <c r="B229" s="1"/>
      <c r="C229" s="1"/>
      <c r="D229" s="1"/>
      <c r="E229" s="1"/>
      <c r="F229" s="1"/>
      <c r="G229" s="1"/>
      <c r="H229" s="1" t="s">
        <v>585</v>
      </c>
      <c r="I229" s="1"/>
      <c r="J229" s="1"/>
      <c r="K229" s="1"/>
      <c r="L229" s="1"/>
      <c r="M229" s="1"/>
      <c r="N229" s="1"/>
      <c r="O229" s="1"/>
      <c r="P229" s="1"/>
      <c r="Q229" s="1"/>
    </row>
    <row r="230" spans="1:17" x14ac:dyDescent="0.25">
      <c r="A230" s="1"/>
      <c r="B230" s="1"/>
      <c r="C230" s="1"/>
      <c r="D230" s="1"/>
      <c r="E230" s="1"/>
      <c r="F230" s="1"/>
      <c r="G230" s="1"/>
      <c r="H230" s="1" t="s">
        <v>585</v>
      </c>
      <c r="I230" s="1"/>
      <c r="J230" s="1"/>
      <c r="K230" s="1"/>
      <c r="L230" s="1"/>
      <c r="M230" s="1"/>
      <c r="N230" s="1"/>
      <c r="O230" s="1"/>
      <c r="P230" s="1"/>
      <c r="Q230" s="1"/>
    </row>
    <row r="231" spans="1:17" x14ac:dyDescent="0.25">
      <c r="A231" s="1"/>
      <c r="B231" s="1"/>
      <c r="C231" s="1"/>
      <c r="D231" s="1"/>
      <c r="E231" s="1"/>
      <c r="F231" s="1"/>
      <c r="G231" s="1"/>
      <c r="H231" s="1" t="s">
        <v>585</v>
      </c>
      <c r="I231" s="1"/>
      <c r="J231" s="1"/>
      <c r="K231" s="1"/>
      <c r="L231" s="1"/>
      <c r="M231" s="1"/>
      <c r="N231" s="1"/>
      <c r="O231" s="1"/>
      <c r="P231" s="1"/>
      <c r="Q231" s="1"/>
    </row>
    <row r="232" spans="1:17" x14ac:dyDescent="0.25">
      <c r="A232" s="1"/>
      <c r="B232" s="1"/>
      <c r="C232" s="1"/>
      <c r="D232" s="1"/>
      <c r="E232" s="1"/>
      <c r="F232" s="1"/>
      <c r="G232" s="1"/>
      <c r="H232" s="1" t="s">
        <v>585</v>
      </c>
      <c r="I232" s="1"/>
      <c r="J232" s="1"/>
      <c r="K232" s="1"/>
      <c r="L232" s="1"/>
      <c r="M232" s="1"/>
      <c r="N232" s="1"/>
      <c r="O232" s="1"/>
      <c r="P232" s="1"/>
      <c r="Q232" s="1"/>
    </row>
    <row r="233" spans="1:17" x14ac:dyDescent="0.25">
      <c r="A233" s="1"/>
      <c r="B233" s="1"/>
      <c r="C233" s="1"/>
      <c r="D233" s="1"/>
      <c r="E233" s="1"/>
      <c r="F233" s="1"/>
      <c r="G233" s="1"/>
      <c r="H233" s="1" t="s">
        <v>585</v>
      </c>
      <c r="I233" s="1"/>
      <c r="J233" s="1"/>
      <c r="K233" s="1"/>
      <c r="L233" s="1"/>
      <c r="M233" s="1"/>
      <c r="N233" s="1"/>
      <c r="O233" s="1"/>
      <c r="P233" s="1"/>
      <c r="Q233" s="1"/>
    </row>
    <row r="234" spans="1:17" x14ac:dyDescent="0.25">
      <c r="A234" s="1"/>
      <c r="B234" s="1"/>
      <c r="C234" s="1"/>
      <c r="D234" s="1"/>
      <c r="E234" s="1"/>
      <c r="F234" s="1"/>
      <c r="G234" s="1"/>
      <c r="H234" s="1" t="s">
        <v>585</v>
      </c>
      <c r="I234" s="1"/>
      <c r="J234" s="1"/>
      <c r="K234" s="1"/>
      <c r="L234" s="1"/>
      <c r="M234" s="1"/>
      <c r="N234" s="1"/>
      <c r="O234" s="1"/>
      <c r="P234" s="1"/>
      <c r="Q234" s="1"/>
    </row>
    <row r="235" spans="1:17" x14ac:dyDescent="0.25">
      <c r="A235" s="1"/>
      <c r="B235" s="1"/>
      <c r="C235" s="1"/>
      <c r="D235" s="1"/>
      <c r="E235" s="1"/>
      <c r="F235" s="1"/>
      <c r="G235" s="1"/>
      <c r="H235" s="1" t="s">
        <v>585</v>
      </c>
      <c r="I235" s="1"/>
      <c r="J235" s="1"/>
      <c r="K235" s="1"/>
      <c r="L235" s="1"/>
      <c r="M235" s="1"/>
      <c r="N235" s="1"/>
      <c r="O235" s="1"/>
      <c r="P235" s="1"/>
      <c r="Q235" s="1"/>
    </row>
    <row r="236" spans="1:17" x14ac:dyDescent="0.25">
      <c r="A236" s="1"/>
      <c r="B236" s="1"/>
      <c r="C236" s="1"/>
      <c r="D236" s="1"/>
      <c r="E236" s="1"/>
      <c r="F236" s="1"/>
      <c r="G236" s="1"/>
      <c r="H236" s="1" t="s">
        <v>585</v>
      </c>
      <c r="I236" s="1"/>
      <c r="J236" s="1"/>
      <c r="K236" s="1"/>
      <c r="L236" s="1"/>
      <c r="M236" s="1"/>
      <c r="N236" s="1"/>
      <c r="O236" s="1"/>
      <c r="P236" s="1"/>
      <c r="Q236" s="1"/>
    </row>
    <row r="237" spans="1:17" x14ac:dyDescent="0.25">
      <c r="A237" s="1"/>
      <c r="B237" s="1"/>
      <c r="C237" s="1"/>
      <c r="D237" s="1"/>
      <c r="E237" s="1"/>
      <c r="F237" s="1"/>
      <c r="G237" s="1"/>
      <c r="H237" s="1" t="s">
        <v>585</v>
      </c>
      <c r="I237" s="1"/>
      <c r="J237" s="1"/>
      <c r="K237" s="1"/>
      <c r="L237" s="1"/>
      <c r="M237" s="1"/>
      <c r="N237" s="1"/>
      <c r="O237" s="1"/>
      <c r="P237" s="1"/>
      <c r="Q237" s="1"/>
    </row>
    <row r="238" spans="1:17" x14ac:dyDescent="0.25">
      <c r="A238" s="1"/>
      <c r="B238" s="1"/>
      <c r="C238" s="1"/>
      <c r="D238" s="1"/>
      <c r="E238" s="1"/>
      <c r="F238" s="1"/>
      <c r="G238" s="1"/>
      <c r="H238" s="1" t="s">
        <v>585</v>
      </c>
      <c r="I238" s="1"/>
      <c r="J238" s="1"/>
      <c r="K238" s="1"/>
      <c r="L238" s="1"/>
      <c r="M238" s="1"/>
      <c r="N238" s="1"/>
      <c r="O238" s="1"/>
      <c r="P238" s="1"/>
      <c r="Q238" s="1"/>
    </row>
    <row r="239" spans="1:17" x14ac:dyDescent="0.25">
      <c r="A239" s="1"/>
      <c r="B239" s="1"/>
      <c r="C239" s="1"/>
      <c r="D239" s="1"/>
      <c r="E239" s="1"/>
      <c r="F239" s="1"/>
      <c r="G239" s="1"/>
      <c r="H239" s="1" t="s">
        <v>585</v>
      </c>
      <c r="I239" s="1"/>
      <c r="J239" s="1"/>
      <c r="K239" s="1"/>
      <c r="L239" s="1"/>
      <c r="M239" s="1"/>
      <c r="N239" s="1"/>
      <c r="O239" s="1"/>
      <c r="P239" s="1"/>
      <c r="Q239" s="1"/>
    </row>
    <row r="240" spans="1:17" x14ac:dyDescent="0.25">
      <c r="A240" s="1"/>
      <c r="B240" s="1"/>
      <c r="C240" s="1"/>
      <c r="D240" s="1"/>
      <c r="E240" s="1"/>
      <c r="F240" s="1"/>
      <c r="G240" s="1"/>
      <c r="H240" s="1" t="s">
        <v>585</v>
      </c>
      <c r="I240" s="1"/>
      <c r="J240" s="1"/>
      <c r="K240" s="1"/>
      <c r="L240" s="1"/>
      <c r="M240" s="1"/>
      <c r="N240" s="1"/>
      <c r="O240" s="1"/>
      <c r="P240" s="1"/>
      <c r="Q240" s="1"/>
    </row>
    <row r="241" spans="1:17" x14ac:dyDescent="0.25">
      <c r="A241" s="1"/>
      <c r="B241" s="1"/>
      <c r="C241" s="1"/>
      <c r="D241" s="1"/>
      <c r="E241" s="1"/>
      <c r="F241" s="1"/>
      <c r="G241" s="1"/>
      <c r="H241" s="1" t="s">
        <v>585</v>
      </c>
      <c r="I241" s="1"/>
      <c r="J241" s="1"/>
      <c r="K241" s="1"/>
      <c r="L241" s="1"/>
      <c r="M241" s="1"/>
      <c r="N241" s="1"/>
      <c r="O241" s="1"/>
      <c r="P241" s="1"/>
      <c r="Q241" s="1"/>
    </row>
    <row r="242" spans="1:17" x14ac:dyDescent="0.25">
      <c r="A242" s="1"/>
      <c r="B242" s="1"/>
      <c r="C242" s="1"/>
      <c r="D242" s="1"/>
      <c r="E242" s="1"/>
      <c r="F242" s="1"/>
      <c r="G242" s="1"/>
      <c r="H242" s="1" t="s">
        <v>585</v>
      </c>
      <c r="I242" s="1"/>
      <c r="J242" s="1"/>
      <c r="K242" s="1"/>
      <c r="L242" s="1"/>
      <c r="M242" s="1"/>
      <c r="N242" s="1"/>
      <c r="O242" s="1"/>
      <c r="P242" s="1"/>
      <c r="Q242" s="1"/>
    </row>
    <row r="243" spans="1:17" x14ac:dyDescent="0.25">
      <c r="A243" s="1"/>
      <c r="B243" s="1"/>
      <c r="C243" s="1"/>
      <c r="D243" s="1"/>
      <c r="E243" s="1"/>
      <c r="F243" s="1"/>
      <c r="G243" s="1"/>
      <c r="H243" s="1" t="s">
        <v>585</v>
      </c>
      <c r="I243" s="1"/>
      <c r="J243" s="1"/>
      <c r="K243" s="1"/>
      <c r="L243" s="1"/>
      <c r="M243" s="1"/>
      <c r="N243" s="1"/>
      <c r="O243" s="1"/>
      <c r="P243" s="1"/>
      <c r="Q243" s="1"/>
    </row>
    <row r="244" spans="1:17" x14ac:dyDescent="0.25">
      <c r="A244" s="1"/>
      <c r="B244" s="1"/>
      <c r="C244" s="1"/>
      <c r="D244" s="1"/>
      <c r="E244" s="1"/>
      <c r="F244" s="1"/>
      <c r="G244" s="1"/>
      <c r="H244" s="1" t="s">
        <v>585</v>
      </c>
      <c r="I244" s="1"/>
      <c r="J244" s="1"/>
      <c r="K244" s="1"/>
      <c r="L244" s="1"/>
      <c r="M244" s="1"/>
      <c r="N244" s="1"/>
      <c r="O244" s="1"/>
      <c r="P244" s="1"/>
      <c r="Q244" s="1"/>
    </row>
    <row r="245" spans="1:17" x14ac:dyDescent="0.25">
      <c r="A245" s="1"/>
      <c r="B245" s="1"/>
      <c r="C245" s="1"/>
      <c r="D245" s="1"/>
      <c r="E245" s="1"/>
      <c r="F245" s="1"/>
      <c r="G245" s="1"/>
      <c r="H245" s="1" t="s">
        <v>585</v>
      </c>
      <c r="I245" s="1"/>
      <c r="J245" s="1"/>
      <c r="K245" s="1"/>
      <c r="L245" s="1"/>
      <c r="M245" s="1"/>
      <c r="N245" s="1"/>
      <c r="O245" s="1"/>
      <c r="P245" s="1"/>
      <c r="Q245" s="1"/>
    </row>
    <row r="246" spans="1:17" x14ac:dyDescent="0.25">
      <c r="A246" s="1"/>
      <c r="B246" s="1"/>
      <c r="C246" s="1"/>
      <c r="D246" s="1"/>
      <c r="E246" s="1"/>
      <c r="F246" s="1"/>
      <c r="G246" s="1"/>
      <c r="H246" s="1" t="s">
        <v>585</v>
      </c>
      <c r="I246" s="1"/>
      <c r="J246" s="1"/>
      <c r="K246" s="1"/>
      <c r="L246" s="1"/>
      <c r="M246" s="1"/>
      <c r="N246" s="1"/>
      <c r="O246" s="1"/>
      <c r="P246" s="1"/>
      <c r="Q246" s="1"/>
    </row>
    <row r="247" spans="1:17" x14ac:dyDescent="0.25">
      <c r="A247" s="1"/>
      <c r="B247" s="1"/>
      <c r="C247" s="1"/>
      <c r="D247" s="1"/>
      <c r="E247" s="1"/>
      <c r="F247" s="1"/>
      <c r="G247" s="1"/>
      <c r="H247" s="1" t="s">
        <v>585</v>
      </c>
      <c r="I247" s="1"/>
      <c r="J247" s="1"/>
      <c r="K247" s="1"/>
      <c r="L247" s="1"/>
      <c r="M247" s="1"/>
      <c r="N247" s="1"/>
      <c r="O247" s="1"/>
      <c r="P247" s="1"/>
      <c r="Q247" s="1"/>
    </row>
    <row r="248" spans="1:17" x14ac:dyDescent="0.25">
      <c r="A248" s="1"/>
      <c r="B248" s="1"/>
      <c r="C248" s="1"/>
      <c r="D248" s="1"/>
      <c r="E248" s="1"/>
      <c r="F248" s="1"/>
      <c r="G248" s="1"/>
      <c r="H248" s="1" t="s">
        <v>585</v>
      </c>
      <c r="I248" s="1"/>
      <c r="J248" s="1"/>
      <c r="K248" s="1"/>
      <c r="L248" s="1"/>
      <c r="M248" s="1"/>
      <c r="N248" s="1"/>
      <c r="O248" s="1"/>
      <c r="P248" s="1"/>
      <c r="Q248" s="1"/>
    </row>
    <row r="249" spans="1:17" x14ac:dyDescent="0.25">
      <c r="A249" s="1"/>
      <c r="B249" s="1"/>
      <c r="C249" s="1"/>
      <c r="D249" s="1"/>
      <c r="E249" s="1"/>
      <c r="F249" s="1"/>
      <c r="G249" s="1"/>
      <c r="H249" s="1" t="s">
        <v>585</v>
      </c>
      <c r="I249" s="1"/>
      <c r="J249" s="1"/>
      <c r="K249" s="1"/>
      <c r="L249" s="1"/>
      <c r="M249" s="1"/>
      <c r="N249" s="1"/>
      <c r="O249" s="1"/>
      <c r="P249" s="1"/>
      <c r="Q249" s="1"/>
    </row>
    <row r="250" spans="1:17" x14ac:dyDescent="0.25">
      <c r="A250" s="1"/>
      <c r="B250" s="1"/>
      <c r="C250" s="1"/>
      <c r="D250" s="1"/>
      <c r="E250" s="1"/>
      <c r="F250" s="1"/>
      <c r="G250" s="1"/>
      <c r="H250" s="1" t="s">
        <v>585</v>
      </c>
      <c r="I250" s="1"/>
      <c r="J250" s="1"/>
      <c r="K250" s="1"/>
      <c r="L250" s="1"/>
      <c r="M250" s="1"/>
      <c r="N250" s="1"/>
      <c r="O250" s="1"/>
      <c r="P250" s="1"/>
      <c r="Q250" s="1"/>
    </row>
    <row r="251" spans="1:17" x14ac:dyDescent="0.25">
      <c r="A251" s="1"/>
      <c r="B251" s="1"/>
      <c r="C251" s="1"/>
      <c r="D251" s="1"/>
      <c r="E251" s="1"/>
      <c r="F251" s="1"/>
      <c r="G251" s="1"/>
      <c r="H251" s="1" t="s">
        <v>585</v>
      </c>
      <c r="I251" s="1"/>
      <c r="J251" s="1"/>
      <c r="K251" s="1"/>
      <c r="L251" s="1"/>
      <c r="M251" s="1"/>
      <c r="N251" s="1"/>
      <c r="O251" s="1"/>
      <c r="P251" s="1"/>
      <c r="Q251" s="1"/>
    </row>
    <row r="252" spans="1:17" x14ac:dyDescent="0.25">
      <c r="A252" s="1"/>
      <c r="B252" s="1"/>
      <c r="C252" s="1"/>
      <c r="D252" s="1"/>
      <c r="E252" s="1"/>
      <c r="F252" s="1"/>
      <c r="G252" s="1"/>
      <c r="H252" s="1" t="s">
        <v>585</v>
      </c>
      <c r="I252" s="1"/>
      <c r="J252" s="1"/>
      <c r="K252" s="1"/>
      <c r="L252" s="1"/>
      <c r="M252" s="1"/>
      <c r="N252" s="1"/>
      <c r="O252" s="1"/>
      <c r="P252" s="1"/>
      <c r="Q252" s="1"/>
    </row>
    <row r="253" spans="1:17" x14ac:dyDescent="0.25">
      <c r="A253" s="1"/>
      <c r="B253" s="1"/>
      <c r="C253" s="1"/>
      <c r="D253" s="1"/>
      <c r="E253" s="1"/>
      <c r="F253" s="1"/>
      <c r="G253" s="1"/>
      <c r="H253" s="1" t="s">
        <v>585</v>
      </c>
      <c r="I253" s="1"/>
      <c r="J253" s="1"/>
      <c r="K253" s="1"/>
      <c r="L253" s="1"/>
      <c r="M253" s="1"/>
      <c r="N253" s="1"/>
      <c r="O253" s="1"/>
      <c r="P253" s="1"/>
      <c r="Q253" s="1"/>
    </row>
    <row r="254" spans="1:17" x14ac:dyDescent="0.25">
      <c r="A254" s="1"/>
      <c r="B254" s="1"/>
      <c r="C254" s="1"/>
      <c r="D254" s="1"/>
      <c r="E254" s="1"/>
      <c r="F254" s="1"/>
      <c r="G254" s="1"/>
      <c r="H254" s="1" t="s">
        <v>585</v>
      </c>
      <c r="I254" s="1"/>
      <c r="J254" s="1"/>
      <c r="K254" s="1"/>
      <c r="L254" s="1"/>
      <c r="M254" s="1"/>
      <c r="N254" s="1"/>
      <c r="O254" s="1"/>
      <c r="P254" s="1"/>
      <c r="Q254" s="1"/>
    </row>
    <row r="255" spans="1:17" x14ac:dyDescent="0.25">
      <c r="A255" s="1"/>
      <c r="B255" s="1"/>
      <c r="C255" s="1"/>
      <c r="D255" s="1"/>
      <c r="E255" s="1"/>
      <c r="F255" s="1"/>
      <c r="G255" s="1"/>
      <c r="H255" s="1" t="s">
        <v>585</v>
      </c>
      <c r="I255" s="1"/>
      <c r="J255" s="1"/>
      <c r="K255" s="1"/>
      <c r="L255" s="1"/>
      <c r="M255" s="1"/>
      <c r="N255" s="1"/>
      <c r="O255" s="1"/>
      <c r="P255" s="1"/>
      <c r="Q255" s="1"/>
    </row>
    <row r="256" spans="1:17" x14ac:dyDescent="0.25">
      <c r="A256" s="1"/>
      <c r="B256" s="1"/>
      <c r="C256" s="1"/>
      <c r="D256" s="1"/>
      <c r="E256" s="1"/>
      <c r="F256" s="1"/>
      <c r="G256" s="1"/>
      <c r="H256" s="1" t="s">
        <v>585</v>
      </c>
      <c r="I256" s="1"/>
      <c r="J256" s="1"/>
      <c r="K256" s="1"/>
      <c r="L256" s="1"/>
      <c r="M256" s="1"/>
      <c r="N256" s="1"/>
      <c r="O256" s="1"/>
      <c r="P256" s="1"/>
      <c r="Q256" s="1"/>
    </row>
    <row r="257" spans="1:17" x14ac:dyDescent="0.25">
      <c r="A257" s="1"/>
      <c r="B257" s="1"/>
      <c r="C257" s="1"/>
      <c r="D257" s="1"/>
      <c r="E257" s="1"/>
      <c r="F257" s="1"/>
      <c r="G257" s="1"/>
      <c r="H257" s="1" t="s">
        <v>585</v>
      </c>
      <c r="I257" s="1"/>
      <c r="J257" s="1"/>
      <c r="K257" s="1"/>
      <c r="L257" s="1"/>
      <c r="M257" s="1"/>
      <c r="N257" s="1"/>
      <c r="O257" s="1"/>
      <c r="P257" s="1"/>
      <c r="Q257" s="1"/>
    </row>
    <row r="258" spans="1:17" x14ac:dyDescent="0.25">
      <c r="A258" s="1"/>
      <c r="B258" s="1"/>
      <c r="C258" s="1"/>
      <c r="D258" s="1"/>
      <c r="E258" s="1"/>
      <c r="F258" s="1"/>
      <c r="G258" s="1"/>
      <c r="H258" s="1" t="s">
        <v>585</v>
      </c>
      <c r="I258" s="1"/>
      <c r="J258" s="1"/>
      <c r="K258" s="1"/>
      <c r="L258" s="1"/>
      <c r="M258" s="1"/>
      <c r="N258" s="1"/>
      <c r="O258" s="1"/>
      <c r="P258" s="1"/>
      <c r="Q258" s="1"/>
    </row>
    <row r="259" spans="1:17" x14ac:dyDescent="0.25">
      <c r="A259" s="1"/>
      <c r="B259" s="1"/>
      <c r="C259" s="1"/>
      <c r="D259" s="1"/>
      <c r="E259" s="1"/>
      <c r="F259" s="1"/>
      <c r="G259" s="1"/>
      <c r="H259" s="1" t="s">
        <v>585</v>
      </c>
      <c r="I259" s="1"/>
      <c r="J259" s="1"/>
      <c r="K259" s="1"/>
      <c r="L259" s="1"/>
      <c r="M259" s="1"/>
      <c r="N259" s="1"/>
      <c r="O259" s="1"/>
      <c r="P259" s="1"/>
      <c r="Q259" s="1"/>
    </row>
    <row r="260" spans="1:17" x14ac:dyDescent="0.25">
      <c r="A260" s="1"/>
      <c r="B260" s="1"/>
      <c r="C260" s="1"/>
      <c r="D260" s="1"/>
      <c r="E260" s="1"/>
      <c r="F260" s="1"/>
      <c r="G260" s="1"/>
      <c r="H260" s="1" t="s">
        <v>585</v>
      </c>
      <c r="I260" s="1"/>
      <c r="J260" s="1"/>
      <c r="K260" s="1"/>
      <c r="L260" s="1"/>
      <c r="M260" s="1"/>
      <c r="N260" s="1"/>
      <c r="O260" s="1"/>
      <c r="P260" s="1"/>
      <c r="Q260" s="1"/>
    </row>
    <row r="261" spans="1:17" x14ac:dyDescent="0.25">
      <c r="A261" s="1"/>
      <c r="B261" s="1"/>
      <c r="C261" s="1"/>
      <c r="D261" s="1"/>
      <c r="E261" s="1"/>
      <c r="F261" s="1"/>
      <c r="G261" s="1"/>
      <c r="H261" s="1" t="s">
        <v>585</v>
      </c>
      <c r="I261" s="1"/>
      <c r="J261" s="1"/>
      <c r="K261" s="1"/>
      <c r="L261" s="1"/>
      <c r="M261" s="1"/>
      <c r="N261" s="1"/>
      <c r="O261" s="1"/>
      <c r="P261" s="1"/>
      <c r="Q261" s="1"/>
    </row>
    <row r="262" spans="1:17" x14ac:dyDescent="0.25">
      <c r="A262" s="1"/>
      <c r="B262" s="1"/>
      <c r="C262" s="1"/>
      <c r="D262" s="1"/>
      <c r="E262" s="1"/>
      <c r="F262" s="1"/>
      <c r="G262" s="1"/>
      <c r="H262" s="1" t="s">
        <v>585</v>
      </c>
      <c r="I262" s="1"/>
      <c r="J262" s="1"/>
      <c r="K262" s="1"/>
      <c r="L262" s="1"/>
      <c r="M262" s="1"/>
      <c r="N262" s="1"/>
      <c r="O262" s="1"/>
      <c r="P262" s="1"/>
      <c r="Q262" s="1"/>
    </row>
    <row r="263" spans="1:17" x14ac:dyDescent="0.25">
      <c r="A263" s="1"/>
      <c r="B263" s="1"/>
      <c r="C263" s="1"/>
      <c r="D263" s="1"/>
      <c r="E263" s="1"/>
      <c r="F263" s="1"/>
      <c r="G263" s="1"/>
      <c r="H263" s="1" t="s">
        <v>585</v>
      </c>
      <c r="I263" s="1"/>
      <c r="J263" s="1"/>
      <c r="K263" s="1"/>
      <c r="L263" s="1"/>
      <c r="M263" s="1"/>
      <c r="N263" s="1"/>
      <c r="O263" s="1"/>
      <c r="P263" s="1"/>
      <c r="Q263" s="1"/>
    </row>
    <row r="264" spans="1:17" x14ac:dyDescent="0.25">
      <c r="A264" s="1"/>
      <c r="B264" s="1"/>
      <c r="C264" s="1"/>
      <c r="D264" s="1"/>
      <c r="E264" s="1"/>
      <c r="F264" s="1"/>
      <c r="G264" s="1"/>
      <c r="H264" s="1" t="s">
        <v>585</v>
      </c>
      <c r="I264" s="1"/>
      <c r="J264" s="1"/>
      <c r="K264" s="1"/>
      <c r="L264" s="1"/>
      <c r="M264" s="1"/>
      <c r="N264" s="1"/>
      <c r="O264" s="1"/>
      <c r="P264" s="1"/>
      <c r="Q264" s="1"/>
    </row>
    <row r="265" spans="1:17" x14ac:dyDescent="0.25">
      <c r="A265" s="1"/>
      <c r="B265" s="1"/>
      <c r="C265" s="1"/>
      <c r="D265" s="1"/>
      <c r="E265" s="1"/>
      <c r="F265" s="1"/>
      <c r="G265" s="1"/>
      <c r="H265" s="1" t="s">
        <v>585</v>
      </c>
      <c r="I265" s="1"/>
      <c r="J265" s="1"/>
      <c r="K265" s="1"/>
      <c r="L265" s="1"/>
      <c r="M265" s="1"/>
      <c r="N265" s="1"/>
      <c r="O265" s="1"/>
      <c r="P265" s="1"/>
      <c r="Q265" s="1"/>
    </row>
    <row r="266" spans="1:17" x14ac:dyDescent="0.25">
      <c r="A266" s="1"/>
      <c r="B266" s="1"/>
      <c r="C266" s="1"/>
      <c r="D266" s="1"/>
      <c r="E266" s="1"/>
      <c r="F266" s="1"/>
      <c r="G266" s="1"/>
      <c r="H266" s="1" t="s">
        <v>585</v>
      </c>
      <c r="I266" s="1"/>
      <c r="J266" s="1"/>
      <c r="K266" s="1"/>
      <c r="L266" s="1"/>
      <c r="M266" s="1"/>
      <c r="N266" s="1"/>
      <c r="O266" s="1"/>
      <c r="P266" s="1"/>
      <c r="Q266" s="1"/>
    </row>
    <row r="267" spans="1:17" x14ac:dyDescent="0.25">
      <c r="A267" s="1"/>
      <c r="B267" s="1"/>
      <c r="C267" s="1"/>
      <c r="D267" s="1"/>
      <c r="E267" s="1"/>
      <c r="F267" s="1"/>
      <c r="G267" s="1"/>
      <c r="H267" s="1" t="s">
        <v>585</v>
      </c>
      <c r="I267" s="1"/>
      <c r="J267" s="1"/>
      <c r="K267" s="1"/>
      <c r="L267" s="1"/>
      <c r="M267" s="1"/>
      <c r="N267" s="1"/>
      <c r="O267" s="1"/>
      <c r="P267" s="1"/>
      <c r="Q267" s="1"/>
    </row>
    <row r="268" spans="1:17" x14ac:dyDescent="0.25">
      <c r="A268" s="1"/>
      <c r="B268" s="1"/>
      <c r="C268" s="1"/>
      <c r="D268" s="1"/>
      <c r="E268" s="1"/>
      <c r="F268" s="1"/>
      <c r="G268" s="1"/>
      <c r="H268" s="1" t="s">
        <v>585</v>
      </c>
      <c r="I268" s="1"/>
      <c r="J268" s="1"/>
      <c r="K268" s="1"/>
      <c r="L268" s="1"/>
      <c r="M268" s="1"/>
      <c r="N268" s="1"/>
      <c r="O268" s="1"/>
      <c r="P268" s="1"/>
      <c r="Q268" s="1"/>
    </row>
    <row r="269" spans="1:17" x14ac:dyDescent="0.25">
      <c r="A269" s="1"/>
      <c r="B269" s="1"/>
      <c r="C269" s="1"/>
      <c r="D269" s="1"/>
      <c r="E269" s="1"/>
      <c r="F269" s="1"/>
      <c r="G269" s="1"/>
      <c r="H269" s="1" t="s">
        <v>585</v>
      </c>
      <c r="I269" s="1"/>
      <c r="J269" s="1"/>
      <c r="K269" s="1"/>
      <c r="L269" s="1"/>
      <c r="M269" s="1"/>
      <c r="N269" s="1"/>
      <c r="O269" s="1"/>
      <c r="P269" s="1"/>
      <c r="Q269" s="1"/>
    </row>
    <row r="270" spans="1:17" x14ac:dyDescent="0.25">
      <c r="A270" s="1"/>
      <c r="B270" s="1"/>
      <c r="C270" s="1"/>
      <c r="D270" s="1"/>
      <c r="E270" s="1"/>
      <c r="F270" s="1"/>
      <c r="G270" s="1"/>
      <c r="H270" s="1" t="s">
        <v>585</v>
      </c>
      <c r="I270" s="1"/>
      <c r="J270" s="1"/>
      <c r="K270" s="1"/>
      <c r="L270" s="1"/>
      <c r="M270" s="1"/>
      <c r="N270" s="1"/>
      <c r="O270" s="1"/>
      <c r="P270" s="1"/>
      <c r="Q270" s="1"/>
    </row>
    <row r="271" spans="1:17" x14ac:dyDescent="0.25">
      <c r="A271" s="1"/>
      <c r="B271" s="1"/>
      <c r="C271" s="1"/>
      <c r="D271" s="1"/>
      <c r="E271" s="1"/>
      <c r="F271" s="1"/>
      <c r="G271" s="1"/>
      <c r="H271" s="1" t="s">
        <v>585</v>
      </c>
      <c r="I271" s="1"/>
      <c r="J271" s="1"/>
      <c r="K271" s="1"/>
      <c r="L271" s="1"/>
      <c r="M271" s="1"/>
      <c r="N271" s="1"/>
      <c r="O271" s="1"/>
      <c r="P271" s="1"/>
      <c r="Q271" s="1"/>
    </row>
    <row r="272" spans="1:17" x14ac:dyDescent="0.25">
      <c r="A272" s="1"/>
      <c r="B272" s="1"/>
      <c r="C272" s="1"/>
      <c r="D272" s="1"/>
      <c r="E272" s="1"/>
      <c r="F272" s="1"/>
      <c r="G272" s="1"/>
      <c r="H272" s="1" t="s">
        <v>585</v>
      </c>
      <c r="I272" s="1"/>
      <c r="J272" s="1"/>
      <c r="K272" s="1"/>
      <c r="L272" s="1"/>
      <c r="M272" s="1"/>
      <c r="N272" s="1"/>
      <c r="O272" s="1"/>
      <c r="P272" s="1"/>
      <c r="Q272" s="1"/>
    </row>
    <row r="273" spans="1:17" x14ac:dyDescent="0.25">
      <c r="A273" s="1"/>
      <c r="B273" s="1"/>
      <c r="C273" s="1"/>
      <c r="D273" s="1"/>
      <c r="E273" s="1"/>
      <c r="F273" s="1"/>
      <c r="G273" s="1"/>
      <c r="H273" s="1" t="s">
        <v>585</v>
      </c>
      <c r="I273" s="1"/>
      <c r="J273" s="1"/>
      <c r="K273" s="1"/>
      <c r="L273" s="1"/>
      <c r="M273" s="1"/>
      <c r="N273" s="1"/>
      <c r="O273" s="1"/>
      <c r="P273" s="1"/>
      <c r="Q273" s="1"/>
    </row>
    <row r="274" spans="1:17" x14ac:dyDescent="0.25">
      <c r="A274" s="1"/>
      <c r="B274" s="1"/>
      <c r="C274" s="1"/>
      <c r="D274" s="1"/>
      <c r="E274" s="1"/>
      <c r="F274" s="1"/>
      <c r="G274" s="1"/>
      <c r="H274" s="1" t="s">
        <v>585</v>
      </c>
      <c r="I274" s="1"/>
      <c r="J274" s="1"/>
      <c r="K274" s="1"/>
      <c r="L274" s="1"/>
      <c r="M274" s="1"/>
      <c r="N274" s="1"/>
      <c r="O274" s="1"/>
      <c r="P274" s="1"/>
      <c r="Q274" s="1"/>
    </row>
    <row r="275" spans="1:17" x14ac:dyDescent="0.25">
      <c r="A275" s="1"/>
      <c r="B275" s="1"/>
      <c r="C275" s="1"/>
      <c r="D275" s="1"/>
      <c r="E275" s="1"/>
      <c r="F275" s="1"/>
      <c r="G275" s="1"/>
      <c r="H275" s="1" t="s">
        <v>585</v>
      </c>
      <c r="I275" s="1"/>
      <c r="J275" s="1"/>
      <c r="K275" s="1"/>
      <c r="L275" s="1"/>
      <c r="M275" s="1"/>
      <c r="N275" s="1"/>
      <c r="O275" s="1"/>
      <c r="P275" s="1"/>
      <c r="Q275" s="1"/>
    </row>
    <row r="276" spans="1:17" x14ac:dyDescent="0.25">
      <c r="A276" s="1"/>
      <c r="B276" s="1"/>
      <c r="C276" s="1"/>
      <c r="D276" s="1"/>
      <c r="E276" s="1"/>
      <c r="F276" s="1"/>
      <c r="G276" s="1"/>
      <c r="H276" s="1" t="s">
        <v>585</v>
      </c>
      <c r="I276" s="1"/>
      <c r="J276" s="1"/>
      <c r="K276" s="1"/>
      <c r="L276" s="1"/>
      <c r="M276" s="1"/>
      <c r="N276" s="1"/>
      <c r="O276" s="1"/>
      <c r="P276" s="1"/>
      <c r="Q276" s="1"/>
    </row>
    <row r="277" spans="1:17" x14ac:dyDescent="0.25">
      <c r="A277" s="1"/>
      <c r="B277" s="1"/>
      <c r="C277" s="1"/>
      <c r="D277" s="1"/>
      <c r="E277" s="1"/>
      <c r="F277" s="1"/>
      <c r="G277" s="1"/>
      <c r="H277" s="1" t="s">
        <v>585</v>
      </c>
      <c r="I277" s="1"/>
      <c r="J277" s="1"/>
      <c r="K277" s="1"/>
      <c r="L277" s="1"/>
      <c r="M277" s="1"/>
      <c r="N277" s="1"/>
      <c r="O277" s="1"/>
      <c r="P277" s="1"/>
      <c r="Q277" s="1"/>
    </row>
    <row r="278" spans="1:17" x14ac:dyDescent="0.25">
      <c r="A278" s="1"/>
      <c r="B278" s="1"/>
      <c r="C278" s="1"/>
      <c r="D278" s="1"/>
      <c r="E278" s="1"/>
      <c r="F278" s="1"/>
      <c r="G278" s="1"/>
      <c r="H278" s="1" t="s">
        <v>585</v>
      </c>
      <c r="I278" s="1"/>
      <c r="J278" s="1"/>
      <c r="K278" s="1"/>
      <c r="L278" s="1"/>
      <c r="M278" s="1"/>
      <c r="N278" s="1"/>
      <c r="O278" s="1"/>
      <c r="P278" s="1"/>
      <c r="Q278" s="1"/>
    </row>
    <row r="279" spans="1:17" x14ac:dyDescent="0.25">
      <c r="A279" s="1"/>
      <c r="B279" s="1"/>
      <c r="C279" s="1"/>
      <c r="D279" s="1"/>
      <c r="E279" s="1"/>
      <c r="F279" s="1"/>
      <c r="G279" s="1"/>
      <c r="H279" s="1" t="s">
        <v>585</v>
      </c>
      <c r="I279" s="1"/>
      <c r="J279" s="1"/>
      <c r="K279" s="1"/>
      <c r="L279" s="1"/>
      <c r="M279" s="1"/>
      <c r="N279" s="1"/>
      <c r="O279" s="1"/>
      <c r="P279" s="1"/>
      <c r="Q279" s="1"/>
    </row>
    <row r="280" spans="1:17" x14ac:dyDescent="0.25">
      <c r="A280" s="1"/>
      <c r="B280" s="1"/>
      <c r="C280" s="1"/>
      <c r="D280" s="1"/>
      <c r="E280" s="1"/>
      <c r="F280" s="1"/>
      <c r="G280" s="1"/>
      <c r="H280" s="1" t="s">
        <v>585</v>
      </c>
      <c r="I280" s="1"/>
      <c r="J280" s="1"/>
      <c r="K280" s="1"/>
      <c r="L280" s="1"/>
      <c r="M280" s="1"/>
      <c r="N280" s="1"/>
      <c r="O280" s="1"/>
      <c r="P280" s="1"/>
      <c r="Q280" s="1"/>
    </row>
    <row r="281" spans="1:17" x14ac:dyDescent="0.25">
      <c r="A281" s="1"/>
      <c r="B281" s="1"/>
      <c r="C281" s="1"/>
      <c r="D281" s="1"/>
      <c r="E281" s="1"/>
      <c r="F281" s="1"/>
      <c r="G281" s="1"/>
      <c r="H281" s="1" t="s">
        <v>585</v>
      </c>
      <c r="I281" s="1"/>
      <c r="J281" s="1"/>
      <c r="K281" s="1"/>
      <c r="L281" s="1"/>
      <c r="M281" s="1"/>
      <c r="N281" s="1"/>
      <c r="O281" s="1"/>
      <c r="P281" s="1"/>
      <c r="Q281" s="1"/>
    </row>
    <row r="282" spans="1:17" x14ac:dyDescent="0.25">
      <c r="A282" s="1"/>
      <c r="B282" s="1"/>
      <c r="C282" s="1"/>
      <c r="D282" s="1"/>
      <c r="E282" s="1"/>
      <c r="F282" s="1"/>
      <c r="G282" s="1"/>
      <c r="H282" s="1" t="s">
        <v>585</v>
      </c>
      <c r="I282" s="1"/>
      <c r="J282" s="1"/>
      <c r="K282" s="1"/>
      <c r="L282" s="1"/>
      <c r="M282" s="1"/>
      <c r="N282" s="1"/>
      <c r="O282" s="1"/>
      <c r="P282" s="1"/>
      <c r="Q282" s="1"/>
    </row>
    <row r="283" spans="1:17" x14ac:dyDescent="0.25">
      <c r="A283" s="1"/>
      <c r="B283" s="1"/>
      <c r="C283" s="1"/>
      <c r="D283" s="1"/>
      <c r="E283" s="1"/>
      <c r="F283" s="1"/>
      <c r="G283" s="1"/>
      <c r="H283" s="1" t="s">
        <v>585</v>
      </c>
      <c r="I283" s="1"/>
      <c r="J283" s="1"/>
      <c r="K283" s="1"/>
      <c r="L283" s="1"/>
      <c r="M283" s="1"/>
      <c r="N283" s="1"/>
      <c r="O283" s="1"/>
      <c r="P283" s="1"/>
      <c r="Q283" s="1"/>
    </row>
    <row r="284" spans="1:17" x14ac:dyDescent="0.25">
      <c r="A284" s="1"/>
      <c r="B284" s="1"/>
      <c r="C284" s="1"/>
      <c r="D284" s="1"/>
      <c r="E284" s="1"/>
      <c r="F284" s="1"/>
      <c r="G284" s="1"/>
      <c r="H284" s="1" t="s">
        <v>585</v>
      </c>
      <c r="I284" s="1"/>
      <c r="J284" s="1"/>
      <c r="K284" s="1"/>
      <c r="L284" s="1"/>
      <c r="M284" s="1"/>
      <c r="N284" s="1"/>
      <c r="O284" s="1"/>
      <c r="P284" s="1"/>
      <c r="Q284" s="1"/>
    </row>
    <row r="285" spans="1:17" x14ac:dyDescent="0.25">
      <c r="A285" s="1"/>
      <c r="B285" s="1"/>
      <c r="C285" s="1"/>
      <c r="D285" s="1"/>
      <c r="E285" s="1"/>
      <c r="F285" s="1"/>
      <c r="G285" s="1"/>
      <c r="H285" s="1" t="s">
        <v>585</v>
      </c>
      <c r="I285" s="1"/>
      <c r="J285" s="1"/>
      <c r="K285" s="1"/>
      <c r="L285" s="1"/>
      <c r="M285" s="1"/>
      <c r="N285" s="1"/>
      <c r="O285" s="1"/>
      <c r="P285" s="1"/>
      <c r="Q285" s="1"/>
    </row>
    <row r="286" spans="1:17" x14ac:dyDescent="0.25">
      <c r="A286" s="1"/>
      <c r="B286" s="1"/>
      <c r="C286" s="1"/>
      <c r="D286" s="1"/>
      <c r="E286" s="1"/>
      <c r="F286" s="1"/>
      <c r="G286" s="1"/>
      <c r="H286" s="1" t="s">
        <v>585</v>
      </c>
      <c r="I286" s="1"/>
      <c r="J286" s="1"/>
      <c r="K286" s="1"/>
      <c r="L286" s="1"/>
      <c r="M286" s="1"/>
      <c r="N286" s="1"/>
      <c r="O286" s="1"/>
      <c r="P286" s="1"/>
      <c r="Q286" s="1"/>
    </row>
    <row r="287" spans="1:17" x14ac:dyDescent="0.25">
      <c r="A287" s="1"/>
      <c r="B287" s="1"/>
      <c r="C287" s="1"/>
      <c r="D287" s="1"/>
      <c r="E287" s="1"/>
      <c r="F287" s="1"/>
      <c r="G287" s="1"/>
      <c r="H287" s="1" t="s">
        <v>585</v>
      </c>
      <c r="I287" s="1"/>
      <c r="J287" s="1"/>
      <c r="K287" s="1"/>
      <c r="L287" s="1"/>
      <c r="M287" s="1"/>
      <c r="N287" s="1"/>
      <c r="O287" s="1"/>
      <c r="P287" s="1"/>
      <c r="Q287" s="1"/>
    </row>
    <row r="288" spans="1:17" x14ac:dyDescent="0.25">
      <c r="A288" s="1"/>
      <c r="B288" s="1"/>
      <c r="C288" s="1"/>
      <c r="D288" s="1"/>
      <c r="E288" s="1"/>
      <c r="F288" s="1"/>
      <c r="G288" s="1"/>
      <c r="H288" s="1" t="s">
        <v>585</v>
      </c>
      <c r="I288" s="1"/>
      <c r="J288" s="1"/>
      <c r="K288" s="1"/>
      <c r="L288" s="1"/>
      <c r="M288" s="1"/>
      <c r="N288" s="1"/>
      <c r="O288" s="1"/>
      <c r="P288" s="1"/>
      <c r="Q288" s="1"/>
    </row>
    <row r="289" spans="1:17" x14ac:dyDescent="0.25">
      <c r="A289" s="1"/>
      <c r="B289" s="1"/>
      <c r="C289" s="1"/>
      <c r="D289" s="1"/>
      <c r="E289" s="1"/>
      <c r="F289" s="1"/>
      <c r="G289" s="1"/>
      <c r="H289" s="1" t="s">
        <v>585</v>
      </c>
      <c r="I289" s="1"/>
      <c r="J289" s="1"/>
      <c r="K289" s="1"/>
      <c r="L289" s="1"/>
      <c r="M289" s="1"/>
      <c r="N289" s="1"/>
      <c r="O289" s="1"/>
      <c r="P289" s="1"/>
      <c r="Q289" s="1"/>
    </row>
    <row r="290" spans="1:17" x14ac:dyDescent="0.25">
      <c r="A290" s="1"/>
      <c r="B290" s="1"/>
      <c r="C290" s="1"/>
      <c r="D290" s="1"/>
      <c r="E290" s="1"/>
      <c r="F290" s="1"/>
      <c r="G290" s="1"/>
      <c r="H290" s="1" t="s">
        <v>585</v>
      </c>
      <c r="I290" s="1"/>
      <c r="J290" s="1"/>
      <c r="K290" s="1"/>
      <c r="L290" s="1"/>
      <c r="M290" s="1"/>
      <c r="N290" s="1"/>
      <c r="O290" s="1"/>
      <c r="P290" s="1"/>
      <c r="Q290" s="1"/>
    </row>
    <row r="291" spans="1:17" x14ac:dyDescent="0.25">
      <c r="A291" s="1"/>
      <c r="B291" s="1"/>
      <c r="C291" s="1"/>
      <c r="D291" s="1"/>
      <c r="E291" s="1"/>
      <c r="F291" s="1"/>
      <c r="G291" s="1"/>
      <c r="H291" s="1" t="s">
        <v>585</v>
      </c>
      <c r="I291" s="1"/>
      <c r="J291" s="1"/>
      <c r="K291" s="1"/>
      <c r="L291" s="1"/>
      <c r="M291" s="1"/>
      <c r="N291" s="1"/>
      <c r="O291" s="1"/>
      <c r="P291" s="1"/>
      <c r="Q291" s="1"/>
    </row>
    <row r="292" spans="1:17" x14ac:dyDescent="0.25">
      <c r="A292" s="1"/>
      <c r="B292" s="1"/>
      <c r="C292" s="1"/>
      <c r="D292" s="1"/>
      <c r="E292" s="1"/>
      <c r="F292" s="1"/>
      <c r="G292" s="1"/>
      <c r="H292" s="1" t="s">
        <v>585</v>
      </c>
      <c r="I292" s="1"/>
      <c r="J292" s="1"/>
      <c r="K292" s="1"/>
      <c r="L292" s="1"/>
      <c r="M292" s="1"/>
      <c r="N292" s="1"/>
      <c r="O292" s="1"/>
      <c r="P292" s="1"/>
      <c r="Q292" s="1"/>
    </row>
    <row r="293" spans="1:17" x14ac:dyDescent="0.25">
      <c r="A293" s="1"/>
      <c r="B293" s="1"/>
      <c r="C293" s="1"/>
      <c r="D293" s="1"/>
      <c r="E293" s="1"/>
      <c r="F293" s="1"/>
      <c r="G293" s="1"/>
      <c r="H293" s="1" t="s">
        <v>585</v>
      </c>
      <c r="I293" s="1"/>
      <c r="J293" s="1"/>
      <c r="K293" s="1"/>
      <c r="L293" s="1"/>
      <c r="M293" s="1"/>
      <c r="N293" s="1"/>
      <c r="O293" s="1"/>
      <c r="P293" s="1"/>
      <c r="Q293" s="1"/>
    </row>
    <row r="294" spans="1:17" x14ac:dyDescent="0.25">
      <c r="A294" s="1"/>
      <c r="B294" s="1"/>
      <c r="C294" s="1"/>
      <c r="D294" s="1"/>
      <c r="E294" s="1"/>
      <c r="F294" s="1"/>
      <c r="G294" s="1"/>
      <c r="H294" s="1" t="s">
        <v>585</v>
      </c>
      <c r="I294" s="1"/>
      <c r="J294" s="1"/>
      <c r="K294" s="1"/>
      <c r="L294" s="1"/>
      <c r="M294" s="1"/>
      <c r="N294" s="1"/>
      <c r="O294" s="1"/>
      <c r="P294" s="1"/>
      <c r="Q294" s="1"/>
    </row>
    <row r="295" spans="1:17" x14ac:dyDescent="0.25">
      <c r="A295" s="1"/>
      <c r="B295" s="1"/>
      <c r="C295" s="1"/>
      <c r="D295" s="1"/>
      <c r="E295" s="1"/>
      <c r="F295" s="1"/>
      <c r="G295" s="1"/>
      <c r="H295" s="1" t="s">
        <v>585</v>
      </c>
      <c r="I295" s="1"/>
      <c r="J295" s="1"/>
      <c r="K295" s="1"/>
      <c r="L295" s="1"/>
      <c r="M295" s="1"/>
      <c r="N295" s="1"/>
      <c r="O295" s="1"/>
      <c r="P295" s="1"/>
      <c r="Q295" s="1"/>
    </row>
    <row r="296" spans="1:17" x14ac:dyDescent="0.25">
      <c r="A296" s="1"/>
      <c r="B296" s="1"/>
      <c r="C296" s="1"/>
      <c r="D296" s="1"/>
      <c r="E296" s="1"/>
      <c r="F296" s="1"/>
      <c r="G296" s="1"/>
      <c r="H296" s="1" t="s">
        <v>585</v>
      </c>
      <c r="I296" s="1"/>
      <c r="J296" s="1"/>
      <c r="K296" s="1"/>
      <c r="L296" s="1"/>
      <c r="M296" s="1"/>
      <c r="N296" s="1"/>
      <c r="O296" s="1"/>
      <c r="P296" s="1"/>
      <c r="Q296" s="1"/>
    </row>
    <row r="297" spans="1:17" x14ac:dyDescent="0.25">
      <c r="A297" s="1"/>
      <c r="B297" s="1"/>
      <c r="C297" s="1"/>
      <c r="D297" s="1"/>
      <c r="E297" s="1"/>
      <c r="F297" s="1"/>
      <c r="G297" s="1"/>
      <c r="H297" s="1" t="s">
        <v>585</v>
      </c>
      <c r="I297" s="1"/>
      <c r="J297" s="1"/>
      <c r="K297" s="1"/>
      <c r="L297" s="1"/>
      <c r="M297" s="1"/>
      <c r="N297" s="1"/>
      <c r="O297" s="1"/>
      <c r="P297" s="1"/>
      <c r="Q297" s="1"/>
    </row>
    <row r="298" spans="1:17" x14ac:dyDescent="0.25">
      <c r="A298" s="1"/>
      <c r="B298" s="1"/>
      <c r="C298" s="1"/>
      <c r="D298" s="1"/>
      <c r="E298" s="1"/>
      <c r="F298" s="1"/>
      <c r="G298" s="1"/>
      <c r="H298" s="1" t="s">
        <v>585</v>
      </c>
      <c r="I298" s="1"/>
      <c r="J298" s="1"/>
      <c r="K298" s="1"/>
      <c r="L298" s="1"/>
      <c r="M298" s="1"/>
      <c r="N298" s="1"/>
      <c r="O298" s="1"/>
      <c r="P298" s="1"/>
      <c r="Q298" s="1"/>
    </row>
    <row r="299" spans="1:17" x14ac:dyDescent="0.25">
      <c r="A299" s="1"/>
      <c r="B299" s="1"/>
      <c r="C299" s="1"/>
      <c r="D299" s="1"/>
      <c r="E299" s="1"/>
      <c r="F299" s="1"/>
      <c r="G299" s="1"/>
      <c r="H299" s="1" t="s">
        <v>585</v>
      </c>
      <c r="I299" s="1"/>
      <c r="J299" s="1"/>
      <c r="K299" s="1"/>
      <c r="L299" s="1"/>
      <c r="M299" s="1"/>
      <c r="N299" s="1"/>
      <c r="O299" s="1"/>
      <c r="P299" s="1"/>
      <c r="Q299" s="1"/>
    </row>
    <row r="300" spans="1:17" x14ac:dyDescent="0.25">
      <c r="A300" s="1"/>
      <c r="B300" s="1"/>
      <c r="C300" s="1"/>
      <c r="D300" s="1"/>
      <c r="E300" s="1"/>
      <c r="F300" s="1"/>
      <c r="G300" s="1"/>
      <c r="H300" s="1" t="s">
        <v>585</v>
      </c>
      <c r="I300" s="1"/>
      <c r="J300" s="1"/>
      <c r="K300" s="1"/>
      <c r="L300" s="1"/>
      <c r="M300" s="1"/>
      <c r="N300" s="1"/>
      <c r="O300" s="1"/>
      <c r="P300" s="1"/>
      <c r="Q300" s="1"/>
    </row>
    <row r="301" spans="1:17" x14ac:dyDescent="0.25">
      <c r="A301" s="1"/>
      <c r="B301" s="1"/>
      <c r="C301" s="1"/>
      <c r="D301" s="1"/>
      <c r="E301" s="1"/>
      <c r="F301" s="1"/>
      <c r="G301" s="1"/>
      <c r="H301" s="1" t="s">
        <v>585</v>
      </c>
      <c r="I301" s="1"/>
      <c r="J301" s="1"/>
      <c r="K301" s="1"/>
      <c r="L301" s="1"/>
      <c r="M301" s="1"/>
      <c r="N301" s="1"/>
      <c r="O301" s="1"/>
      <c r="P301" s="1"/>
      <c r="Q301" s="1"/>
    </row>
    <row r="302" spans="1:17" x14ac:dyDescent="0.25">
      <c r="A302" s="1"/>
      <c r="B302" s="1"/>
      <c r="C302" s="1"/>
      <c r="D302" s="1"/>
      <c r="E302" s="1"/>
      <c r="F302" s="1"/>
      <c r="G302" s="1"/>
      <c r="H302" s="1" t="s">
        <v>585</v>
      </c>
      <c r="I302" s="1"/>
      <c r="J302" s="1"/>
      <c r="K302" s="1"/>
      <c r="L302" s="1"/>
      <c r="M302" s="1"/>
      <c r="N302" s="1"/>
      <c r="O302" s="1"/>
      <c r="P302" s="1"/>
      <c r="Q302" s="1"/>
    </row>
    <row r="303" spans="1:17" x14ac:dyDescent="0.25">
      <c r="A303" s="1"/>
      <c r="B303" s="1"/>
      <c r="C303" s="1"/>
      <c r="D303" s="1"/>
      <c r="E303" s="1"/>
      <c r="F303" s="1"/>
      <c r="G303" s="1"/>
      <c r="H303" s="1" t="s">
        <v>585</v>
      </c>
      <c r="I303" s="1"/>
      <c r="J303" s="1"/>
      <c r="K303" s="1"/>
      <c r="L303" s="1"/>
      <c r="M303" s="1"/>
      <c r="N303" s="1"/>
      <c r="O303" s="1"/>
      <c r="P303" s="1"/>
      <c r="Q303" s="1"/>
    </row>
    <row r="304" spans="1:17" x14ac:dyDescent="0.25">
      <c r="A304" s="1"/>
      <c r="B304" s="1"/>
      <c r="C304" s="1"/>
      <c r="D304" s="1"/>
      <c r="E304" s="1"/>
      <c r="F304" s="1"/>
      <c r="G304" s="1"/>
      <c r="H304" s="1" t="s">
        <v>585</v>
      </c>
      <c r="I304" s="1"/>
      <c r="J304" s="1"/>
      <c r="K304" s="1"/>
      <c r="L304" s="1"/>
      <c r="M304" s="1"/>
      <c r="N304" s="1"/>
      <c r="O304" s="1"/>
      <c r="P304" s="1"/>
      <c r="Q304" s="1"/>
    </row>
    <row r="305" spans="1:17" x14ac:dyDescent="0.25">
      <c r="A305" s="1"/>
      <c r="B305" s="1"/>
      <c r="C305" s="1"/>
      <c r="D305" s="1"/>
      <c r="E305" s="1"/>
      <c r="F305" s="1"/>
      <c r="G305" s="1"/>
      <c r="H305" s="1" t="s">
        <v>585</v>
      </c>
      <c r="I305" s="1"/>
      <c r="J305" s="1"/>
      <c r="K305" s="1"/>
      <c r="L305" s="1"/>
      <c r="M305" s="1"/>
      <c r="N305" s="1"/>
      <c r="O305" s="1"/>
      <c r="P305" s="1"/>
      <c r="Q305" s="1"/>
    </row>
    <row r="306" spans="1:17" x14ac:dyDescent="0.25">
      <c r="A306" s="1"/>
      <c r="B306" s="1"/>
      <c r="C306" s="1"/>
      <c r="D306" s="1"/>
      <c r="E306" s="1"/>
      <c r="F306" s="1"/>
      <c r="G306" s="1"/>
      <c r="H306" s="1" t="s">
        <v>585</v>
      </c>
      <c r="I306" s="1"/>
      <c r="J306" s="1"/>
      <c r="K306" s="1"/>
      <c r="L306" s="1"/>
      <c r="M306" s="1"/>
      <c r="N306" s="1"/>
      <c r="O306" s="1"/>
      <c r="P306" s="1"/>
      <c r="Q306" s="1"/>
    </row>
    <row r="307" spans="1:17" x14ac:dyDescent="0.25">
      <c r="A307" s="1"/>
      <c r="B307" s="1"/>
      <c r="C307" s="1"/>
      <c r="D307" s="1"/>
      <c r="E307" s="1"/>
      <c r="F307" s="1"/>
      <c r="G307" s="1"/>
      <c r="H307" s="1" t="s">
        <v>585</v>
      </c>
      <c r="I307" s="1"/>
      <c r="J307" s="1"/>
      <c r="K307" s="1"/>
      <c r="L307" s="1"/>
      <c r="M307" s="1"/>
      <c r="N307" s="1"/>
      <c r="O307" s="1"/>
      <c r="P307" s="1"/>
      <c r="Q307" s="1"/>
    </row>
    <row r="308" spans="1:17" x14ac:dyDescent="0.25">
      <c r="A308" s="1"/>
      <c r="B308" s="1"/>
      <c r="C308" s="1"/>
      <c r="D308" s="1"/>
      <c r="E308" s="1"/>
      <c r="F308" s="1"/>
      <c r="G308" s="1"/>
      <c r="H308" s="1" t="s">
        <v>585</v>
      </c>
      <c r="I308" s="1"/>
      <c r="J308" s="1"/>
      <c r="K308" s="1"/>
      <c r="L308" s="1"/>
      <c r="M308" s="1"/>
      <c r="N308" s="1"/>
      <c r="O308" s="1"/>
      <c r="P308" s="1"/>
      <c r="Q308" s="1"/>
    </row>
    <row r="309" spans="1:17" x14ac:dyDescent="0.25">
      <c r="A309" s="1"/>
      <c r="B309" s="1"/>
      <c r="C309" s="1"/>
      <c r="D309" s="1"/>
      <c r="E309" s="1"/>
      <c r="F309" s="1"/>
      <c r="G309" s="1"/>
      <c r="H309" s="1" t="s">
        <v>585</v>
      </c>
      <c r="I309" s="1"/>
      <c r="J309" s="1"/>
      <c r="K309" s="1"/>
      <c r="L309" s="1"/>
      <c r="M309" s="1"/>
      <c r="N309" s="1"/>
      <c r="O309" s="1"/>
      <c r="P309" s="1"/>
      <c r="Q309" s="1"/>
    </row>
    <row r="310" spans="1:17" x14ac:dyDescent="0.25">
      <c r="A310" s="1"/>
      <c r="B310" s="1"/>
      <c r="C310" s="1"/>
      <c r="D310" s="1"/>
      <c r="E310" s="1"/>
      <c r="F310" s="1"/>
      <c r="G310" s="1"/>
      <c r="H310" s="1" t="s">
        <v>585</v>
      </c>
      <c r="I310" s="1"/>
      <c r="J310" s="1"/>
      <c r="K310" s="1"/>
      <c r="L310" s="1"/>
      <c r="M310" s="1"/>
      <c r="N310" s="1"/>
      <c r="O310" s="1"/>
      <c r="P310" s="1"/>
      <c r="Q310" s="1"/>
    </row>
    <row r="311" spans="1:17" x14ac:dyDescent="0.25">
      <c r="A311" s="1"/>
      <c r="B311" s="1"/>
      <c r="C311" s="1"/>
      <c r="D311" s="1"/>
      <c r="E311" s="1"/>
      <c r="F311" s="1"/>
      <c r="G311" s="1"/>
      <c r="H311" s="1" t="s">
        <v>585</v>
      </c>
      <c r="I311" s="1"/>
      <c r="J311" s="1"/>
      <c r="K311" s="1"/>
      <c r="L311" s="1"/>
      <c r="M311" s="1"/>
      <c r="N311" s="1"/>
      <c r="O311" s="1"/>
      <c r="P311" s="1"/>
      <c r="Q311" s="1"/>
    </row>
    <row r="312" spans="1:17" x14ac:dyDescent="0.25">
      <c r="A312" s="1"/>
      <c r="B312" s="1"/>
      <c r="C312" s="1"/>
      <c r="D312" s="1"/>
      <c r="E312" s="1"/>
      <c r="F312" s="1"/>
      <c r="G312" s="1"/>
      <c r="H312" s="1" t="s">
        <v>585</v>
      </c>
      <c r="I312" s="1"/>
      <c r="J312" s="1"/>
      <c r="K312" s="1"/>
      <c r="L312" s="1"/>
      <c r="M312" s="1"/>
      <c r="N312" s="1"/>
      <c r="O312" s="1"/>
      <c r="P312" s="1"/>
      <c r="Q312" s="1"/>
    </row>
    <row r="313" spans="1:17" x14ac:dyDescent="0.25">
      <c r="A313" s="1"/>
      <c r="B313" s="1"/>
      <c r="C313" s="1"/>
      <c r="D313" s="1"/>
      <c r="E313" s="1"/>
      <c r="F313" s="1"/>
      <c r="G313" s="1"/>
      <c r="H313" s="1" t="s">
        <v>585</v>
      </c>
      <c r="I313" s="1"/>
      <c r="J313" s="1"/>
      <c r="K313" s="1"/>
      <c r="L313" s="1"/>
      <c r="M313" s="1"/>
      <c r="N313" s="1"/>
      <c r="O313" s="1"/>
      <c r="P313" s="1"/>
      <c r="Q313" s="1"/>
    </row>
    <row r="314" spans="1:17" x14ac:dyDescent="0.25">
      <c r="A314" s="1"/>
      <c r="B314" s="1"/>
      <c r="C314" s="1"/>
      <c r="D314" s="1"/>
      <c r="E314" s="1"/>
      <c r="F314" s="1"/>
      <c r="G314" s="1"/>
      <c r="H314" s="1" t="s">
        <v>585</v>
      </c>
      <c r="I314" s="1"/>
      <c r="J314" s="1"/>
      <c r="K314" s="1"/>
      <c r="L314" s="1"/>
      <c r="M314" s="1"/>
      <c r="N314" s="1"/>
      <c r="O314" s="1"/>
      <c r="P314" s="1"/>
      <c r="Q314" s="1"/>
    </row>
    <row r="315" spans="1:17" x14ac:dyDescent="0.25">
      <c r="A315" s="1"/>
      <c r="B315" s="1"/>
      <c r="C315" s="1"/>
      <c r="D315" s="1"/>
      <c r="E315" s="1"/>
      <c r="F315" s="1"/>
      <c r="G315" s="1"/>
      <c r="H315" s="1" t="s">
        <v>585</v>
      </c>
      <c r="I315" s="1"/>
      <c r="J315" s="1"/>
      <c r="K315" s="1"/>
      <c r="L315" s="1"/>
      <c r="M315" s="1"/>
      <c r="N315" s="1"/>
      <c r="O315" s="1"/>
      <c r="P315" s="1"/>
      <c r="Q315" s="1"/>
    </row>
    <row r="316" spans="1:17" x14ac:dyDescent="0.25">
      <c r="A316" s="1"/>
      <c r="B316" s="1"/>
      <c r="C316" s="1"/>
      <c r="D316" s="1"/>
      <c r="E316" s="1"/>
      <c r="F316" s="1"/>
      <c r="G316" s="1"/>
      <c r="H316" s="1" t="s">
        <v>585</v>
      </c>
      <c r="I316" s="1"/>
      <c r="J316" s="1"/>
      <c r="K316" s="1"/>
      <c r="L316" s="1"/>
      <c r="M316" s="1"/>
      <c r="N316" s="1"/>
      <c r="O316" s="1"/>
      <c r="P316" s="1"/>
      <c r="Q316" s="1"/>
    </row>
    <row r="317" spans="1:17" x14ac:dyDescent="0.25">
      <c r="A317" s="1"/>
      <c r="B317" s="1"/>
      <c r="C317" s="1"/>
      <c r="D317" s="1"/>
      <c r="E317" s="1"/>
      <c r="F317" s="1"/>
      <c r="G317" s="1"/>
      <c r="H317" s="1" t="s">
        <v>585</v>
      </c>
      <c r="I317" s="1"/>
      <c r="J317" s="1"/>
      <c r="K317" s="1"/>
      <c r="L317" s="1"/>
      <c r="M317" s="1"/>
      <c r="N317" s="1"/>
      <c r="O317" s="1"/>
      <c r="P317" s="1"/>
      <c r="Q317" s="1"/>
    </row>
    <row r="318" spans="1:17" x14ac:dyDescent="0.25">
      <c r="A318" s="1"/>
      <c r="B318" s="1"/>
      <c r="C318" s="1"/>
      <c r="D318" s="1"/>
      <c r="E318" s="1"/>
      <c r="F318" s="1"/>
      <c r="G318" s="1"/>
      <c r="H318" s="1" t="s">
        <v>585</v>
      </c>
      <c r="I318" s="1"/>
      <c r="J318" s="1"/>
      <c r="K318" s="1"/>
      <c r="L318" s="1"/>
      <c r="M318" s="1"/>
      <c r="N318" s="1"/>
      <c r="O318" s="1"/>
      <c r="P318" s="1"/>
      <c r="Q318" s="1"/>
    </row>
    <row r="319" spans="1:17" x14ac:dyDescent="0.25">
      <c r="A319" s="1"/>
      <c r="B319" s="1"/>
      <c r="C319" s="1"/>
      <c r="D319" s="1"/>
      <c r="E319" s="1"/>
      <c r="F319" s="1"/>
      <c r="G319" s="1"/>
      <c r="H319" s="1" t="s">
        <v>585</v>
      </c>
      <c r="I319" s="1"/>
      <c r="J319" s="1"/>
      <c r="K319" s="1"/>
      <c r="L319" s="1"/>
      <c r="M319" s="1"/>
      <c r="N319" s="1"/>
      <c r="O319" s="1"/>
      <c r="P319" s="1"/>
      <c r="Q319" s="1"/>
    </row>
    <row r="320" spans="1:17" x14ac:dyDescent="0.25">
      <c r="A320" s="1"/>
      <c r="B320" s="1"/>
      <c r="C320" s="1"/>
      <c r="D320" s="1"/>
      <c r="E320" s="1"/>
      <c r="F320" s="1"/>
      <c r="G320" s="1"/>
      <c r="H320" s="1" t="s">
        <v>585</v>
      </c>
      <c r="I320" s="1"/>
      <c r="J320" s="1"/>
      <c r="K320" s="1"/>
      <c r="L320" s="1"/>
      <c r="M320" s="1"/>
      <c r="N320" s="1"/>
      <c r="O320" s="1"/>
      <c r="P320" s="1"/>
      <c r="Q320" s="1"/>
    </row>
    <row r="321" spans="1:17" x14ac:dyDescent="0.25">
      <c r="A321" s="1"/>
      <c r="B321" s="1"/>
      <c r="C321" s="1"/>
      <c r="D321" s="1"/>
      <c r="E321" s="1"/>
      <c r="F321" s="1"/>
      <c r="G321" s="1"/>
      <c r="H321" s="1" t="s">
        <v>585</v>
      </c>
      <c r="I321" s="1"/>
      <c r="J321" s="1"/>
      <c r="K321" s="1"/>
      <c r="L321" s="1"/>
      <c r="M321" s="1"/>
      <c r="N321" s="1"/>
      <c r="O321" s="1"/>
      <c r="P321" s="1"/>
      <c r="Q321" s="1"/>
    </row>
    <row r="322" spans="1:17" x14ac:dyDescent="0.25">
      <c r="A322" s="1"/>
      <c r="B322" s="1"/>
      <c r="C322" s="1"/>
      <c r="D322" s="1"/>
      <c r="E322" s="1"/>
      <c r="F322" s="1"/>
      <c r="G322" s="1"/>
      <c r="H322" s="1" t="s">
        <v>585</v>
      </c>
      <c r="I322" s="1"/>
      <c r="J322" s="1"/>
      <c r="K322" s="1"/>
      <c r="L322" s="1"/>
      <c r="M322" s="1"/>
      <c r="N322" s="1"/>
      <c r="O322" s="1"/>
      <c r="P322" s="1"/>
      <c r="Q322" s="1"/>
    </row>
    <row r="323" spans="1:17" x14ac:dyDescent="0.25">
      <c r="A323" s="1"/>
      <c r="B323" s="1"/>
      <c r="C323" s="1"/>
      <c r="D323" s="1"/>
      <c r="E323" s="1"/>
      <c r="F323" s="1"/>
      <c r="G323" s="1"/>
      <c r="H323" s="1" t="s">
        <v>585</v>
      </c>
      <c r="I323" s="1"/>
      <c r="J323" s="1"/>
      <c r="K323" s="1"/>
      <c r="L323" s="1"/>
      <c r="M323" s="1"/>
      <c r="N323" s="1"/>
      <c r="O323" s="1"/>
      <c r="P323" s="1"/>
      <c r="Q323" s="1"/>
    </row>
    <row r="324" spans="1:17" x14ac:dyDescent="0.25">
      <c r="A324" s="1"/>
      <c r="B324" s="1"/>
      <c r="C324" s="1"/>
      <c r="D324" s="1"/>
      <c r="E324" s="1"/>
      <c r="F324" s="1"/>
      <c r="G324" s="1"/>
      <c r="H324" s="1" t="s">
        <v>585</v>
      </c>
      <c r="I324" s="1"/>
      <c r="J324" s="1"/>
      <c r="K324" s="1"/>
      <c r="L324" s="1"/>
      <c r="M324" s="1"/>
      <c r="N324" s="1"/>
      <c r="O324" s="1"/>
      <c r="P324" s="1"/>
      <c r="Q324" s="1"/>
    </row>
    <row r="325" spans="1:17" x14ac:dyDescent="0.25">
      <c r="A325" s="1"/>
      <c r="B325" s="1"/>
      <c r="C325" s="1"/>
      <c r="D325" s="1"/>
      <c r="E325" s="1"/>
      <c r="F325" s="1"/>
      <c r="G325" s="1"/>
      <c r="H325" s="1" t="s">
        <v>585</v>
      </c>
      <c r="I325" s="1"/>
      <c r="J325" s="1"/>
      <c r="K325" s="1"/>
      <c r="L325" s="1"/>
      <c r="M325" s="1"/>
      <c r="N325" s="1"/>
      <c r="O325" s="1"/>
      <c r="P325" s="1"/>
      <c r="Q325" s="1"/>
    </row>
    <row r="326" spans="1:17" x14ac:dyDescent="0.25">
      <c r="A326" s="1"/>
      <c r="B326" s="1"/>
      <c r="C326" s="1"/>
      <c r="D326" s="1"/>
      <c r="E326" s="1"/>
      <c r="F326" s="1"/>
      <c r="G326" s="1"/>
      <c r="H326" s="1" t="s">
        <v>585</v>
      </c>
      <c r="I326" s="1"/>
      <c r="J326" s="1"/>
      <c r="K326" s="1"/>
      <c r="L326" s="1"/>
      <c r="M326" s="1"/>
      <c r="N326" s="1"/>
      <c r="O326" s="1"/>
      <c r="P326" s="1"/>
      <c r="Q326" s="1"/>
    </row>
    <row r="327" spans="1:17" x14ac:dyDescent="0.25">
      <c r="A327" s="1"/>
      <c r="B327" s="1"/>
      <c r="C327" s="1"/>
      <c r="D327" s="1"/>
      <c r="E327" s="1"/>
      <c r="F327" s="1"/>
      <c r="G327" s="1"/>
      <c r="H327" s="1" t="s">
        <v>585</v>
      </c>
      <c r="I327" s="1"/>
      <c r="J327" s="1"/>
      <c r="K327" s="1"/>
      <c r="L327" s="1"/>
      <c r="M327" s="1"/>
      <c r="N327" s="1"/>
      <c r="O327" s="1"/>
      <c r="P327" s="1"/>
      <c r="Q327" s="1"/>
    </row>
    <row r="328" spans="1:17" x14ac:dyDescent="0.25">
      <c r="A328" s="1"/>
      <c r="B328" s="1"/>
      <c r="C328" s="1"/>
      <c r="D328" s="1"/>
      <c r="E328" s="1"/>
      <c r="F328" s="1"/>
      <c r="G328" s="1"/>
      <c r="H328" s="1" t="s">
        <v>585</v>
      </c>
      <c r="I328" s="1"/>
      <c r="J328" s="1"/>
      <c r="K328" s="1"/>
      <c r="L328" s="1"/>
      <c r="M328" s="1"/>
      <c r="N328" s="1"/>
      <c r="O328" s="1"/>
      <c r="P328" s="1"/>
      <c r="Q328" s="1"/>
    </row>
    <row r="329" spans="1:17" x14ac:dyDescent="0.25">
      <c r="A329" s="1"/>
      <c r="B329" s="1"/>
      <c r="C329" s="1"/>
      <c r="D329" s="1"/>
      <c r="E329" s="1"/>
      <c r="F329" s="1"/>
      <c r="G329" s="1"/>
      <c r="H329" s="1" t="s">
        <v>585</v>
      </c>
      <c r="I329" s="1"/>
      <c r="J329" s="1"/>
      <c r="K329" s="1"/>
      <c r="L329" s="1"/>
      <c r="M329" s="1"/>
      <c r="N329" s="1"/>
      <c r="O329" s="1"/>
      <c r="P329" s="1"/>
      <c r="Q329" s="1"/>
    </row>
    <row r="330" spans="1:17" x14ac:dyDescent="0.25">
      <c r="A330" s="1"/>
      <c r="B330" s="1"/>
      <c r="C330" s="1"/>
      <c r="D330" s="1"/>
      <c r="E330" s="1"/>
      <c r="F330" s="1"/>
      <c r="G330" s="1"/>
      <c r="H330" s="1" t="s">
        <v>585</v>
      </c>
      <c r="I330" s="1"/>
      <c r="J330" s="1"/>
      <c r="K330" s="1"/>
      <c r="L330" s="1"/>
      <c r="M330" s="1"/>
      <c r="N330" s="1"/>
      <c r="O330" s="1"/>
      <c r="P330" s="1"/>
      <c r="Q330" s="1"/>
    </row>
    <row r="331" spans="1:17" x14ac:dyDescent="0.25">
      <c r="A331" s="1"/>
      <c r="B331" s="1"/>
      <c r="C331" s="1"/>
      <c r="D331" s="1"/>
      <c r="E331" s="1"/>
      <c r="F331" s="1"/>
      <c r="G331" s="1"/>
      <c r="H331" s="1" t="s">
        <v>585</v>
      </c>
      <c r="I331" s="1"/>
      <c r="J331" s="1"/>
      <c r="K331" s="1"/>
      <c r="L331" s="1"/>
      <c r="M331" s="1"/>
      <c r="N331" s="1"/>
      <c r="O331" s="1"/>
      <c r="P331" s="1"/>
      <c r="Q331" s="1"/>
    </row>
    <row r="332" spans="1:17" x14ac:dyDescent="0.25">
      <c r="A332" s="1"/>
      <c r="B332" s="1"/>
      <c r="C332" s="1"/>
      <c r="D332" s="1"/>
      <c r="E332" s="1"/>
      <c r="F332" s="1"/>
      <c r="G332" s="1"/>
      <c r="H332" s="1" t="s">
        <v>585</v>
      </c>
      <c r="I332" s="1"/>
      <c r="J332" s="1"/>
      <c r="K332" s="1"/>
      <c r="L332" s="1"/>
      <c r="M332" s="1"/>
      <c r="N332" s="1"/>
      <c r="O332" s="1"/>
      <c r="P332" s="1"/>
      <c r="Q332" s="1"/>
    </row>
    <row r="333" spans="1:17" x14ac:dyDescent="0.25">
      <c r="A333" s="1"/>
      <c r="B333" s="1"/>
      <c r="C333" s="1"/>
      <c r="D333" s="1"/>
      <c r="E333" s="1"/>
      <c r="F333" s="1"/>
      <c r="G333" s="1"/>
      <c r="H333" s="1" t="s">
        <v>585</v>
      </c>
      <c r="I333" s="1"/>
      <c r="J333" s="1"/>
      <c r="K333" s="1"/>
      <c r="L333" s="1"/>
      <c r="M333" s="1"/>
      <c r="N333" s="1"/>
      <c r="O333" s="1"/>
      <c r="P333" s="1"/>
      <c r="Q333" s="1"/>
    </row>
    <row r="334" spans="1:17" x14ac:dyDescent="0.25">
      <c r="A334" s="1"/>
      <c r="B334" s="1"/>
      <c r="C334" s="1"/>
      <c r="D334" s="1"/>
      <c r="E334" s="1"/>
      <c r="F334" s="1"/>
      <c r="G334" s="1"/>
      <c r="H334" s="1" t="s">
        <v>585</v>
      </c>
      <c r="I334" s="1"/>
      <c r="J334" s="1"/>
      <c r="K334" s="1"/>
      <c r="L334" s="1"/>
      <c r="M334" s="1"/>
      <c r="N334" s="1"/>
      <c r="O334" s="1"/>
      <c r="P334" s="1"/>
      <c r="Q334" s="1"/>
    </row>
    <row r="335" spans="1:17" x14ac:dyDescent="0.25">
      <c r="A335" s="1"/>
      <c r="B335" s="1"/>
      <c r="C335" s="1"/>
      <c r="D335" s="1"/>
      <c r="E335" s="1"/>
      <c r="F335" s="1"/>
      <c r="G335" s="1"/>
      <c r="H335" s="1" t="s">
        <v>585</v>
      </c>
      <c r="I335" s="1"/>
      <c r="J335" s="1"/>
      <c r="K335" s="1"/>
      <c r="L335" s="1"/>
      <c r="M335" s="1"/>
      <c r="N335" s="1"/>
      <c r="O335" s="1"/>
      <c r="P335" s="1"/>
      <c r="Q335" s="1"/>
    </row>
    <row r="336" spans="1:17" x14ac:dyDescent="0.25">
      <c r="A336" s="1"/>
      <c r="B336" s="1"/>
      <c r="C336" s="1"/>
      <c r="D336" s="1"/>
      <c r="E336" s="1"/>
      <c r="F336" s="1"/>
      <c r="G336" s="1"/>
      <c r="H336" s="1" t="s">
        <v>585</v>
      </c>
      <c r="I336" s="1"/>
      <c r="J336" s="1"/>
      <c r="K336" s="1"/>
      <c r="L336" s="1"/>
      <c r="M336" s="1"/>
      <c r="N336" s="1"/>
      <c r="O336" s="1"/>
      <c r="P336" s="1"/>
      <c r="Q336" s="1"/>
    </row>
    <row r="337" spans="1:17" x14ac:dyDescent="0.25">
      <c r="A337" s="1"/>
      <c r="B337" s="1"/>
      <c r="C337" s="1"/>
      <c r="D337" s="1"/>
      <c r="E337" s="1"/>
      <c r="F337" s="1"/>
      <c r="G337" s="1"/>
      <c r="H337" s="1" t="s">
        <v>585</v>
      </c>
      <c r="I337" s="1"/>
      <c r="J337" s="1"/>
      <c r="K337" s="1"/>
      <c r="L337" s="1"/>
      <c r="M337" s="1"/>
      <c r="N337" s="1"/>
      <c r="O337" s="1"/>
      <c r="P337" s="1"/>
      <c r="Q337" s="1"/>
    </row>
    <row r="338" spans="1:17" x14ac:dyDescent="0.25">
      <c r="A338" s="1"/>
      <c r="B338" s="1"/>
      <c r="C338" s="1"/>
      <c r="D338" s="1"/>
      <c r="E338" s="1"/>
      <c r="F338" s="1"/>
      <c r="G338" s="1"/>
      <c r="H338" s="1" t="s">
        <v>585</v>
      </c>
      <c r="I338" s="1"/>
      <c r="J338" s="1"/>
      <c r="K338" s="1"/>
      <c r="L338" s="1"/>
      <c r="M338" s="1"/>
      <c r="N338" s="1"/>
      <c r="O338" s="1"/>
      <c r="P338" s="1"/>
      <c r="Q338" s="1"/>
    </row>
    <row r="339" spans="1:17" x14ac:dyDescent="0.25">
      <c r="A339" s="1"/>
      <c r="B339" s="1"/>
      <c r="C339" s="1"/>
      <c r="D339" s="1"/>
      <c r="E339" s="1"/>
      <c r="F339" s="1"/>
      <c r="G339" s="1"/>
      <c r="H339" s="1" t="s">
        <v>585</v>
      </c>
      <c r="I339" s="1"/>
      <c r="J339" s="1"/>
      <c r="K339" s="1"/>
      <c r="L339" s="1"/>
      <c r="M339" s="1"/>
      <c r="N339" s="1"/>
      <c r="O339" s="1"/>
      <c r="P339" s="1"/>
      <c r="Q339" s="1"/>
    </row>
    <row r="340" spans="1:17" x14ac:dyDescent="0.25">
      <c r="A340" s="1"/>
      <c r="B340" s="1"/>
      <c r="C340" s="1"/>
      <c r="D340" s="1"/>
      <c r="E340" s="1"/>
      <c r="F340" s="1"/>
      <c r="G340" s="1"/>
      <c r="H340" s="1" t="s">
        <v>585</v>
      </c>
      <c r="I340" s="1"/>
      <c r="J340" s="1"/>
      <c r="K340" s="1"/>
      <c r="L340" s="1"/>
      <c r="M340" s="1"/>
      <c r="N340" s="1"/>
      <c r="O340" s="1"/>
      <c r="P340" s="1"/>
      <c r="Q340" s="1"/>
    </row>
    <row r="341" spans="1:17" x14ac:dyDescent="0.25">
      <c r="A341" s="1"/>
      <c r="B341" s="1"/>
      <c r="C341" s="1"/>
      <c r="D341" s="1"/>
      <c r="E341" s="1"/>
      <c r="F341" s="1"/>
      <c r="G341" s="1"/>
      <c r="H341" s="1" t="s">
        <v>585</v>
      </c>
      <c r="I341" s="1"/>
      <c r="J341" s="1"/>
      <c r="K341" s="1"/>
      <c r="L341" s="1"/>
      <c r="M341" s="1"/>
      <c r="N341" s="1"/>
      <c r="O341" s="1"/>
      <c r="P341" s="1"/>
      <c r="Q341" s="1"/>
    </row>
    <row r="342" spans="1:17" x14ac:dyDescent="0.25">
      <c r="A342" s="1"/>
      <c r="B342" s="1"/>
      <c r="C342" s="1"/>
      <c r="D342" s="1"/>
      <c r="E342" s="1"/>
      <c r="F342" s="1"/>
      <c r="G342" s="1"/>
      <c r="H342" s="1" t="s">
        <v>585</v>
      </c>
      <c r="I342" s="1"/>
      <c r="J342" s="1"/>
      <c r="K342" s="1"/>
      <c r="L342" s="1"/>
      <c r="M342" s="1"/>
      <c r="N342" s="1"/>
      <c r="O342" s="1"/>
      <c r="P342" s="1"/>
      <c r="Q342" s="1"/>
    </row>
    <row r="343" spans="1:17" x14ac:dyDescent="0.25">
      <c r="A343" s="1"/>
      <c r="B343" s="1"/>
      <c r="C343" s="1"/>
      <c r="D343" s="1"/>
      <c r="E343" s="1"/>
      <c r="F343" s="1"/>
      <c r="G343" s="1"/>
      <c r="H343" s="1" t="s">
        <v>585</v>
      </c>
      <c r="I343" s="1"/>
      <c r="J343" s="1"/>
      <c r="K343" s="1"/>
      <c r="L343" s="1"/>
      <c r="M343" s="1"/>
      <c r="N343" s="1"/>
      <c r="O343" s="1"/>
      <c r="P343" s="1"/>
      <c r="Q343" s="1"/>
    </row>
    <row r="344" spans="1:17" x14ac:dyDescent="0.25">
      <c r="A344" s="1"/>
      <c r="B344" s="1"/>
      <c r="C344" s="1"/>
      <c r="D344" s="1"/>
      <c r="E344" s="1"/>
      <c r="F344" s="1"/>
      <c r="G344" s="1"/>
      <c r="H344" s="1" t="s">
        <v>585</v>
      </c>
      <c r="I344" s="1"/>
      <c r="J344" s="1"/>
      <c r="K344" s="1"/>
      <c r="L344" s="1"/>
      <c r="M344" s="1"/>
      <c r="N344" s="1"/>
      <c r="O344" s="1"/>
      <c r="P344" s="1"/>
      <c r="Q344" s="1"/>
    </row>
    <row r="345" spans="1:17" x14ac:dyDescent="0.25">
      <c r="A345" s="1"/>
      <c r="B345" s="1"/>
      <c r="C345" s="1"/>
      <c r="D345" s="1"/>
      <c r="E345" s="1"/>
      <c r="F345" s="1"/>
      <c r="G345" s="1"/>
      <c r="H345" s="1" t="s">
        <v>585</v>
      </c>
      <c r="I345" s="1"/>
      <c r="J345" s="1"/>
      <c r="K345" s="1"/>
      <c r="L345" s="1"/>
      <c r="M345" s="1"/>
      <c r="N345" s="1"/>
      <c r="O345" s="1"/>
      <c r="P345" s="1"/>
      <c r="Q345" s="1"/>
    </row>
    <row r="346" spans="1:17" x14ac:dyDescent="0.25">
      <c r="A346" s="1"/>
      <c r="B346" s="1"/>
      <c r="C346" s="1"/>
      <c r="D346" s="1"/>
      <c r="E346" s="1"/>
      <c r="F346" s="1"/>
      <c r="G346" s="1"/>
      <c r="H346" s="1" t="s">
        <v>585</v>
      </c>
      <c r="I346" s="1"/>
      <c r="J346" s="1"/>
      <c r="K346" s="1"/>
      <c r="L346" s="1"/>
      <c r="M346" s="1"/>
      <c r="N346" s="1"/>
      <c r="O346" s="1"/>
      <c r="P346" s="1"/>
      <c r="Q346" s="1"/>
    </row>
    <row r="347" spans="1:17" x14ac:dyDescent="0.25">
      <c r="A347" s="1"/>
      <c r="B347" s="1"/>
      <c r="C347" s="1"/>
      <c r="D347" s="1"/>
      <c r="E347" s="1"/>
      <c r="F347" s="1"/>
      <c r="G347" s="1"/>
      <c r="H347" s="1" t="s">
        <v>585</v>
      </c>
      <c r="I347" s="1"/>
      <c r="J347" s="1"/>
      <c r="K347" s="1"/>
      <c r="L347" s="1"/>
      <c r="M347" s="1"/>
      <c r="N347" s="1"/>
      <c r="O347" s="1"/>
      <c r="P347" s="1"/>
      <c r="Q347" s="1"/>
    </row>
    <row r="348" spans="1:17" x14ac:dyDescent="0.25">
      <c r="A348" s="1"/>
      <c r="B348" s="1"/>
      <c r="C348" s="1"/>
      <c r="D348" s="1"/>
      <c r="E348" s="1"/>
      <c r="F348" s="1"/>
      <c r="G348" s="1"/>
      <c r="H348" s="1" t="s">
        <v>585</v>
      </c>
      <c r="I348" s="1"/>
      <c r="J348" s="1"/>
      <c r="K348" s="1"/>
      <c r="L348" s="1"/>
      <c r="M348" s="1"/>
      <c r="N348" s="1"/>
      <c r="O348" s="1"/>
      <c r="P348" s="1"/>
      <c r="Q348" s="1"/>
    </row>
    <row r="349" spans="1:17" x14ac:dyDescent="0.25">
      <c r="A349" s="1"/>
      <c r="B349" s="1"/>
      <c r="C349" s="1"/>
      <c r="D349" s="1"/>
      <c r="E349" s="1"/>
      <c r="F349" s="1"/>
      <c r="G349" s="1"/>
      <c r="H349" s="1" t="s">
        <v>585</v>
      </c>
      <c r="I349" s="1"/>
      <c r="J349" s="1"/>
      <c r="K349" s="1"/>
      <c r="L349" s="1"/>
      <c r="M349" s="1"/>
      <c r="N349" s="1"/>
      <c r="O349" s="1"/>
      <c r="P349" s="1"/>
      <c r="Q349" s="1"/>
    </row>
    <row r="350" spans="1:17" x14ac:dyDescent="0.25">
      <c r="A350" s="1"/>
      <c r="B350" s="1"/>
      <c r="C350" s="1"/>
      <c r="D350" s="1"/>
      <c r="E350" s="1"/>
      <c r="F350" s="1"/>
      <c r="G350" s="1"/>
      <c r="H350" s="1" t="s">
        <v>585</v>
      </c>
      <c r="I350" s="1"/>
      <c r="J350" s="1"/>
      <c r="K350" s="1"/>
      <c r="L350" s="1"/>
      <c r="M350" s="1"/>
      <c r="N350" s="1"/>
      <c r="O350" s="1"/>
      <c r="P350" s="1"/>
      <c r="Q350" s="1"/>
    </row>
    <row r="351" spans="1:17" x14ac:dyDescent="0.25">
      <c r="A351" s="1"/>
      <c r="B351" s="1"/>
      <c r="C351" s="1"/>
      <c r="D351" s="1"/>
      <c r="E351" s="1"/>
      <c r="F351" s="1"/>
      <c r="G351" s="1"/>
      <c r="H351" s="1" t="s">
        <v>585</v>
      </c>
      <c r="I351" s="1"/>
      <c r="J351" s="1"/>
      <c r="K351" s="1"/>
      <c r="L351" s="1"/>
      <c r="M351" s="1"/>
      <c r="N351" s="1"/>
      <c r="O351" s="1"/>
      <c r="P351" s="1"/>
      <c r="Q351" s="1"/>
    </row>
    <row r="352" spans="1:17" x14ac:dyDescent="0.25">
      <c r="A352" s="1"/>
      <c r="B352" s="1"/>
      <c r="C352" s="1"/>
      <c r="D352" s="1"/>
      <c r="E352" s="1"/>
      <c r="F352" s="1"/>
      <c r="G352" s="1"/>
      <c r="H352" s="1" t="s">
        <v>585</v>
      </c>
      <c r="I352" s="1"/>
      <c r="J352" s="1"/>
      <c r="K352" s="1"/>
      <c r="L352" s="1"/>
      <c r="M352" s="1"/>
      <c r="N352" s="1"/>
      <c r="O352" s="1"/>
      <c r="P352" s="1"/>
      <c r="Q352" s="1"/>
    </row>
    <row r="353" spans="1:17" x14ac:dyDescent="0.25">
      <c r="A353" s="1"/>
      <c r="B353" s="1"/>
      <c r="C353" s="1"/>
      <c r="D353" s="1"/>
      <c r="E353" s="1"/>
      <c r="F353" s="1"/>
      <c r="G353" s="1"/>
      <c r="H353" s="1" t="s">
        <v>585</v>
      </c>
      <c r="I353" s="1"/>
      <c r="J353" s="1"/>
      <c r="K353" s="1"/>
      <c r="L353" s="1"/>
      <c r="M353" s="1"/>
      <c r="N353" s="1"/>
      <c r="O353" s="1"/>
      <c r="P353" s="1"/>
      <c r="Q353" s="1"/>
    </row>
    <row r="354" spans="1:17" x14ac:dyDescent="0.25">
      <c r="A354" s="1"/>
      <c r="B354" s="1"/>
      <c r="C354" s="1"/>
      <c r="D354" s="1"/>
      <c r="E354" s="1"/>
      <c r="F354" s="1"/>
      <c r="G354" s="1"/>
      <c r="H354" s="1" t="s">
        <v>585</v>
      </c>
      <c r="I354" s="1"/>
      <c r="J354" s="1"/>
      <c r="K354" s="1"/>
      <c r="L354" s="1"/>
      <c r="M354" s="1"/>
      <c r="N354" s="1"/>
      <c r="O354" s="1"/>
      <c r="P354" s="1"/>
      <c r="Q354" s="1"/>
    </row>
    <row r="355" spans="1:17" x14ac:dyDescent="0.25">
      <c r="A355" s="1"/>
      <c r="B355" s="1"/>
      <c r="C355" s="1"/>
      <c r="D355" s="1"/>
      <c r="E355" s="1"/>
      <c r="F355" s="1"/>
      <c r="G355" s="1"/>
      <c r="H355" s="1" t="s">
        <v>585</v>
      </c>
      <c r="I355" s="1"/>
      <c r="J355" s="1"/>
      <c r="K355" s="1"/>
      <c r="L355" s="1"/>
      <c r="M355" s="1"/>
      <c r="N355" s="1"/>
      <c r="O355" s="1"/>
      <c r="P355" s="1"/>
      <c r="Q355" s="1"/>
    </row>
    <row r="356" spans="1:17" x14ac:dyDescent="0.25">
      <c r="A356" s="1"/>
      <c r="B356" s="1"/>
      <c r="C356" s="1"/>
      <c r="D356" s="1"/>
      <c r="E356" s="1"/>
      <c r="F356" s="1"/>
      <c r="G356" s="1"/>
      <c r="H356" s="1" t="s">
        <v>585</v>
      </c>
      <c r="I356" s="1"/>
      <c r="J356" s="1"/>
      <c r="K356" s="1"/>
      <c r="L356" s="1"/>
      <c r="M356" s="1"/>
      <c r="N356" s="1"/>
      <c r="O356" s="1"/>
      <c r="P356" s="1"/>
      <c r="Q356" s="1"/>
    </row>
    <row r="357" spans="1:17" x14ac:dyDescent="0.25">
      <c r="A357" s="1"/>
      <c r="B357" s="1"/>
      <c r="C357" s="1"/>
      <c r="D357" s="1"/>
      <c r="E357" s="1"/>
      <c r="F357" s="1"/>
      <c r="G357" s="1"/>
      <c r="H357" s="1" t="s">
        <v>585</v>
      </c>
      <c r="I357" s="1"/>
      <c r="J357" s="1"/>
      <c r="K357" s="1"/>
      <c r="L357" s="1"/>
      <c r="M357" s="1"/>
      <c r="N357" s="1"/>
      <c r="O357" s="1"/>
      <c r="P357" s="1"/>
      <c r="Q357" s="1"/>
    </row>
    <row r="358" spans="1:17" x14ac:dyDescent="0.25">
      <c r="A358" s="1"/>
      <c r="B358" s="1"/>
      <c r="C358" s="1"/>
      <c r="D358" s="1"/>
      <c r="E358" s="1"/>
      <c r="F358" s="1"/>
      <c r="G358" s="1"/>
      <c r="H358" s="1" t="s">
        <v>585</v>
      </c>
      <c r="I358" s="1"/>
      <c r="J358" s="1"/>
      <c r="K358" s="1"/>
      <c r="L358" s="1"/>
      <c r="M358" s="1"/>
      <c r="N358" s="1"/>
      <c r="O358" s="1"/>
      <c r="P358" s="1"/>
      <c r="Q358" s="1"/>
    </row>
    <row r="359" spans="1:17" x14ac:dyDescent="0.25">
      <c r="A359" s="1"/>
      <c r="B359" s="1"/>
      <c r="C359" s="1"/>
      <c r="D359" s="1"/>
      <c r="E359" s="1"/>
      <c r="F359" s="1"/>
      <c r="G359" s="1"/>
      <c r="H359" s="1" t="s">
        <v>585</v>
      </c>
      <c r="I359" s="1"/>
      <c r="J359" s="1"/>
      <c r="K359" s="1"/>
      <c r="L359" s="1"/>
      <c r="M359" s="1"/>
      <c r="N359" s="1"/>
      <c r="O359" s="1"/>
      <c r="P359" s="1"/>
      <c r="Q359" s="1"/>
    </row>
    <row r="360" spans="1:17" x14ac:dyDescent="0.25">
      <c r="A360" s="1"/>
      <c r="B360" s="1"/>
      <c r="C360" s="1"/>
      <c r="D360" s="1"/>
      <c r="E360" s="1"/>
      <c r="F360" s="1"/>
      <c r="G360" s="1"/>
      <c r="H360" s="1" t="s">
        <v>585</v>
      </c>
      <c r="I360" s="1"/>
      <c r="J360" s="1"/>
      <c r="K360" s="1"/>
      <c r="L360" s="1"/>
      <c r="M360" s="1"/>
      <c r="N360" s="1"/>
      <c r="O360" s="1"/>
      <c r="P360" s="1"/>
      <c r="Q360" s="1"/>
    </row>
    <row r="361" spans="1:17" x14ac:dyDescent="0.25">
      <c r="A361" s="1"/>
      <c r="B361" s="1"/>
      <c r="C361" s="1"/>
      <c r="D361" s="1"/>
      <c r="E361" s="1"/>
      <c r="F361" s="1"/>
      <c r="G361" s="1"/>
      <c r="H361" s="1" t="s">
        <v>585</v>
      </c>
      <c r="I361" s="1"/>
      <c r="J361" s="1"/>
      <c r="K361" s="1"/>
      <c r="L361" s="1"/>
      <c r="M361" s="1"/>
      <c r="N361" s="1"/>
      <c r="O361" s="1"/>
      <c r="P361" s="1"/>
      <c r="Q361" s="1"/>
    </row>
    <row r="362" spans="1:17" x14ac:dyDescent="0.25">
      <c r="A362" s="1"/>
      <c r="B362" s="1"/>
      <c r="C362" s="1"/>
      <c r="D362" s="1"/>
      <c r="E362" s="1"/>
      <c r="F362" s="1"/>
      <c r="G362" s="1"/>
      <c r="H362" s="1" t="s">
        <v>585</v>
      </c>
      <c r="I362" s="1"/>
      <c r="J362" s="1"/>
      <c r="K362" s="1"/>
      <c r="L362" s="1"/>
      <c r="M362" s="1"/>
      <c r="N362" s="1"/>
      <c r="O362" s="1"/>
      <c r="P362" s="1"/>
      <c r="Q362" s="1"/>
    </row>
    <row r="363" spans="1:17" x14ac:dyDescent="0.25">
      <c r="A363" s="1"/>
      <c r="B363" s="1"/>
      <c r="C363" s="1"/>
      <c r="D363" s="1"/>
      <c r="E363" s="1"/>
      <c r="F363" s="1"/>
      <c r="G363" s="1"/>
      <c r="H363" s="1" t="s">
        <v>585</v>
      </c>
      <c r="I363" s="1"/>
      <c r="J363" s="1"/>
      <c r="K363" s="1"/>
      <c r="L363" s="1"/>
      <c r="M363" s="1"/>
      <c r="N363" s="1"/>
      <c r="O363" s="1"/>
      <c r="P363" s="1"/>
      <c r="Q363" s="1"/>
    </row>
    <row r="364" spans="1:17" x14ac:dyDescent="0.25">
      <c r="A364" s="1"/>
      <c r="B364" s="1"/>
      <c r="C364" s="1"/>
      <c r="D364" s="1"/>
      <c r="E364" s="1"/>
      <c r="F364" s="1"/>
      <c r="G364" s="1"/>
      <c r="H364" s="1" t="s">
        <v>585</v>
      </c>
      <c r="I364" s="1"/>
      <c r="J364" s="1"/>
      <c r="K364" s="1"/>
      <c r="L364" s="1"/>
      <c r="M364" s="1"/>
      <c r="N364" s="1"/>
      <c r="O364" s="1"/>
      <c r="P364" s="1"/>
      <c r="Q364" s="1"/>
    </row>
    <row r="365" spans="1:17" x14ac:dyDescent="0.25">
      <c r="A365" s="1"/>
      <c r="B365" s="1"/>
      <c r="C365" s="1"/>
      <c r="D365" s="1"/>
      <c r="E365" s="1"/>
      <c r="F365" s="1"/>
      <c r="G365" s="1"/>
      <c r="H365" s="1" t="s">
        <v>585</v>
      </c>
      <c r="I365" s="1"/>
      <c r="J365" s="1"/>
      <c r="K365" s="1"/>
      <c r="L365" s="1"/>
      <c r="M365" s="1"/>
      <c r="N365" s="1"/>
      <c r="O365" s="1"/>
      <c r="P365" s="1"/>
      <c r="Q365" s="1"/>
    </row>
    <row r="366" spans="1:17" x14ac:dyDescent="0.25">
      <c r="A366" s="1"/>
      <c r="B366" s="1"/>
      <c r="C366" s="1"/>
      <c r="D366" s="1"/>
      <c r="E366" s="1"/>
      <c r="F366" s="1"/>
      <c r="G366" s="1"/>
      <c r="H366" s="1" t="s">
        <v>585</v>
      </c>
      <c r="I366" s="1"/>
      <c r="J366" s="1"/>
      <c r="K366" s="1"/>
      <c r="L366" s="1"/>
      <c r="M366" s="1"/>
      <c r="N366" s="1"/>
      <c r="O366" s="1"/>
      <c r="P366" s="1"/>
      <c r="Q366" s="1"/>
    </row>
    <row r="367" spans="1:17" x14ac:dyDescent="0.25">
      <c r="A367" s="1"/>
      <c r="B367" s="1"/>
      <c r="C367" s="1"/>
      <c r="D367" s="1"/>
      <c r="E367" s="1"/>
      <c r="F367" s="1"/>
      <c r="G367" s="1"/>
      <c r="H367" s="1" t="s">
        <v>585</v>
      </c>
      <c r="I367" s="1"/>
      <c r="J367" s="1"/>
      <c r="K367" s="1"/>
      <c r="L367" s="1"/>
      <c r="M367" s="1"/>
      <c r="N367" s="1"/>
      <c r="O367" s="1"/>
      <c r="P367" s="1"/>
      <c r="Q367" s="1"/>
    </row>
    <row r="368" spans="1:17" x14ac:dyDescent="0.25">
      <c r="A368" s="1"/>
      <c r="B368" s="1"/>
      <c r="C368" s="1"/>
      <c r="D368" s="1"/>
      <c r="E368" s="1"/>
      <c r="F368" s="1"/>
      <c r="G368" s="1"/>
      <c r="H368" s="1" t="s">
        <v>585</v>
      </c>
      <c r="I368" s="1"/>
      <c r="J368" s="1"/>
      <c r="K368" s="1"/>
      <c r="L368" s="1"/>
      <c r="M368" s="1"/>
      <c r="N368" s="1"/>
      <c r="O368" s="1"/>
      <c r="P368" s="1"/>
      <c r="Q368" s="1"/>
    </row>
    <row r="369" spans="1:17" x14ac:dyDescent="0.25">
      <c r="A369" s="1"/>
      <c r="B369" s="1"/>
      <c r="C369" s="1"/>
      <c r="D369" s="1"/>
      <c r="E369" s="1"/>
      <c r="F369" s="1"/>
      <c r="G369" s="1"/>
      <c r="H369" s="1" t="s">
        <v>585</v>
      </c>
      <c r="I369" s="1"/>
      <c r="J369" s="1"/>
      <c r="K369" s="1"/>
      <c r="L369" s="1"/>
      <c r="M369" s="1"/>
      <c r="N369" s="1"/>
      <c r="O369" s="1"/>
      <c r="P369" s="1"/>
      <c r="Q369" s="1"/>
    </row>
    <row r="370" spans="1:17" x14ac:dyDescent="0.25">
      <c r="A370" s="1"/>
      <c r="B370" s="1"/>
      <c r="C370" s="1"/>
      <c r="D370" s="1"/>
      <c r="E370" s="1"/>
      <c r="F370" s="1"/>
      <c r="G370" s="1"/>
      <c r="H370" s="1" t="s">
        <v>585</v>
      </c>
      <c r="I370" s="1"/>
      <c r="J370" s="1"/>
      <c r="K370" s="1"/>
      <c r="L370" s="1"/>
      <c r="M370" s="1"/>
      <c r="N370" s="1"/>
      <c r="O370" s="1"/>
      <c r="P370" s="1"/>
      <c r="Q370" s="1"/>
    </row>
    <row r="371" spans="1:17" x14ac:dyDescent="0.25">
      <c r="A371" s="1"/>
      <c r="B371" s="1"/>
      <c r="C371" s="1"/>
      <c r="D371" s="1"/>
      <c r="E371" s="1"/>
      <c r="F371" s="1"/>
      <c r="G371" s="1"/>
      <c r="H371" s="1" t="s">
        <v>585</v>
      </c>
      <c r="I371" s="1"/>
      <c r="J371" s="1"/>
      <c r="K371" s="1"/>
      <c r="L371" s="1"/>
      <c r="M371" s="1"/>
      <c r="N371" s="1"/>
      <c r="O371" s="1"/>
      <c r="P371" s="1"/>
      <c r="Q371" s="1"/>
    </row>
    <row r="372" spans="1:17" x14ac:dyDescent="0.25">
      <c r="A372" s="1"/>
      <c r="B372" s="1"/>
      <c r="C372" s="1"/>
      <c r="D372" s="1"/>
      <c r="E372" s="1"/>
      <c r="F372" s="1"/>
      <c r="G372" s="1"/>
      <c r="H372" s="1" t="s">
        <v>585</v>
      </c>
      <c r="I372" s="1"/>
      <c r="J372" s="1"/>
      <c r="K372" s="1"/>
      <c r="L372" s="1"/>
      <c r="M372" s="1"/>
      <c r="N372" s="1"/>
      <c r="O372" s="1"/>
      <c r="P372" s="1"/>
      <c r="Q372" s="1"/>
    </row>
    <row r="373" spans="1:17" x14ac:dyDescent="0.25">
      <c r="A373" s="1"/>
      <c r="B373" s="1"/>
      <c r="C373" s="1"/>
      <c r="D373" s="1"/>
      <c r="E373" s="1"/>
      <c r="F373" s="1"/>
      <c r="G373" s="1"/>
      <c r="H373" s="1" t="s">
        <v>585</v>
      </c>
      <c r="I373" s="1"/>
      <c r="J373" s="1"/>
      <c r="K373" s="1"/>
      <c r="L373" s="1"/>
      <c r="M373" s="1"/>
      <c r="N373" s="1"/>
      <c r="O373" s="1"/>
      <c r="P373" s="1"/>
      <c r="Q373" s="1"/>
    </row>
    <row r="374" spans="1:17" x14ac:dyDescent="0.25">
      <c r="A374" s="1"/>
      <c r="B374" s="1"/>
      <c r="C374" s="1"/>
      <c r="D374" s="1"/>
      <c r="E374" s="1"/>
      <c r="F374" s="1"/>
      <c r="G374" s="1"/>
      <c r="H374" s="1" t="s">
        <v>585</v>
      </c>
      <c r="I374" s="1"/>
      <c r="J374" s="1"/>
      <c r="K374" s="1"/>
      <c r="L374" s="1"/>
      <c r="M374" s="1"/>
      <c r="N374" s="1"/>
      <c r="O374" s="1"/>
      <c r="P374" s="1"/>
      <c r="Q374" s="1"/>
    </row>
    <row r="375" spans="1:17" x14ac:dyDescent="0.25">
      <c r="A375" s="1"/>
      <c r="B375" s="1"/>
      <c r="C375" s="1"/>
      <c r="D375" s="1"/>
      <c r="E375" s="1"/>
      <c r="F375" s="1"/>
      <c r="G375" s="1"/>
      <c r="H375" s="1" t="s">
        <v>585</v>
      </c>
      <c r="I375" s="1"/>
      <c r="J375" s="1"/>
      <c r="K375" s="1"/>
      <c r="L375" s="1"/>
      <c r="M375" s="1"/>
      <c r="N375" s="1"/>
      <c r="O375" s="1"/>
      <c r="P375" s="1"/>
      <c r="Q375" s="1"/>
    </row>
    <row r="376" spans="1:17" x14ac:dyDescent="0.25">
      <c r="A376" s="1"/>
      <c r="B376" s="1"/>
      <c r="C376" s="1"/>
      <c r="D376" s="1"/>
      <c r="E376" s="1"/>
      <c r="F376" s="1"/>
      <c r="G376" s="1"/>
      <c r="H376" s="1" t="s">
        <v>585</v>
      </c>
      <c r="I376" s="1"/>
      <c r="J376" s="1"/>
      <c r="K376" s="1"/>
      <c r="L376" s="1"/>
      <c r="M376" s="1"/>
      <c r="N376" s="1"/>
      <c r="O376" s="1"/>
      <c r="P376" s="1"/>
      <c r="Q376" s="1"/>
    </row>
    <row r="377" spans="1:17" x14ac:dyDescent="0.25">
      <c r="A377" s="1"/>
      <c r="B377" s="1"/>
      <c r="C377" s="1"/>
      <c r="D377" s="1"/>
      <c r="E377" s="1"/>
      <c r="F377" s="1"/>
      <c r="G377" s="1"/>
      <c r="H377" s="1" t="s">
        <v>585</v>
      </c>
      <c r="I377" s="1"/>
      <c r="J377" s="1"/>
      <c r="K377" s="1"/>
      <c r="L377" s="1"/>
      <c r="M377" s="1"/>
      <c r="N377" s="1"/>
      <c r="O377" s="1"/>
      <c r="P377" s="1"/>
      <c r="Q377" s="1"/>
    </row>
    <row r="378" spans="1:17" x14ac:dyDescent="0.25">
      <c r="A378" s="1"/>
      <c r="B378" s="1"/>
      <c r="C378" s="1"/>
      <c r="D378" s="1"/>
      <c r="E378" s="1"/>
      <c r="F378" s="1"/>
      <c r="G378" s="1"/>
      <c r="H378" s="1" t="s">
        <v>585</v>
      </c>
      <c r="I378" s="1"/>
      <c r="J378" s="1"/>
      <c r="K378" s="1"/>
      <c r="L378" s="1"/>
      <c r="M378" s="1"/>
      <c r="N378" s="1"/>
      <c r="O378" s="1"/>
      <c r="P378" s="1"/>
      <c r="Q378" s="1"/>
    </row>
    <row r="379" spans="1:17" x14ac:dyDescent="0.25">
      <c r="A379" s="1"/>
      <c r="B379" s="1"/>
      <c r="C379" s="1"/>
      <c r="D379" s="1"/>
      <c r="E379" s="1"/>
      <c r="F379" s="1"/>
      <c r="G379" s="1"/>
      <c r="H379" s="1" t="s">
        <v>585</v>
      </c>
      <c r="I379" s="1"/>
      <c r="J379" s="1"/>
      <c r="K379" s="1"/>
      <c r="L379" s="1"/>
      <c r="M379" s="1"/>
      <c r="N379" s="1"/>
      <c r="O379" s="1"/>
      <c r="P379" s="1"/>
      <c r="Q379" s="1"/>
    </row>
    <row r="380" spans="1:17" x14ac:dyDescent="0.25">
      <c r="A380" s="1"/>
      <c r="B380" s="1"/>
      <c r="C380" s="1"/>
      <c r="D380" s="1"/>
      <c r="E380" s="1"/>
      <c r="F380" s="1"/>
      <c r="G380" s="1"/>
      <c r="H380" s="1" t="s">
        <v>585</v>
      </c>
      <c r="I380" s="1"/>
      <c r="J380" s="1"/>
      <c r="K380" s="1"/>
      <c r="L380" s="1"/>
      <c r="M380" s="1"/>
      <c r="N380" s="1"/>
      <c r="O380" s="1"/>
      <c r="P380" s="1"/>
      <c r="Q380" s="1"/>
    </row>
    <row r="381" spans="1:17" x14ac:dyDescent="0.25">
      <c r="A381" s="1"/>
      <c r="B381" s="1"/>
      <c r="C381" s="1"/>
      <c r="D381" s="1"/>
      <c r="E381" s="1"/>
      <c r="F381" s="1"/>
      <c r="G381" s="1"/>
      <c r="H381" s="1" t="s">
        <v>585</v>
      </c>
      <c r="I381" s="1"/>
      <c r="J381" s="1"/>
      <c r="K381" s="1"/>
      <c r="L381" s="1"/>
      <c r="M381" s="1"/>
      <c r="N381" s="1"/>
      <c r="O381" s="1"/>
      <c r="P381" s="1"/>
      <c r="Q381" s="1"/>
    </row>
    <row r="382" spans="1:17" x14ac:dyDescent="0.25">
      <c r="A382" s="1"/>
      <c r="B382" s="1"/>
      <c r="C382" s="1"/>
      <c r="D382" s="1"/>
      <c r="E382" s="1"/>
      <c r="F382" s="1"/>
      <c r="G382" s="1"/>
      <c r="H382" s="1" t="s">
        <v>585</v>
      </c>
      <c r="I382" s="1"/>
      <c r="J382" s="1"/>
      <c r="K382" s="1"/>
      <c r="L382" s="1"/>
      <c r="M382" s="1"/>
      <c r="N382" s="1"/>
      <c r="O382" s="1"/>
      <c r="P382" s="1"/>
      <c r="Q382" s="1"/>
    </row>
    <row r="383" spans="1:17" x14ac:dyDescent="0.25">
      <c r="A383" s="1"/>
      <c r="B383" s="1"/>
      <c r="C383" s="1"/>
      <c r="D383" s="1"/>
      <c r="E383" s="1"/>
      <c r="F383" s="1"/>
      <c r="G383" s="1"/>
      <c r="H383" s="1" t="s">
        <v>585</v>
      </c>
      <c r="I383" s="1"/>
      <c r="J383" s="1"/>
      <c r="K383" s="1"/>
      <c r="L383" s="1"/>
      <c r="M383" s="1"/>
      <c r="N383" s="1"/>
      <c r="O383" s="1"/>
      <c r="P383" s="1"/>
      <c r="Q383" s="1"/>
    </row>
    <row r="384" spans="1:17" x14ac:dyDescent="0.25">
      <c r="A384" s="1"/>
      <c r="B384" s="1"/>
      <c r="C384" s="1"/>
      <c r="D384" s="1"/>
      <c r="E384" s="1"/>
      <c r="F384" s="1"/>
      <c r="G384" s="1"/>
      <c r="H384" s="1" t="s">
        <v>585</v>
      </c>
      <c r="I384" s="1"/>
      <c r="J384" s="1"/>
      <c r="K384" s="1"/>
      <c r="L384" s="1"/>
      <c r="M384" s="1"/>
      <c r="N384" s="1"/>
      <c r="O384" s="1"/>
      <c r="P384" s="1"/>
      <c r="Q384" s="1"/>
    </row>
    <row r="385" spans="1:17" x14ac:dyDescent="0.25">
      <c r="A385" s="1"/>
      <c r="B385" s="1"/>
      <c r="C385" s="1"/>
      <c r="D385" s="1"/>
      <c r="E385" s="1"/>
      <c r="F385" s="1"/>
      <c r="G385" s="1"/>
      <c r="H385" s="1" t="s">
        <v>585</v>
      </c>
      <c r="I385" s="1"/>
      <c r="J385" s="1"/>
      <c r="K385" s="1"/>
      <c r="L385" s="1"/>
      <c r="M385" s="1"/>
      <c r="N385" s="1"/>
      <c r="O385" s="1"/>
      <c r="P385" s="1"/>
      <c r="Q385" s="1"/>
    </row>
    <row r="386" spans="1:17" x14ac:dyDescent="0.25">
      <c r="A386" s="1"/>
      <c r="B386" s="1"/>
      <c r="C386" s="1"/>
      <c r="D386" s="1"/>
      <c r="E386" s="1"/>
      <c r="F386" s="1"/>
      <c r="G386" s="1"/>
      <c r="H386" s="1" t="s">
        <v>585</v>
      </c>
      <c r="I386" s="1"/>
      <c r="J386" s="1"/>
      <c r="K386" s="1"/>
      <c r="L386" s="1"/>
      <c r="M386" s="1"/>
      <c r="N386" s="1"/>
      <c r="O386" s="1"/>
      <c r="P386" s="1"/>
      <c r="Q386" s="1"/>
    </row>
    <row r="387" spans="1:17" x14ac:dyDescent="0.25">
      <c r="A387" s="1"/>
      <c r="B387" s="1"/>
      <c r="C387" s="1"/>
      <c r="D387" s="1"/>
      <c r="E387" s="1"/>
      <c r="F387" s="1"/>
      <c r="G387" s="1"/>
      <c r="H387" s="1" t="s">
        <v>585</v>
      </c>
      <c r="I387" s="1"/>
      <c r="J387" s="1"/>
      <c r="K387" s="1"/>
      <c r="L387" s="1"/>
      <c r="M387" s="1"/>
      <c r="N387" s="1"/>
      <c r="O387" s="1"/>
      <c r="P387" s="1"/>
      <c r="Q387" s="1"/>
    </row>
    <row r="388" spans="1:17" x14ac:dyDescent="0.25">
      <c r="A388" s="1"/>
      <c r="B388" s="1"/>
      <c r="C388" s="1"/>
      <c r="D388" s="1"/>
      <c r="E388" s="1"/>
      <c r="F388" s="1"/>
      <c r="G388" s="1"/>
      <c r="H388" s="1" t="s">
        <v>585</v>
      </c>
      <c r="I388" s="1"/>
      <c r="J388" s="1"/>
      <c r="K388" s="1"/>
      <c r="L388" s="1"/>
      <c r="M388" s="1"/>
      <c r="N388" s="1"/>
      <c r="O388" s="1"/>
      <c r="P388" s="1"/>
      <c r="Q388" s="1"/>
    </row>
    <row r="389" spans="1:17" x14ac:dyDescent="0.25">
      <c r="A389" s="1"/>
      <c r="B389" s="1"/>
      <c r="C389" s="1"/>
      <c r="D389" s="1"/>
      <c r="E389" s="1"/>
      <c r="F389" s="1"/>
      <c r="G389" s="1"/>
      <c r="H389" s="1" t="s">
        <v>585</v>
      </c>
      <c r="I389" s="1"/>
      <c r="J389" s="1"/>
      <c r="K389" s="1"/>
      <c r="L389" s="1"/>
      <c r="M389" s="1"/>
      <c r="N389" s="1"/>
      <c r="O389" s="1"/>
      <c r="P389" s="1"/>
      <c r="Q389" s="1"/>
    </row>
    <row r="390" spans="1:17" x14ac:dyDescent="0.25">
      <c r="A390" s="1"/>
      <c r="B390" s="1"/>
      <c r="C390" s="1"/>
      <c r="D390" s="1"/>
      <c r="E390" s="1"/>
      <c r="F390" s="1"/>
      <c r="G390" s="1"/>
      <c r="H390" s="1" t="s">
        <v>585</v>
      </c>
      <c r="I390" s="1"/>
      <c r="J390" s="1"/>
      <c r="K390" s="1"/>
      <c r="L390" s="1"/>
      <c r="M390" s="1"/>
      <c r="N390" s="1"/>
      <c r="O390" s="1"/>
      <c r="P390" s="1"/>
      <c r="Q390" s="1"/>
    </row>
    <row r="391" spans="1:17" x14ac:dyDescent="0.25">
      <c r="A391" s="1"/>
      <c r="B391" s="1"/>
      <c r="C391" s="1"/>
      <c r="D391" s="1"/>
      <c r="E391" s="1"/>
      <c r="F391" s="1"/>
      <c r="G391" s="1"/>
      <c r="H391" s="1" t="s">
        <v>585</v>
      </c>
      <c r="I391" s="1"/>
      <c r="J391" s="1"/>
      <c r="K391" s="1"/>
      <c r="L391" s="1"/>
      <c r="M391" s="1"/>
      <c r="N391" s="1"/>
      <c r="O391" s="1"/>
      <c r="P391" s="1"/>
      <c r="Q391" s="1"/>
    </row>
    <row r="392" spans="1:17" x14ac:dyDescent="0.25">
      <c r="A392" s="1"/>
      <c r="B392" s="1"/>
      <c r="C392" s="1"/>
      <c r="D392" s="1"/>
      <c r="E392" s="1"/>
      <c r="F392" s="1"/>
      <c r="G392" s="1"/>
      <c r="H392" s="1" t="s">
        <v>585</v>
      </c>
      <c r="I392" s="1"/>
      <c r="J392" s="1"/>
      <c r="K392" s="1"/>
      <c r="L392" s="1"/>
      <c r="M392" s="1"/>
      <c r="N392" s="1"/>
      <c r="O392" s="1"/>
      <c r="P392" s="1"/>
      <c r="Q392" s="1"/>
    </row>
    <row r="393" spans="1:17" x14ac:dyDescent="0.25">
      <c r="A393" s="1"/>
      <c r="B393" s="1"/>
      <c r="C393" s="1"/>
      <c r="D393" s="1"/>
      <c r="E393" s="1"/>
      <c r="F393" s="1"/>
      <c r="G393" s="1"/>
      <c r="H393" s="1" t="s">
        <v>585</v>
      </c>
      <c r="I393" s="1"/>
      <c r="J393" s="1"/>
      <c r="K393" s="1"/>
      <c r="L393" s="1"/>
      <c r="M393" s="1"/>
      <c r="N393" s="1"/>
      <c r="O393" s="1"/>
      <c r="P393" s="1"/>
      <c r="Q393" s="1"/>
    </row>
    <row r="394" spans="1:17" x14ac:dyDescent="0.25">
      <c r="A394" s="1"/>
      <c r="B394" s="1"/>
      <c r="C394" s="1"/>
      <c r="D394" s="1"/>
      <c r="E394" s="1"/>
      <c r="F394" s="1"/>
      <c r="G394" s="1"/>
      <c r="H394" s="1" t="s">
        <v>585</v>
      </c>
      <c r="I394" s="1"/>
      <c r="J394" s="1"/>
      <c r="K394" s="1"/>
      <c r="L394" s="1"/>
      <c r="M394" s="1"/>
      <c r="N394" s="1"/>
      <c r="O394" s="1"/>
      <c r="P394" s="1"/>
      <c r="Q394" s="1"/>
    </row>
    <row r="395" spans="1:17" x14ac:dyDescent="0.25">
      <c r="A395" s="1"/>
      <c r="B395" s="1"/>
      <c r="C395" s="1"/>
      <c r="D395" s="1"/>
      <c r="E395" s="1"/>
      <c r="F395" s="1"/>
      <c r="G395" s="1"/>
      <c r="H395" s="1" t="s">
        <v>585</v>
      </c>
      <c r="I395" s="1"/>
      <c r="J395" s="1"/>
      <c r="K395" s="1"/>
      <c r="L395" s="1"/>
      <c r="M395" s="1"/>
      <c r="N395" s="1"/>
      <c r="O395" s="1"/>
      <c r="P395" s="1"/>
      <c r="Q395" s="1"/>
    </row>
    <row r="396" spans="1:17" x14ac:dyDescent="0.25">
      <c r="A396" s="1"/>
      <c r="B396" s="1"/>
      <c r="C396" s="1"/>
      <c r="D396" s="1"/>
      <c r="E396" s="1"/>
      <c r="F396" s="1"/>
      <c r="G396" s="1"/>
      <c r="H396" s="1" t="s">
        <v>585</v>
      </c>
      <c r="I396" s="1"/>
      <c r="J396" s="1"/>
      <c r="K396" s="1"/>
      <c r="L396" s="1"/>
      <c r="M396" s="1"/>
      <c r="N396" s="1"/>
      <c r="O396" s="1"/>
      <c r="P396" s="1"/>
      <c r="Q396" s="1"/>
    </row>
    <row r="397" spans="1:17" x14ac:dyDescent="0.25">
      <c r="A397" s="1"/>
      <c r="B397" s="1"/>
      <c r="C397" s="1"/>
      <c r="D397" s="1"/>
      <c r="E397" s="1"/>
      <c r="F397" s="1"/>
      <c r="G397" s="1"/>
      <c r="H397" s="1" t="s">
        <v>585</v>
      </c>
      <c r="I397" s="1"/>
      <c r="J397" s="1"/>
      <c r="K397" s="1"/>
      <c r="L397" s="1"/>
      <c r="M397" s="1"/>
      <c r="N397" s="1"/>
      <c r="O397" s="1"/>
      <c r="P397" s="1"/>
      <c r="Q397" s="1"/>
    </row>
    <row r="398" spans="1:17" x14ac:dyDescent="0.25">
      <c r="A398" s="1"/>
      <c r="B398" s="1"/>
      <c r="C398" s="1"/>
      <c r="D398" s="1"/>
      <c r="E398" s="1"/>
      <c r="F398" s="1"/>
      <c r="G398" s="1"/>
      <c r="H398" s="1" t="s">
        <v>585</v>
      </c>
      <c r="I398" s="1"/>
      <c r="J398" s="1"/>
      <c r="K398" s="1"/>
      <c r="L398" s="1"/>
      <c r="M398" s="1"/>
      <c r="N398" s="1"/>
      <c r="O398" s="1"/>
      <c r="P398" s="1"/>
      <c r="Q398" s="1"/>
    </row>
    <row r="399" spans="1:17" x14ac:dyDescent="0.25">
      <c r="A399" s="1"/>
      <c r="B399" s="1"/>
      <c r="C399" s="1"/>
      <c r="D399" s="1"/>
      <c r="E399" s="1"/>
      <c r="F399" s="1"/>
      <c r="G399" s="1"/>
      <c r="H399" s="1" t="s">
        <v>585</v>
      </c>
      <c r="I399" s="1"/>
      <c r="J399" s="1"/>
      <c r="K399" s="1"/>
      <c r="L399" s="1"/>
      <c r="M399" s="1"/>
      <c r="N399" s="1"/>
      <c r="O399" s="1"/>
      <c r="P399" s="1"/>
      <c r="Q399" s="1"/>
    </row>
    <row r="400" spans="1:17" x14ac:dyDescent="0.25">
      <c r="A400" s="1"/>
      <c r="B400" s="1"/>
      <c r="C400" s="1"/>
      <c r="D400" s="1"/>
      <c r="E400" s="1"/>
      <c r="F400" s="1"/>
      <c r="G400" s="1"/>
      <c r="H400" s="1" t="s">
        <v>585</v>
      </c>
      <c r="I400" s="1"/>
      <c r="J400" s="1"/>
      <c r="K400" s="1"/>
      <c r="L400" s="1"/>
      <c r="M400" s="1"/>
      <c r="N400" s="1"/>
      <c r="O400" s="1"/>
      <c r="P400" s="1"/>
      <c r="Q400" s="1"/>
    </row>
    <row r="401" spans="1:17" x14ac:dyDescent="0.25">
      <c r="A401" s="1"/>
      <c r="B401" s="1"/>
      <c r="C401" s="1"/>
      <c r="D401" s="1"/>
      <c r="E401" s="1"/>
      <c r="F401" s="1"/>
      <c r="G401" s="1"/>
      <c r="H401" s="1" t="s">
        <v>585</v>
      </c>
      <c r="I401" s="1"/>
      <c r="J401" s="1"/>
      <c r="K401" s="1"/>
      <c r="L401" s="1"/>
      <c r="M401" s="1"/>
      <c r="N401" s="1"/>
      <c r="O401" s="1"/>
      <c r="P401" s="1"/>
      <c r="Q401" s="1"/>
    </row>
    <row r="402" spans="1:17" x14ac:dyDescent="0.25">
      <c r="A402" s="1"/>
      <c r="B402" s="1"/>
      <c r="C402" s="1"/>
      <c r="D402" s="1"/>
      <c r="E402" s="1"/>
      <c r="F402" s="1"/>
      <c r="G402" s="1"/>
      <c r="H402" s="1" t="s">
        <v>585</v>
      </c>
      <c r="I402" s="1"/>
      <c r="J402" s="1"/>
      <c r="K402" s="1"/>
      <c r="L402" s="1"/>
      <c r="M402" s="1"/>
      <c r="N402" s="1"/>
      <c r="O402" s="1"/>
      <c r="P402" s="1"/>
      <c r="Q402" s="1"/>
    </row>
    <row r="403" spans="1:17" x14ac:dyDescent="0.25">
      <c r="A403" s="1"/>
      <c r="B403" s="1"/>
      <c r="C403" s="1"/>
      <c r="D403" s="1"/>
      <c r="E403" s="1"/>
      <c r="F403" s="1"/>
      <c r="G403" s="1"/>
      <c r="H403" s="1" t="s">
        <v>585</v>
      </c>
      <c r="I403" s="1"/>
      <c r="J403" s="1"/>
      <c r="K403" s="1"/>
      <c r="L403" s="1"/>
      <c r="M403" s="1"/>
      <c r="N403" s="1"/>
      <c r="O403" s="1"/>
      <c r="P403" s="1"/>
      <c r="Q403" s="1"/>
    </row>
    <row r="404" spans="1:17" x14ac:dyDescent="0.25">
      <c r="A404" s="1"/>
      <c r="B404" s="1"/>
      <c r="C404" s="1"/>
      <c r="D404" s="1"/>
      <c r="E404" s="1"/>
      <c r="F404" s="1"/>
      <c r="G404" s="1"/>
      <c r="H404" s="1" t="s">
        <v>585</v>
      </c>
      <c r="I404" s="1"/>
      <c r="J404" s="1"/>
      <c r="K404" s="1"/>
      <c r="L404" s="1"/>
      <c r="M404" s="1"/>
      <c r="N404" s="1"/>
      <c r="O404" s="1"/>
      <c r="P404" s="1"/>
      <c r="Q404" s="1"/>
    </row>
    <row r="405" spans="1:17" x14ac:dyDescent="0.25">
      <c r="A405" s="1"/>
      <c r="B405" s="1"/>
      <c r="C405" s="1"/>
      <c r="D405" s="1"/>
      <c r="E405" s="1"/>
      <c r="F405" s="1"/>
      <c r="G405" s="1"/>
      <c r="H405" s="1" t="s">
        <v>585</v>
      </c>
      <c r="I405" s="1"/>
      <c r="J405" s="1"/>
      <c r="K405" s="1"/>
      <c r="L405" s="1"/>
      <c r="M405" s="1"/>
      <c r="N405" s="1"/>
      <c r="O405" s="1"/>
      <c r="P405" s="1"/>
      <c r="Q405" s="1"/>
    </row>
    <row r="406" spans="1:17" x14ac:dyDescent="0.25">
      <c r="A406" s="1"/>
      <c r="B406" s="1"/>
      <c r="C406" s="1"/>
      <c r="D406" s="1"/>
      <c r="E406" s="1"/>
      <c r="F406" s="1"/>
      <c r="G406" s="1"/>
      <c r="H406" s="1" t="s">
        <v>585</v>
      </c>
      <c r="I406" s="1"/>
      <c r="J406" s="1"/>
      <c r="K406" s="1"/>
      <c r="L406" s="1"/>
      <c r="M406" s="1"/>
      <c r="N406" s="1"/>
      <c r="O406" s="1"/>
      <c r="P406" s="1"/>
      <c r="Q406" s="1"/>
    </row>
    <row r="407" spans="1:17" x14ac:dyDescent="0.25">
      <c r="A407" s="1"/>
      <c r="B407" s="1"/>
      <c r="C407" s="1"/>
      <c r="D407" s="1"/>
      <c r="E407" s="1"/>
      <c r="F407" s="1"/>
      <c r="G407" s="1"/>
      <c r="H407" s="1" t="s">
        <v>585</v>
      </c>
      <c r="I407" s="1"/>
      <c r="J407" s="1"/>
      <c r="K407" s="1"/>
      <c r="L407" s="1"/>
      <c r="M407" s="1"/>
      <c r="N407" s="1"/>
      <c r="O407" s="1"/>
      <c r="P407" s="1"/>
      <c r="Q407" s="1"/>
    </row>
    <row r="408" spans="1:17" x14ac:dyDescent="0.25">
      <c r="A408" s="1"/>
      <c r="B408" s="1"/>
      <c r="C408" s="1"/>
      <c r="D408" s="1"/>
      <c r="E408" s="1"/>
      <c r="F408" s="1"/>
      <c r="G408" s="1"/>
      <c r="H408" s="1" t="s">
        <v>585</v>
      </c>
      <c r="I408" s="1"/>
      <c r="J408" s="1"/>
      <c r="K408" s="1"/>
      <c r="L408" s="1"/>
      <c r="M408" s="1"/>
      <c r="N408" s="1"/>
      <c r="O408" s="1"/>
      <c r="P408" s="1"/>
      <c r="Q408" s="1"/>
    </row>
    <row r="409" spans="1:17" x14ac:dyDescent="0.25">
      <c r="A409" s="1"/>
      <c r="B409" s="1"/>
      <c r="C409" s="1"/>
      <c r="D409" s="1"/>
      <c r="E409" s="1"/>
      <c r="F409" s="1"/>
      <c r="G409" s="1"/>
      <c r="H409" s="1" t="s">
        <v>585</v>
      </c>
      <c r="I409" s="1"/>
      <c r="J409" s="1"/>
      <c r="K409" s="1"/>
      <c r="L409" s="1"/>
      <c r="M409" s="1"/>
      <c r="N409" s="1"/>
      <c r="O409" s="1"/>
      <c r="P409" s="1"/>
      <c r="Q409" s="1"/>
    </row>
    <row r="410" spans="1:17" x14ac:dyDescent="0.25">
      <c r="A410" s="1"/>
      <c r="B410" s="1"/>
      <c r="C410" s="1"/>
      <c r="D410" s="1"/>
      <c r="E410" s="1"/>
      <c r="F410" s="1"/>
      <c r="G410" s="1"/>
      <c r="H410" s="1" t="s">
        <v>585</v>
      </c>
      <c r="I410" s="1"/>
      <c r="J410" s="1"/>
      <c r="K410" s="1"/>
      <c r="L410" s="1"/>
      <c r="M410" s="1"/>
      <c r="N410" s="1"/>
      <c r="O410" s="1"/>
      <c r="P410" s="1"/>
      <c r="Q410" s="1"/>
    </row>
    <row r="411" spans="1:17" x14ac:dyDescent="0.25">
      <c r="A411" s="1"/>
      <c r="B411" s="1"/>
      <c r="C411" s="1"/>
      <c r="D411" s="1"/>
      <c r="E411" s="1"/>
      <c r="F411" s="1"/>
      <c r="G411" s="1"/>
      <c r="H411" s="1" t="s">
        <v>585</v>
      </c>
      <c r="I411" s="1"/>
      <c r="J411" s="1"/>
      <c r="K411" s="1"/>
      <c r="L411" s="1"/>
      <c r="M411" s="1"/>
      <c r="N411" s="1"/>
      <c r="O411" s="1"/>
      <c r="P411" s="1"/>
      <c r="Q411" s="1"/>
    </row>
    <row r="412" spans="1:17" x14ac:dyDescent="0.25">
      <c r="A412" s="1"/>
      <c r="B412" s="1"/>
      <c r="C412" s="1"/>
      <c r="D412" s="1"/>
      <c r="E412" s="1"/>
      <c r="F412" s="1"/>
      <c r="G412" s="1"/>
      <c r="H412" s="1" t="s">
        <v>585</v>
      </c>
      <c r="I412" s="1"/>
      <c r="J412" s="1"/>
      <c r="K412" s="1"/>
      <c r="L412" s="1"/>
      <c r="M412" s="1"/>
      <c r="N412" s="1"/>
      <c r="O412" s="1"/>
      <c r="P412" s="1"/>
      <c r="Q412" s="1"/>
    </row>
    <row r="413" spans="1:17" x14ac:dyDescent="0.25">
      <c r="A413" s="1"/>
      <c r="B413" s="1"/>
      <c r="C413" s="1"/>
      <c r="D413" s="1"/>
      <c r="E413" s="1"/>
      <c r="F413" s="1"/>
      <c r="G413" s="1"/>
      <c r="H413" s="1" t="s">
        <v>585</v>
      </c>
      <c r="I413" s="1"/>
      <c r="J413" s="1"/>
      <c r="K413" s="1"/>
      <c r="L413" s="1"/>
      <c r="M413" s="1"/>
      <c r="N413" s="1"/>
      <c r="O413" s="1"/>
      <c r="P413" s="1"/>
      <c r="Q413" s="1"/>
    </row>
    <row r="414" spans="1:17" x14ac:dyDescent="0.25">
      <c r="A414" s="1"/>
      <c r="B414" s="1"/>
      <c r="C414" s="1"/>
      <c r="D414" s="1"/>
      <c r="E414" s="1"/>
      <c r="F414" s="1"/>
      <c r="G414" s="1"/>
      <c r="H414" s="1" t="s">
        <v>585</v>
      </c>
      <c r="I414" s="1"/>
      <c r="J414" s="1"/>
      <c r="K414" s="1"/>
      <c r="L414" s="1"/>
      <c r="M414" s="1"/>
      <c r="N414" s="1"/>
      <c r="O414" s="1"/>
      <c r="P414" s="1"/>
      <c r="Q414" s="1"/>
    </row>
    <row r="415" spans="1:17" x14ac:dyDescent="0.25">
      <c r="A415" s="1"/>
      <c r="B415" s="1"/>
      <c r="C415" s="1"/>
      <c r="D415" s="1"/>
      <c r="E415" s="1"/>
      <c r="F415" s="1"/>
      <c r="G415" s="1"/>
      <c r="H415" s="1" t="s">
        <v>585</v>
      </c>
      <c r="I415" s="1"/>
      <c r="J415" s="1"/>
      <c r="K415" s="1"/>
      <c r="L415" s="1"/>
      <c r="M415" s="1"/>
      <c r="N415" s="1"/>
      <c r="O415" s="1"/>
      <c r="P415" s="1"/>
      <c r="Q415" s="1"/>
    </row>
    <row r="416" spans="1:17" x14ac:dyDescent="0.25">
      <c r="A416" s="1"/>
      <c r="B416" s="1"/>
      <c r="C416" s="1"/>
      <c r="D416" s="1"/>
      <c r="E416" s="1"/>
      <c r="F416" s="1"/>
      <c r="G416" s="1"/>
      <c r="H416" s="1" t="s">
        <v>585</v>
      </c>
      <c r="I416" s="1"/>
      <c r="J416" s="1"/>
      <c r="K416" s="1"/>
      <c r="L416" s="1"/>
      <c r="M416" s="1"/>
      <c r="N416" s="1"/>
      <c r="O416" s="1"/>
      <c r="P416" s="1"/>
      <c r="Q416" s="1"/>
    </row>
    <row r="417" spans="1:17" x14ac:dyDescent="0.25">
      <c r="A417" s="1"/>
      <c r="B417" s="1"/>
      <c r="C417" s="1"/>
      <c r="D417" s="1"/>
      <c r="E417" s="1"/>
      <c r="F417" s="1"/>
      <c r="G417" s="1"/>
      <c r="H417" s="1" t="s">
        <v>585</v>
      </c>
      <c r="I417" s="1"/>
      <c r="J417" s="1"/>
      <c r="K417" s="1"/>
      <c r="L417" s="1"/>
      <c r="M417" s="1"/>
      <c r="N417" s="1"/>
      <c r="O417" s="1"/>
      <c r="P417" s="1"/>
      <c r="Q417" s="1"/>
    </row>
    <row r="418" spans="1:17" x14ac:dyDescent="0.25">
      <c r="A418" s="1"/>
      <c r="B418" s="1"/>
      <c r="C418" s="1"/>
      <c r="D418" s="1"/>
      <c r="E418" s="1"/>
      <c r="F418" s="1"/>
      <c r="G418" s="1"/>
      <c r="H418" s="1" t="s">
        <v>585</v>
      </c>
      <c r="I418" s="1"/>
      <c r="J418" s="1"/>
      <c r="K418" s="1"/>
      <c r="L418" s="1"/>
      <c r="M418" s="1"/>
      <c r="N418" s="1"/>
      <c r="O418" s="1"/>
      <c r="P418" s="1"/>
      <c r="Q418" s="1"/>
    </row>
    <row r="419" spans="1:17" x14ac:dyDescent="0.25">
      <c r="A419" s="1"/>
      <c r="B419" s="1"/>
      <c r="C419" s="1"/>
      <c r="D419" s="1"/>
      <c r="E419" s="1"/>
      <c r="F419" s="1"/>
      <c r="G419" s="1"/>
      <c r="H419" s="1" t="s">
        <v>585</v>
      </c>
      <c r="I419" s="1"/>
      <c r="J419" s="1"/>
      <c r="K419" s="1"/>
      <c r="L419" s="1"/>
      <c r="M419" s="1"/>
      <c r="N419" s="1"/>
      <c r="O419" s="1"/>
      <c r="P419" s="1"/>
      <c r="Q419" s="1"/>
    </row>
    <row r="420" spans="1:17" x14ac:dyDescent="0.25">
      <c r="A420" s="1"/>
      <c r="B420" s="1"/>
      <c r="C420" s="1"/>
      <c r="D420" s="1"/>
      <c r="E420" s="1"/>
      <c r="F420" s="1"/>
      <c r="G420" s="1"/>
      <c r="H420" s="1" t="s">
        <v>585</v>
      </c>
      <c r="I420" s="1"/>
      <c r="J420" s="1"/>
      <c r="K420" s="1"/>
      <c r="L420" s="1"/>
      <c r="M420" s="1"/>
      <c r="N420" s="1"/>
      <c r="O420" s="1"/>
      <c r="P420" s="1"/>
      <c r="Q420" s="1"/>
    </row>
    <row r="421" spans="1:17" x14ac:dyDescent="0.25">
      <c r="A421" s="1"/>
      <c r="B421" s="1"/>
      <c r="C421" s="1"/>
      <c r="D421" s="1"/>
      <c r="E421" s="1"/>
      <c r="F421" s="1"/>
      <c r="G421" s="1"/>
      <c r="H421" s="1" t="s">
        <v>585</v>
      </c>
      <c r="I421" s="1"/>
      <c r="J421" s="1"/>
      <c r="K421" s="1"/>
      <c r="L421" s="1"/>
      <c r="M421" s="1"/>
      <c r="N421" s="1"/>
      <c r="O421" s="1"/>
      <c r="P421" s="1"/>
      <c r="Q421" s="1"/>
    </row>
    <row r="422" spans="1:17" x14ac:dyDescent="0.25">
      <c r="A422" s="1"/>
      <c r="B422" s="1"/>
      <c r="C422" s="1"/>
      <c r="D422" s="1"/>
      <c r="E422" s="1"/>
      <c r="F422" s="1"/>
      <c r="G422" s="1"/>
      <c r="H422" s="1" t="s">
        <v>585</v>
      </c>
      <c r="I422" s="1"/>
      <c r="J422" s="1"/>
      <c r="K422" s="1"/>
      <c r="L422" s="1"/>
      <c r="M422" s="1"/>
      <c r="N422" s="1"/>
      <c r="O422" s="1"/>
      <c r="P422" s="1"/>
      <c r="Q422" s="1"/>
    </row>
    <row r="423" spans="1:17" x14ac:dyDescent="0.25">
      <c r="A423" s="1"/>
      <c r="B423" s="1"/>
      <c r="C423" s="1"/>
      <c r="D423" s="1"/>
      <c r="E423" s="1"/>
      <c r="F423" s="1"/>
      <c r="G423" s="1"/>
      <c r="H423" s="1" t="s">
        <v>585</v>
      </c>
      <c r="I423" s="1"/>
      <c r="J423" s="1"/>
      <c r="K423" s="1"/>
      <c r="L423" s="1"/>
      <c r="M423" s="1"/>
      <c r="N423" s="1"/>
      <c r="O423" s="1"/>
      <c r="P423" s="1"/>
      <c r="Q423" s="1"/>
    </row>
    <row r="424" spans="1:17" x14ac:dyDescent="0.25">
      <c r="A424" s="1"/>
      <c r="B424" s="1"/>
      <c r="C424" s="1"/>
      <c r="D424" s="1"/>
      <c r="E424" s="1"/>
      <c r="F424" s="1"/>
      <c r="G424" s="1"/>
      <c r="H424" s="1" t="s">
        <v>585</v>
      </c>
      <c r="I424" s="1"/>
      <c r="J424" s="1"/>
      <c r="K424" s="1"/>
      <c r="L424" s="1"/>
      <c r="M424" s="1"/>
      <c r="N424" s="1"/>
      <c r="O424" s="1"/>
      <c r="P424" s="1"/>
      <c r="Q424" s="1"/>
    </row>
    <row r="425" spans="1:17" x14ac:dyDescent="0.25">
      <c r="A425" s="1"/>
      <c r="B425" s="1"/>
      <c r="C425" s="1"/>
      <c r="D425" s="1"/>
      <c r="E425" s="1"/>
      <c r="F425" s="1"/>
      <c r="G425" s="1"/>
      <c r="H425" s="1" t="s">
        <v>585</v>
      </c>
      <c r="I425" s="1"/>
      <c r="J425" s="1"/>
      <c r="K425" s="1"/>
      <c r="L425" s="1"/>
      <c r="M425" s="1"/>
      <c r="N425" s="1"/>
      <c r="O425" s="1"/>
      <c r="P425" s="1"/>
      <c r="Q425" s="1"/>
    </row>
    <row r="426" spans="1:17" x14ac:dyDescent="0.25">
      <c r="A426" s="1"/>
      <c r="B426" s="1"/>
      <c r="C426" s="1"/>
      <c r="D426" s="1"/>
      <c r="E426" s="1"/>
      <c r="F426" s="1"/>
      <c r="G426" s="1"/>
      <c r="H426" s="1" t="s">
        <v>585</v>
      </c>
      <c r="I426" s="1"/>
      <c r="J426" s="1"/>
      <c r="K426" s="1"/>
      <c r="L426" s="1"/>
      <c r="M426" s="1"/>
      <c r="N426" s="1"/>
      <c r="O426" s="1"/>
      <c r="P426" s="1"/>
      <c r="Q426" s="1"/>
    </row>
    <row r="427" spans="1:17" x14ac:dyDescent="0.25">
      <c r="A427" s="1"/>
      <c r="B427" s="1"/>
      <c r="C427" s="1"/>
      <c r="D427" s="1"/>
      <c r="E427" s="1"/>
      <c r="F427" s="1"/>
      <c r="G427" s="1"/>
      <c r="H427" s="1" t="s">
        <v>585</v>
      </c>
      <c r="I427" s="1"/>
      <c r="J427" s="1"/>
      <c r="K427" s="1"/>
      <c r="L427" s="1"/>
      <c r="M427" s="1"/>
      <c r="N427" s="1"/>
      <c r="O427" s="1"/>
      <c r="P427" s="1"/>
      <c r="Q427" s="1"/>
    </row>
    <row r="428" spans="1:17" x14ac:dyDescent="0.25">
      <c r="A428" s="1"/>
      <c r="B428" s="1"/>
      <c r="C428" s="1"/>
      <c r="D428" s="1"/>
      <c r="E428" s="1"/>
      <c r="F428" s="1"/>
      <c r="G428" s="1"/>
      <c r="H428" s="1" t="s">
        <v>585</v>
      </c>
      <c r="I428" s="1"/>
      <c r="J428" s="1"/>
      <c r="K428" s="1"/>
      <c r="L428" s="1"/>
      <c r="M428" s="1"/>
      <c r="N428" s="1"/>
      <c r="O428" s="1"/>
      <c r="P428" s="1"/>
      <c r="Q428" s="1"/>
    </row>
    <row r="429" spans="1:17" x14ac:dyDescent="0.25">
      <c r="A429" s="1"/>
      <c r="B429" s="1"/>
      <c r="C429" s="1"/>
      <c r="D429" s="1"/>
      <c r="E429" s="1"/>
      <c r="F429" s="1"/>
      <c r="G429" s="1"/>
      <c r="H429" s="1" t="s">
        <v>585</v>
      </c>
      <c r="I429" s="1"/>
      <c r="J429" s="1"/>
      <c r="K429" s="1"/>
      <c r="L429" s="1"/>
      <c r="M429" s="1"/>
      <c r="N429" s="1"/>
      <c r="O429" s="1"/>
      <c r="P429" s="1"/>
      <c r="Q429" s="1"/>
    </row>
    <row r="430" spans="1:17" x14ac:dyDescent="0.25">
      <c r="A430" s="1"/>
      <c r="B430" s="1"/>
      <c r="C430" s="1"/>
      <c r="D430" s="1"/>
      <c r="E430" s="1"/>
      <c r="F430" s="1"/>
      <c r="G430" s="1"/>
      <c r="H430" s="1" t="s">
        <v>585</v>
      </c>
      <c r="I430" s="1"/>
      <c r="J430" s="1"/>
      <c r="K430" s="1"/>
      <c r="L430" s="1"/>
      <c r="M430" s="1"/>
      <c r="N430" s="1"/>
      <c r="O430" s="1"/>
      <c r="P430" s="1"/>
      <c r="Q430" s="1"/>
    </row>
    <row r="431" spans="1:17" x14ac:dyDescent="0.25">
      <c r="A431" s="1"/>
      <c r="B431" s="1"/>
      <c r="C431" s="1"/>
      <c r="D431" s="1"/>
      <c r="E431" s="1"/>
      <c r="F431" s="1"/>
      <c r="G431" s="1"/>
      <c r="H431" s="1" t="s">
        <v>585</v>
      </c>
      <c r="I431" s="1"/>
      <c r="J431" s="1"/>
      <c r="K431" s="1"/>
      <c r="L431" s="1"/>
      <c r="M431" s="1"/>
      <c r="N431" s="1"/>
      <c r="O431" s="1"/>
      <c r="P431" s="1"/>
      <c r="Q431" s="1"/>
    </row>
    <row r="432" spans="1:17" x14ac:dyDescent="0.25">
      <c r="A432" s="1"/>
      <c r="B432" s="1"/>
      <c r="C432" s="1"/>
      <c r="D432" s="1"/>
      <c r="E432" s="1"/>
      <c r="F432" s="1"/>
      <c r="G432" s="1"/>
      <c r="H432" s="1" t="s">
        <v>585</v>
      </c>
      <c r="I432" s="1"/>
      <c r="J432" s="1"/>
      <c r="K432" s="1"/>
      <c r="L432" s="1"/>
      <c r="M432" s="1"/>
      <c r="N432" s="1"/>
      <c r="O432" s="1"/>
      <c r="P432" s="1"/>
      <c r="Q432" s="1"/>
    </row>
    <row r="433" spans="1:17" x14ac:dyDescent="0.25">
      <c r="A433" s="1"/>
      <c r="B433" s="1"/>
      <c r="C433" s="1"/>
      <c r="D433" s="1"/>
      <c r="E433" s="1"/>
      <c r="F433" s="1"/>
      <c r="G433" s="1"/>
      <c r="H433" s="1" t="s">
        <v>585</v>
      </c>
      <c r="I433" s="1"/>
      <c r="J433" s="1"/>
      <c r="K433" s="1"/>
      <c r="L433" s="1"/>
      <c r="M433" s="1"/>
      <c r="N433" s="1"/>
      <c r="O433" s="1"/>
      <c r="P433" s="1"/>
      <c r="Q433" s="1"/>
    </row>
    <row r="434" spans="1:17" x14ac:dyDescent="0.25">
      <c r="A434" s="1"/>
      <c r="B434" s="1"/>
      <c r="C434" s="1"/>
      <c r="D434" s="1"/>
      <c r="E434" s="1"/>
      <c r="F434" s="1"/>
      <c r="G434" s="1"/>
      <c r="H434" s="1" t="s">
        <v>585</v>
      </c>
      <c r="I434" s="1"/>
      <c r="J434" s="1"/>
      <c r="K434" s="1"/>
      <c r="L434" s="1"/>
      <c r="M434" s="1"/>
      <c r="N434" s="1"/>
      <c r="O434" s="1"/>
      <c r="P434" s="1"/>
      <c r="Q434" s="1"/>
    </row>
    <row r="435" spans="1:17" x14ac:dyDescent="0.25">
      <c r="A435" s="1"/>
      <c r="B435" s="1"/>
      <c r="C435" s="1"/>
      <c r="D435" s="1"/>
      <c r="E435" s="1"/>
      <c r="F435" s="1"/>
      <c r="G435" s="1"/>
      <c r="H435" s="1" t="s">
        <v>585</v>
      </c>
      <c r="I435" s="1"/>
      <c r="J435" s="1"/>
      <c r="K435" s="1"/>
      <c r="L435" s="1"/>
      <c r="M435" s="1"/>
      <c r="N435" s="1"/>
      <c r="O435" s="1"/>
      <c r="P435" s="1"/>
      <c r="Q435" s="1"/>
    </row>
    <row r="436" spans="1:17" x14ac:dyDescent="0.25">
      <c r="A436" s="1"/>
      <c r="B436" s="1"/>
      <c r="C436" s="1"/>
      <c r="D436" s="1"/>
      <c r="E436" s="1"/>
      <c r="F436" s="1"/>
      <c r="G436" s="1"/>
      <c r="H436" s="1" t="s">
        <v>585</v>
      </c>
      <c r="I436" s="1"/>
      <c r="J436" s="1"/>
      <c r="K436" s="1"/>
      <c r="L436" s="1"/>
      <c r="M436" s="1"/>
      <c r="N436" s="1"/>
      <c r="O436" s="1"/>
      <c r="P436" s="1"/>
      <c r="Q436" s="1"/>
    </row>
    <row r="437" spans="1:17" x14ac:dyDescent="0.25">
      <c r="A437" s="1"/>
      <c r="B437" s="1"/>
      <c r="C437" s="1"/>
      <c r="D437" s="1"/>
      <c r="E437" s="1"/>
      <c r="F437" s="1"/>
      <c r="G437" s="1"/>
      <c r="H437" s="1" t="s">
        <v>585</v>
      </c>
      <c r="I437" s="1"/>
      <c r="J437" s="1"/>
      <c r="K437" s="1"/>
      <c r="L437" s="1"/>
      <c r="M437" s="1"/>
      <c r="N437" s="1"/>
      <c r="O437" s="1"/>
      <c r="P437" s="1"/>
      <c r="Q437" s="1"/>
    </row>
    <row r="438" spans="1:17" x14ac:dyDescent="0.25">
      <c r="A438" s="1"/>
      <c r="B438" s="1"/>
      <c r="C438" s="1"/>
      <c r="D438" s="1"/>
      <c r="E438" s="1"/>
      <c r="F438" s="1"/>
      <c r="G438" s="1"/>
      <c r="H438" s="1" t="s">
        <v>585</v>
      </c>
      <c r="I438" s="1"/>
      <c r="J438" s="1"/>
      <c r="K438" s="1"/>
      <c r="L438" s="1"/>
      <c r="M438" s="1"/>
      <c r="N438" s="1"/>
      <c r="O438" s="1"/>
      <c r="P438" s="1"/>
      <c r="Q438" s="1"/>
    </row>
    <row r="439" spans="1:17" x14ac:dyDescent="0.25">
      <c r="A439" s="1"/>
      <c r="B439" s="1"/>
      <c r="C439" s="1"/>
      <c r="D439" s="1"/>
      <c r="E439" s="1"/>
      <c r="F439" s="1"/>
      <c r="G439" s="1"/>
      <c r="H439" s="1" t="s">
        <v>585</v>
      </c>
      <c r="I439" s="1"/>
      <c r="J439" s="1"/>
      <c r="K439" s="1"/>
      <c r="L439" s="1"/>
      <c r="M439" s="1"/>
      <c r="N439" s="1"/>
      <c r="O439" s="1"/>
      <c r="P439" s="1"/>
      <c r="Q439" s="1"/>
    </row>
    <row r="440" spans="1:17" x14ac:dyDescent="0.25">
      <c r="A440" s="1"/>
      <c r="B440" s="1"/>
      <c r="C440" s="1"/>
      <c r="D440" s="1"/>
      <c r="E440" s="1"/>
      <c r="F440" s="1"/>
      <c r="G440" s="1"/>
      <c r="H440" s="1" t="s">
        <v>585</v>
      </c>
      <c r="I440" s="1"/>
      <c r="J440" s="1"/>
      <c r="K440" s="1"/>
      <c r="L440" s="1"/>
      <c r="M440" s="1"/>
      <c r="N440" s="1"/>
      <c r="O440" s="1"/>
      <c r="P440" s="1"/>
      <c r="Q440" s="1"/>
    </row>
    <row r="441" spans="1:17" x14ac:dyDescent="0.25">
      <c r="A441" s="1"/>
      <c r="B441" s="1"/>
      <c r="C441" s="1"/>
      <c r="D441" s="1"/>
      <c r="E441" s="1"/>
      <c r="F441" s="1"/>
      <c r="G441" s="1"/>
      <c r="H441" s="1" t="s">
        <v>585</v>
      </c>
      <c r="I441" s="1"/>
      <c r="J441" s="1"/>
      <c r="K441" s="1"/>
      <c r="L441" s="1"/>
      <c r="M441" s="1"/>
      <c r="N441" s="1"/>
      <c r="O441" s="1"/>
      <c r="P441" s="1"/>
      <c r="Q441" s="1"/>
    </row>
    <row r="442" spans="1:17" x14ac:dyDescent="0.25">
      <c r="A442" s="1"/>
      <c r="B442" s="1"/>
      <c r="C442" s="1"/>
      <c r="D442" s="1"/>
      <c r="E442" s="1"/>
      <c r="F442" s="1"/>
      <c r="G442" s="1"/>
      <c r="H442" s="1" t="s">
        <v>585</v>
      </c>
      <c r="I442" s="1"/>
      <c r="J442" s="1"/>
      <c r="K442" s="1"/>
      <c r="L442" s="1"/>
      <c r="M442" s="1"/>
      <c r="N442" s="1"/>
      <c r="O442" s="1"/>
      <c r="P442" s="1"/>
      <c r="Q442" s="1"/>
    </row>
    <row r="443" spans="1:17" x14ac:dyDescent="0.25">
      <c r="A443" s="1"/>
      <c r="B443" s="1"/>
      <c r="C443" s="1"/>
      <c r="D443" s="1"/>
      <c r="E443" s="1"/>
      <c r="F443" s="1"/>
      <c r="G443" s="1"/>
      <c r="H443" s="1" t="s">
        <v>585</v>
      </c>
      <c r="I443" s="1"/>
      <c r="J443" s="1"/>
      <c r="K443" s="1"/>
      <c r="L443" s="1"/>
      <c r="M443" s="1"/>
      <c r="N443" s="1"/>
      <c r="O443" s="1"/>
      <c r="P443" s="1"/>
      <c r="Q443" s="1"/>
    </row>
    <row r="444" spans="1:17" x14ac:dyDescent="0.25">
      <c r="A444" s="1"/>
      <c r="B444" s="1"/>
      <c r="C444" s="1"/>
      <c r="D444" s="1"/>
      <c r="E444" s="1"/>
      <c r="F444" s="1"/>
      <c r="G444" s="1"/>
      <c r="H444" s="1" t="s">
        <v>585</v>
      </c>
      <c r="I444" s="1"/>
      <c r="J444" s="1"/>
      <c r="K444" s="1"/>
      <c r="L444" s="1"/>
      <c r="M444" s="1"/>
      <c r="N444" s="1"/>
      <c r="O444" s="1"/>
      <c r="P444" s="1"/>
      <c r="Q444" s="1"/>
    </row>
    <row r="445" spans="1:17" x14ac:dyDescent="0.25">
      <c r="A445" s="1"/>
      <c r="B445" s="1"/>
      <c r="C445" s="1"/>
      <c r="D445" s="1"/>
      <c r="E445" s="1"/>
      <c r="F445" s="1"/>
      <c r="G445" s="1"/>
      <c r="H445" s="1" t="s">
        <v>585</v>
      </c>
      <c r="I445" s="1"/>
      <c r="J445" s="1"/>
      <c r="K445" s="1"/>
      <c r="L445" s="1"/>
      <c r="M445" s="1"/>
      <c r="N445" s="1"/>
      <c r="O445" s="1"/>
      <c r="P445" s="1"/>
      <c r="Q445" s="1"/>
    </row>
    <row r="446" spans="1:17" x14ac:dyDescent="0.25">
      <c r="A446" s="1"/>
      <c r="B446" s="1"/>
      <c r="C446" s="1"/>
      <c r="D446" s="1"/>
      <c r="E446" s="1"/>
      <c r="F446" s="1"/>
      <c r="G446" s="1"/>
      <c r="H446" s="1" t="s">
        <v>585</v>
      </c>
      <c r="I446" s="1"/>
      <c r="J446" s="1"/>
      <c r="K446" s="1"/>
      <c r="L446" s="1"/>
      <c r="M446" s="1"/>
      <c r="N446" s="1"/>
      <c r="O446" s="1"/>
      <c r="P446" s="1"/>
      <c r="Q446" s="1"/>
    </row>
    <row r="447" spans="1:17" x14ac:dyDescent="0.25">
      <c r="A447" s="1"/>
      <c r="B447" s="1"/>
      <c r="C447" s="1"/>
      <c r="D447" s="1"/>
      <c r="E447" s="1"/>
      <c r="F447" s="1"/>
      <c r="G447" s="1"/>
      <c r="H447" s="1" t="s">
        <v>585</v>
      </c>
      <c r="I447" s="1"/>
      <c r="J447" s="1"/>
      <c r="K447" s="1"/>
      <c r="L447" s="1"/>
      <c r="M447" s="1"/>
      <c r="N447" s="1"/>
      <c r="O447" s="1"/>
      <c r="P447" s="1"/>
      <c r="Q447" s="1"/>
    </row>
    <row r="448" spans="1:17" x14ac:dyDescent="0.25">
      <c r="A448" s="1"/>
      <c r="B448" s="1"/>
      <c r="C448" s="1"/>
      <c r="D448" s="1"/>
      <c r="E448" s="1"/>
      <c r="F448" s="1"/>
      <c r="G448" s="1"/>
      <c r="H448" s="1" t="s">
        <v>585</v>
      </c>
      <c r="I448" s="1"/>
      <c r="J448" s="1"/>
      <c r="K448" s="1"/>
      <c r="L448" s="1"/>
      <c r="M448" s="1"/>
      <c r="N448" s="1"/>
      <c r="O448" s="1"/>
      <c r="P448" s="1"/>
      <c r="Q448" s="1"/>
    </row>
    <row r="449" spans="1:17" x14ac:dyDescent="0.25">
      <c r="A449" s="1"/>
      <c r="B449" s="1"/>
      <c r="C449" s="1"/>
      <c r="D449" s="1"/>
      <c r="E449" s="1"/>
      <c r="F449" s="1"/>
      <c r="G449" s="1"/>
      <c r="H449" s="1" t="s">
        <v>585</v>
      </c>
      <c r="I449" s="1"/>
      <c r="J449" s="1"/>
      <c r="K449" s="1"/>
      <c r="L449" s="1"/>
      <c r="M449" s="1"/>
      <c r="N449" s="1"/>
      <c r="O449" s="1"/>
      <c r="P449" s="1"/>
      <c r="Q449" s="1"/>
    </row>
    <row r="450" spans="1:17" x14ac:dyDescent="0.25">
      <c r="A450" s="1"/>
      <c r="B450" s="1"/>
      <c r="C450" s="1"/>
      <c r="D450" s="1"/>
      <c r="E450" s="1"/>
      <c r="F450" s="1"/>
      <c r="G450" s="1"/>
      <c r="H450" s="1" t="s">
        <v>585</v>
      </c>
      <c r="I450" s="1"/>
      <c r="J450" s="1"/>
      <c r="K450" s="1"/>
      <c r="L450" s="1"/>
      <c r="M450" s="1"/>
      <c r="N450" s="1"/>
      <c r="O450" s="1"/>
      <c r="P450" s="1"/>
      <c r="Q450" s="1"/>
    </row>
    <row r="451" spans="1:17" x14ac:dyDescent="0.25">
      <c r="A451" s="1"/>
      <c r="B451" s="1"/>
      <c r="C451" s="1"/>
      <c r="D451" s="1"/>
      <c r="E451" s="1"/>
      <c r="F451" s="1"/>
      <c r="G451" s="1"/>
      <c r="H451" s="1" t="s">
        <v>585</v>
      </c>
      <c r="I451" s="1"/>
      <c r="J451" s="1"/>
      <c r="K451" s="1"/>
      <c r="L451" s="1"/>
      <c r="M451" s="1"/>
      <c r="N451" s="1"/>
      <c r="O451" s="1"/>
      <c r="P451" s="1"/>
      <c r="Q451" s="1"/>
    </row>
    <row r="452" spans="1:17" x14ac:dyDescent="0.25">
      <c r="A452" s="1"/>
      <c r="B452" s="1"/>
      <c r="C452" s="1"/>
      <c r="D452" s="1"/>
      <c r="E452" s="1"/>
      <c r="F452" s="1"/>
      <c r="G452" s="1"/>
      <c r="H452" s="1" t="s">
        <v>585</v>
      </c>
      <c r="I452" s="1"/>
      <c r="J452" s="1"/>
      <c r="K452" s="1"/>
      <c r="L452" s="1"/>
      <c r="M452" s="1"/>
      <c r="N452" s="1"/>
      <c r="O452" s="1"/>
      <c r="P452" s="1"/>
      <c r="Q452" s="1"/>
    </row>
    <row r="453" spans="1:17" x14ac:dyDescent="0.25">
      <c r="A453" s="1"/>
      <c r="B453" s="1"/>
      <c r="C453" s="1"/>
      <c r="D453" s="1"/>
      <c r="E453" s="1"/>
      <c r="F453" s="1"/>
      <c r="G453" s="1"/>
      <c r="H453" s="1" t="s">
        <v>585</v>
      </c>
      <c r="I453" s="1"/>
      <c r="J453" s="1"/>
      <c r="K453" s="1"/>
      <c r="L453" s="1"/>
      <c r="M453" s="1"/>
      <c r="N453" s="1"/>
      <c r="O453" s="1"/>
      <c r="P453" s="1"/>
      <c r="Q453" s="1"/>
    </row>
    <row r="454" spans="1:17" x14ac:dyDescent="0.25">
      <c r="A454" s="1"/>
      <c r="B454" s="1"/>
      <c r="C454" s="1"/>
      <c r="D454" s="1"/>
      <c r="E454" s="1"/>
      <c r="F454" s="1"/>
      <c r="G454" s="1"/>
      <c r="H454" s="1" t="s">
        <v>585</v>
      </c>
      <c r="I454" s="1"/>
      <c r="J454" s="1"/>
      <c r="K454" s="1"/>
      <c r="L454" s="1"/>
      <c r="M454" s="1"/>
      <c r="N454" s="1"/>
      <c r="O454" s="1"/>
      <c r="P454" s="1"/>
      <c r="Q454" s="1"/>
    </row>
    <row r="455" spans="1:17" x14ac:dyDescent="0.25">
      <c r="A455" s="1"/>
      <c r="B455" s="1"/>
      <c r="C455" s="1"/>
      <c r="D455" s="1"/>
      <c r="E455" s="1"/>
      <c r="F455" s="1"/>
      <c r="G455" s="1"/>
      <c r="H455" s="1" t="s">
        <v>585</v>
      </c>
      <c r="I455" s="1"/>
      <c r="J455" s="1"/>
      <c r="K455" s="1"/>
      <c r="L455" s="1"/>
      <c r="M455" s="1"/>
      <c r="N455" s="1"/>
      <c r="O455" s="1"/>
      <c r="P455" s="1"/>
      <c r="Q455" s="1"/>
    </row>
    <row r="456" spans="1:17" x14ac:dyDescent="0.25">
      <c r="A456" s="1"/>
      <c r="B456" s="1"/>
      <c r="C456" s="1"/>
      <c r="D456" s="1"/>
      <c r="E456" s="1"/>
      <c r="F456" s="1"/>
      <c r="G456" s="1"/>
      <c r="H456" s="1" t="s">
        <v>585</v>
      </c>
      <c r="I456" s="1"/>
      <c r="J456" s="1"/>
      <c r="K456" s="1"/>
      <c r="L456" s="1"/>
      <c r="M456" s="1"/>
      <c r="N456" s="1"/>
      <c r="O456" s="1"/>
      <c r="P456" s="1"/>
      <c r="Q456" s="1"/>
    </row>
    <row r="457" spans="1:17" x14ac:dyDescent="0.25">
      <c r="A457" s="1"/>
      <c r="B457" s="1"/>
      <c r="C457" s="1"/>
      <c r="D457" s="1"/>
      <c r="E457" s="1"/>
      <c r="F457" s="1"/>
      <c r="G457" s="1"/>
      <c r="H457" s="1" t="s">
        <v>585</v>
      </c>
      <c r="I457" s="1"/>
      <c r="J457" s="1"/>
      <c r="K457" s="1"/>
      <c r="L457" s="1"/>
      <c r="M457" s="1"/>
      <c r="N457" s="1"/>
      <c r="O457" s="1"/>
      <c r="P457" s="1"/>
      <c r="Q457" s="1"/>
    </row>
    <row r="458" spans="1:17" x14ac:dyDescent="0.25">
      <c r="A458" s="1"/>
      <c r="B458" s="1"/>
      <c r="C458" s="1"/>
      <c r="D458" s="1"/>
      <c r="E458" s="1"/>
      <c r="F458" s="1"/>
      <c r="G458" s="1"/>
      <c r="H458" s="1" t="s">
        <v>585</v>
      </c>
      <c r="I458" s="1"/>
      <c r="J458" s="1"/>
      <c r="K458" s="1"/>
      <c r="L458" s="1"/>
      <c r="M458" s="1"/>
      <c r="N458" s="1"/>
      <c r="O458" s="1"/>
      <c r="P458" s="1"/>
      <c r="Q458" s="1"/>
    </row>
    <row r="459" spans="1:17" x14ac:dyDescent="0.25">
      <c r="A459" s="1"/>
      <c r="B459" s="1"/>
      <c r="C459" s="1"/>
      <c r="D459" s="1"/>
      <c r="E459" s="1"/>
      <c r="F459" s="1"/>
      <c r="G459" s="1"/>
      <c r="H459" s="1" t="s">
        <v>585</v>
      </c>
      <c r="I459" s="1"/>
      <c r="J459" s="1"/>
      <c r="K459" s="1"/>
      <c r="L459" s="1"/>
      <c r="M459" s="1"/>
      <c r="N459" s="1"/>
      <c r="O459" s="1"/>
      <c r="P459" s="1"/>
      <c r="Q459" s="1"/>
    </row>
    <row r="460" spans="1:17" x14ac:dyDescent="0.25">
      <c r="A460" s="1"/>
      <c r="B460" s="1"/>
      <c r="C460" s="1"/>
      <c r="D460" s="1"/>
      <c r="E460" s="1"/>
      <c r="F460" s="1"/>
      <c r="G460" s="1"/>
      <c r="H460" s="1" t="s">
        <v>585</v>
      </c>
      <c r="I460" s="1"/>
      <c r="J460" s="1"/>
      <c r="K460" s="1"/>
      <c r="L460" s="1"/>
      <c r="M460" s="1"/>
      <c r="N460" s="1"/>
      <c r="O460" s="1"/>
      <c r="P460" s="1"/>
      <c r="Q460" s="1"/>
    </row>
    <row r="461" spans="1:17" x14ac:dyDescent="0.25">
      <c r="A461" s="1"/>
      <c r="B461" s="1"/>
      <c r="C461" s="1"/>
      <c r="D461" s="1"/>
      <c r="E461" s="1"/>
      <c r="F461" s="1"/>
      <c r="G461" s="1"/>
      <c r="H461" s="1" t="s">
        <v>585</v>
      </c>
      <c r="I461" s="1"/>
      <c r="J461" s="1"/>
      <c r="K461" s="1"/>
      <c r="L461" s="1"/>
      <c r="M461" s="1"/>
      <c r="N461" s="1"/>
      <c r="O461" s="1"/>
      <c r="P461" s="1"/>
      <c r="Q461" s="1"/>
    </row>
    <row r="462" spans="1:17" x14ac:dyDescent="0.25">
      <c r="A462" s="1"/>
      <c r="B462" s="1"/>
      <c r="C462" s="1"/>
      <c r="D462" s="1"/>
      <c r="E462" s="1"/>
      <c r="F462" s="1"/>
      <c r="G462" s="1"/>
      <c r="H462" s="1" t="s">
        <v>585</v>
      </c>
      <c r="I462" s="1"/>
      <c r="J462" s="1"/>
      <c r="K462" s="1"/>
      <c r="L462" s="1"/>
      <c r="M462" s="1"/>
      <c r="N462" s="1"/>
      <c r="O462" s="1"/>
      <c r="P462" s="1"/>
      <c r="Q462" s="1"/>
    </row>
    <row r="463" spans="1:17" x14ac:dyDescent="0.25">
      <c r="A463" s="1"/>
      <c r="B463" s="1"/>
      <c r="C463" s="1"/>
      <c r="D463" s="1"/>
      <c r="E463" s="1"/>
      <c r="F463" s="1"/>
      <c r="G463" s="1"/>
      <c r="H463" s="1" t="s">
        <v>585</v>
      </c>
      <c r="I463" s="1"/>
      <c r="J463" s="1"/>
      <c r="K463" s="1"/>
      <c r="L463" s="1"/>
      <c r="M463" s="1"/>
      <c r="N463" s="1"/>
      <c r="O463" s="1"/>
      <c r="P463" s="1"/>
      <c r="Q463" s="1"/>
    </row>
    <row r="464" spans="1:17" x14ac:dyDescent="0.25">
      <c r="A464" s="1"/>
      <c r="B464" s="1"/>
      <c r="C464" s="1"/>
      <c r="D464" s="1"/>
      <c r="E464" s="1"/>
      <c r="F464" s="1"/>
      <c r="G464" s="1"/>
      <c r="H464" s="1" t="s">
        <v>585</v>
      </c>
      <c r="I464" s="1"/>
      <c r="J464" s="1"/>
      <c r="K464" s="1"/>
      <c r="L464" s="1"/>
      <c r="M464" s="1"/>
      <c r="N464" s="1"/>
      <c r="O464" s="1"/>
      <c r="P464" s="1"/>
      <c r="Q464" s="1"/>
    </row>
    <row r="465" spans="1:17" x14ac:dyDescent="0.25">
      <c r="A465" s="1"/>
      <c r="B465" s="1"/>
      <c r="C465" s="1"/>
      <c r="D465" s="1"/>
      <c r="E465" s="1"/>
      <c r="F465" s="1"/>
      <c r="G465" s="1"/>
      <c r="H465" s="1" t="s">
        <v>585</v>
      </c>
      <c r="I465" s="1"/>
      <c r="J465" s="1"/>
      <c r="K465" s="1"/>
      <c r="L465" s="1"/>
      <c r="M465" s="1"/>
      <c r="N465" s="1"/>
      <c r="O465" s="1"/>
      <c r="P465" s="1"/>
      <c r="Q465" s="1"/>
    </row>
    <row r="466" spans="1:17" x14ac:dyDescent="0.25">
      <c r="A466" s="1"/>
      <c r="B466" s="1"/>
      <c r="C466" s="1"/>
      <c r="D466" s="1"/>
      <c r="E466" s="1"/>
      <c r="F466" s="1"/>
      <c r="G466" s="1"/>
      <c r="H466" s="1" t="s">
        <v>585</v>
      </c>
      <c r="I466" s="1"/>
      <c r="J466" s="1"/>
      <c r="K466" s="1"/>
      <c r="L466" s="1"/>
      <c r="M466" s="1"/>
      <c r="N466" s="1"/>
      <c r="O466" s="1"/>
      <c r="P466" s="1"/>
      <c r="Q466" s="1"/>
    </row>
    <row r="467" spans="1:17" x14ac:dyDescent="0.25">
      <c r="A467" s="1"/>
      <c r="B467" s="1"/>
      <c r="C467" s="1"/>
      <c r="D467" s="1"/>
      <c r="E467" s="1"/>
      <c r="F467" s="1"/>
      <c r="G467" s="1"/>
      <c r="H467" s="1" t="s">
        <v>585</v>
      </c>
      <c r="I467" s="1"/>
      <c r="J467" s="1"/>
      <c r="K467" s="1"/>
      <c r="L467" s="1"/>
      <c r="M467" s="1"/>
      <c r="N467" s="1"/>
      <c r="O467" s="1"/>
      <c r="P467" s="1"/>
      <c r="Q467" s="1"/>
    </row>
    <row r="468" spans="1:17" x14ac:dyDescent="0.25">
      <c r="A468" s="1"/>
      <c r="B468" s="1"/>
      <c r="C468" s="1"/>
      <c r="D468" s="1"/>
      <c r="E468" s="1"/>
      <c r="F468" s="1"/>
      <c r="G468" s="1"/>
      <c r="H468" s="1" t="s">
        <v>585</v>
      </c>
      <c r="I468" s="1"/>
      <c r="J468" s="1"/>
      <c r="K468" s="1"/>
      <c r="L468" s="1"/>
      <c r="M468" s="1"/>
      <c r="N468" s="1"/>
      <c r="O468" s="1"/>
      <c r="P468" s="1"/>
      <c r="Q468" s="1"/>
    </row>
    <row r="469" spans="1:17" x14ac:dyDescent="0.25">
      <c r="A469" s="1"/>
      <c r="B469" s="1"/>
      <c r="C469" s="1"/>
      <c r="D469" s="1"/>
      <c r="E469" s="1"/>
      <c r="F469" s="1"/>
      <c r="G469" s="1"/>
      <c r="H469" s="1" t="s">
        <v>585</v>
      </c>
      <c r="I469" s="1"/>
      <c r="J469" s="1"/>
      <c r="K469" s="1"/>
      <c r="L469" s="1"/>
      <c r="M469" s="1"/>
      <c r="N469" s="1"/>
      <c r="O469" s="1"/>
      <c r="P469" s="1"/>
      <c r="Q469" s="1"/>
    </row>
    <row r="470" spans="1:17" x14ac:dyDescent="0.25">
      <c r="A470" s="1"/>
      <c r="B470" s="1"/>
      <c r="C470" s="1"/>
      <c r="D470" s="1"/>
      <c r="E470" s="1"/>
      <c r="F470" s="1"/>
      <c r="G470" s="1"/>
      <c r="H470" s="1" t="s">
        <v>585</v>
      </c>
      <c r="I470" s="1"/>
      <c r="J470" s="1"/>
      <c r="K470" s="1"/>
      <c r="L470" s="1"/>
      <c r="M470" s="1"/>
      <c r="N470" s="1"/>
      <c r="O470" s="1"/>
      <c r="P470" s="1"/>
      <c r="Q470" s="1"/>
    </row>
    <row r="471" spans="1:17" x14ac:dyDescent="0.25">
      <c r="A471" s="1"/>
      <c r="B471" s="1"/>
      <c r="C471" s="1"/>
      <c r="D471" s="1"/>
      <c r="E471" s="1"/>
      <c r="F471" s="1"/>
      <c r="G471" s="1"/>
      <c r="H471" s="1" t="s">
        <v>585</v>
      </c>
      <c r="I471" s="1"/>
      <c r="J471" s="1"/>
      <c r="K471" s="1"/>
      <c r="L471" s="1"/>
      <c r="M471" s="1"/>
      <c r="N471" s="1"/>
      <c r="O471" s="1"/>
      <c r="P471" s="1"/>
      <c r="Q471" s="1"/>
    </row>
    <row r="472" spans="1:17" x14ac:dyDescent="0.25">
      <c r="A472" s="1"/>
      <c r="B472" s="1"/>
      <c r="C472" s="1"/>
      <c r="D472" s="1"/>
      <c r="E472" s="1"/>
      <c r="F472" s="1"/>
      <c r="G472" s="1"/>
      <c r="H472" s="1" t="s">
        <v>585</v>
      </c>
      <c r="I472" s="1"/>
      <c r="J472" s="1"/>
      <c r="K472" s="1"/>
      <c r="L472" s="1"/>
      <c r="M472" s="1"/>
      <c r="N472" s="1"/>
      <c r="O472" s="1"/>
      <c r="P472" s="1"/>
      <c r="Q472" s="1"/>
    </row>
    <row r="473" spans="1:17" x14ac:dyDescent="0.25">
      <c r="A473" s="1"/>
      <c r="B473" s="1"/>
      <c r="C473" s="1"/>
      <c r="D473" s="1"/>
      <c r="E473" s="1"/>
      <c r="F473" s="1"/>
      <c r="G473" s="1"/>
      <c r="H473" s="1" t="s">
        <v>585</v>
      </c>
      <c r="I473" s="1"/>
      <c r="J473" s="1"/>
      <c r="K473" s="1"/>
      <c r="L473" s="1"/>
      <c r="M473" s="1"/>
      <c r="N473" s="1"/>
      <c r="O473" s="1"/>
      <c r="P473" s="1"/>
      <c r="Q473" s="1"/>
    </row>
    <row r="474" spans="1:17" x14ac:dyDescent="0.25">
      <c r="A474" s="1"/>
      <c r="B474" s="1"/>
      <c r="C474" s="1"/>
      <c r="D474" s="1"/>
      <c r="E474" s="1"/>
      <c r="F474" s="1"/>
      <c r="G474" s="1"/>
      <c r="H474" s="1" t="s">
        <v>585</v>
      </c>
      <c r="I474" s="1"/>
      <c r="J474" s="1"/>
      <c r="K474" s="1"/>
      <c r="L474" s="1"/>
      <c r="M474" s="1"/>
      <c r="N474" s="1"/>
      <c r="O474" s="1"/>
      <c r="P474" s="1"/>
      <c r="Q474" s="1"/>
    </row>
    <row r="475" spans="1:17" x14ac:dyDescent="0.25">
      <c r="A475" s="1"/>
      <c r="B475" s="1"/>
      <c r="C475" s="1"/>
      <c r="D475" s="1"/>
      <c r="E475" s="1"/>
      <c r="F475" s="1"/>
      <c r="G475" s="1"/>
      <c r="H475" s="1" t="s">
        <v>585</v>
      </c>
      <c r="I475" s="1"/>
      <c r="J475" s="1"/>
      <c r="K475" s="1"/>
      <c r="L475" s="1"/>
      <c r="M475" s="1"/>
      <c r="N475" s="1"/>
      <c r="O475" s="1"/>
      <c r="P475" s="1"/>
      <c r="Q475" s="1"/>
    </row>
    <row r="476" spans="1:17" x14ac:dyDescent="0.25">
      <c r="A476" s="1"/>
      <c r="B476" s="1"/>
      <c r="C476" s="1"/>
      <c r="D476" s="1"/>
      <c r="E476" s="1"/>
      <c r="F476" s="1"/>
      <c r="G476" s="1"/>
      <c r="H476" s="1" t="s">
        <v>585</v>
      </c>
      <c r="I476" s="1"/>
      <c r="J476" s="1"/>
      <c r="K476" s="1"/>
      <c r="L476" s="1"/>
      <c r="M476" s="1"/>
      <c r="N476" s="1"/>
      <c r="O476" s="1"/>
      <c r="P476" s="1"/>
      <c r="Q476" s="1"/>
    </row>
    <row r="477" spans="1:17" x14ac:dyDescent="0.25">
      <c r="A477" s="1"/>
      <c r="B477" s="1"/>
      <c r="C477" s="1"/>
      <c r="D477" s="1"/>
      <c r="E477" s="1"/>
      <c r="F477" s="1"/>
      <c r="G477" s="1"/>
      <c r="H477" s="1" t="s">
        <v>585</v>
      </c>
      <c r="I477" s="1"/>
      <c r="J477" s="1"/>
      <c r="K477" s="1"/>
      <c r="L477" s="1"/>
      <c r="M477" s="1"/>
      <c r="N477" s="1"/>
      <c r="O477" s="1"/>
      <c r="P477" s="1"/>
      <c r="Q477" s="1"/>
    </row>
    <row r="478" spans="1:17" x14ac:dyDescent="0.25">
      <c r="A478" s="1"/>
      <c r="B478" s="1"/>
      <c r="C478" s="1"/>
      <c r="D478" s="1"/>
      <c r="E478" s="1"/>
      <c r="F478" s="1"/>
      <c r="G478" s="1"/>
      <c r="H478" s="1" t="s">
        <v>585</v>
      </c>
      <c r="I478" s="1"/>
      <c r="J478" s="1"/>
      <c r="K478" s="1"/>
      <c r="L478" s="1"/>
      <c r="M478" s="1"/>
      <c r="N478" s="1"/>
      <c r="O478" s="1"/>
      <c r="P478" s="1"/>
      <c r="Q478" s="1"/>
    </row>
    <row r="479" spans="1:17" x14ac:dyDescent="0.25">
      <c r="A479" s="1"/>
      <c r="B479" s="1"/>
      <c r="C479" s="1"/>
      <c r="D479" s="1"/>
      <c r="E479" s="1"/>
      <c r="F479" s="1"/>
      <c r="G479" s="1"/>
      <c r="H479" s="1" t="s">
        <v>585</v>
      </c>
      <c r="I479" s="1"/>
      <c r="J479" s="1"/>
      <c r="K479" s="1"/>
      <c r="L479" s="1"/>
      <c r="M479" s="1"/>
      <c r="N479" s="1"/>
      <c r="O479" s="1"/>
      <c r="P479" s="1"/>
      <c r="Q479" s="1"/>
    </row>
    <row r="480" spans="1:17" x14ac:dyDescent="0.25">
      <c r="A480" s="1"/>
      <c r="B480" s="1"/>
      <c r="C480" s="1"/>
      <c r="D480" s="1"/>
      <c r="E480" s="1"/>
      <c r="F480" s="1"/>
      <c r="G480" s="1"/>
      <c r="H480" s="1" t="s">
        <v>585</v>
      </c>
      <c r="I480" s="1"/>
      <c r="J480" s="1"/>
      <c r="K480" s="1"/>
      <c r="L480" s="1"/>
      <c r="M480" s="1"/>
      <c r="N480" s="1"/>
      <c r="O480" s="1"/>
      <c r="P480" s="1"/>
      <c r="Q480" s="1"/>
    </row>
    <row r="481" spans="1:17" x14ac:dyDescent="0.25">
      <c r="A481" s="1"/>
      <c r="B481" s="1"/>
      <c r="C481" s="1"/>
      <c r="D481" s="1"/>
      <c r="E481" s="1"/>
      <c r="F481" s="1"/>
      <c r="G481" s="1"/>
      <c r="H481" s="1" t="s">
        <v>585</v>
      </c>
      <c r="I481" s="1"/>
      <c r="J481" s="1"/>
      <c r="K481" s="1"/>
      <c r="L481" s="1"/>
      <c r="M481" s="1"/>
      <c r="N481" s="1"/>
      <c r="O481" s="1"/>
      <c r="P481" s="1"/>
      <c r="Q481" s="1"/>
    </row>
    <row r="482" spans="1:17" x14ac:dyDescent="0.25">
      <c r="A482" s="1"/>
      <c r="B482" s="1"/>
      <c r="C482" s="1"/>
      <c r="D482" s="1"/>
      <c r="E482" s="1"/>
      <c r="F482" s="1"/>
      <c r="G482" s="1"/>
      <c r="H482" s="1" t="s">
        <v>585</v>
      </c>
      <c r="I482" s="1"/>
      <c r="J482" s="1"/>
      <c r="K482" s="1"/>
      <c r="L482" s="1"/>
      <c r="M482" s="1"/>
      <c r="N482" s="1"/>
      <c r="O482" s="1"/>
      <c r="P482" s="1"/>
      <c r="Q482" s="1"/>
    </row>
    <row r="483" spans="1:17" x14ac:dyDescent="0.25">
      <c r="A483" s="1"/>
      <c r="B483" s="1"/>
      <c r="C483" s="1"/>
      <c r="D483" s="1"/>
      <c r="E483" s="1"/>
      <c r="F483" s="1"/>
      <c r="G483" s="1"/>
      <c r="H483" s="1" t="s">
        <v>585</v>
      </c>
      <c r="I483" s="1"/>
      <c r="J483" s="1"/>
      <c r="K483" s="1"/>
      <c r="L483" s="1"/>
      <c r="M483" s="1"/>
      <c r="N483" s="1"/>
      <c r="O483" s="1"/>
      <c r="P483" s="1"/>
      <c r="Q483" s="1"/>
    </row>
    <row r="484" spans="1:17" x14ac:dyDescent="0.25">
      <c r="A484" s="1"/>
      <c r="B484" s="1"/>
      <c r="C484" s="1"/>
      <c r="D484" s="1"/>
      <c r="E484" s="1"/>
      <c r="F484" s="1"/>
      <c r="G484" s="1"/>
      <c r="H484" s="1" t="s">
        <v>585</v>
      </c>
      <c r="I484" s="1"/>
      <c r="J484" s="1"/>
      <c r="K484" s="1"/>
      <c r="L484" s="1"/>
      <c r="M484" s="1"/>
      <c r="N484" s="1"/>
      <c r="O484" s="1"/>
      <c r="P484" s="1"/>
      <c r="Q484" s="1"/>
    </row>
    <row r="485" spans="1:17" x14ac:dyDescent="0.25">
      <c r="A485" s="1"/>
      <c r="B485" s="1"/>
      <c r="C485" s="1"/>
      <c r="D485" s="1"/>
      <c r="E485" s="1"/>
      <c r="F485" s="1"/>
      <c r="G485" s="1"/>
      <c r="H485" s="1" t="s">
        <v>585</v>
      </c>
      <c r="I485" s="1"/>
      <c r="J485" s="1"/>
      <c r="K485" s="1"/>
      <c r="L485" s="1"/>
      <c r="M485" s="1"/>
      <c r="N485" s="1"/>
      <c r="O485" s="1"/>
      <c r="P485" s="1"/>
      <c r="Q485" s="1"/>
    </row>
    <row r="486" spans="1:17" x14ac:dyDescent="0.25">
      <c r="A486" s="1"/>
      <c r="B486" s="1"/>
      <c r="C486" s="1"/>
      <c r="D486" s="1"/>
      <c r="E486" s="1"/>
      <c r="F486" s="1"/>
      <c r="G486" s="1"/>
      <c r="H486" s="1" t="s">
        <v>585</v>
      </c>
      <c r="I486" s="1"/>
      <c r="J486" s="1"/>
      <c r="K486" s="1"/>
      <c r="L486" s="1"/>
      <c r="M486" s="1"/>
      <c r="N486" s="1"/>
      <c r="O486" s="1"/>
      <c r="P486" s="1"/>
      <c r="Q486" s="1"/>
    </row>
    <row r="487" spans="1:17" x14ac:dyDescent="0.25">
      <c r="A487" s="1"/>
      <c r="B487" s="1"/>
      <c r="C487" s="1"/>
      <c r="D487" s="1"/>
      <c r="E487" s="1"/>
      <c r="F487" s="1"/>
      <c r="G487" s="1"/>
      <c r="H487" s="1" t="s">
        <v>585</v>
      </c>
      <c r="I487" s="1"/>
      <c r="J487" s="1"/>
      <c r="K487" s="1"/>
      <c r="L487" s="1"/>
      <c r="M487" s="1"/>
      <c r="N487" s="1"/>
      <c r="O487" s="1"/>
      <c r="P487" s="1"/>
      <c r="Q487" s="1"/>
    </row>
    <row r="488" spans="1:17" x14ac:dyDescent="0.25">
      <c r="A488" s="1"/>
      <c r="B488" s="1"/>
      <c r="C488" s="1"/>
      <c r="D488" s="1"/>
      <c r="E488" s="1"/>
      <c r="F488" s="1"/>
      <c r="G488" s="1"/>
      <c r="H488" s="1" t="s">
        <v>585</v>
      </c>
      <c r="I488" s="1"/>
      <c r="J488" s="1"/>
      <c r="K488" s="1"/>
      <c r="L488" s="1"/>
      <c r="M488" s="1"/>
      <c r="N488" s="1"/>
      <c r="O488" s="1"/>
      <c r="P488" s="1"/>
      <c r="Q488" s="1"/>
    </row>
    <row r="489" spans="1:17" x14ac:dyDescent="0.25">
      <c r="A489" s="1"/>
      <c r="B489" s="1"/>
      <c r="C489" s="1"/>
      <c r="D489" s="1"/>
      <c r="E489" s="1"/>
      <c r="F489" s="1"/>
      <c r="G489" s="1"/>
      <c r="H489" s="1" t="s">
        <v>585</v>
      </c>
      <c r="I489" s="1"/>
      <c r="J489" s="1"/>
      <c r="K489" s="1"/>
      <c r="L489" s="1"/>
      <c r="M489" s="1"/>
      <c r="N489" s="1"/>
      <c r="O489" s="1"/>
      <c r="P489" s="1"/>
      <c r="Q489" s="1"/>
    </row>
    <row r="490" spans="1:17" x14ac:dyDescent="0.25">
      <c r="A490" s="1"/>
      <c r="B490" s="1"/>
      <c r="C490" s="1"/>
      <c r="D490" s="1"/>
      <c r="E490" s="1"/>
      <c r="F490" s="1"/>
      <c r="G490" s="1"/>
      <c r="H490" s="1" t="s">
        <v>585</v>
      </c>
      <c r="I490" s="1"/>
      <c r="J490" s="1"/>
      <c r="K490" s="1"/>
      <c r="L490" s="1"/>
      <c r="M490" s="1"/>
      <c r="N490" s="1"/>
      <c r="O490" s="1"/>
      <c r="P490" s="1"/>
      <c r="Q490" s="1"/>
    </row>
    <row r="491" spans="1:17" x14ac:dyDescent="0.25">
      <c r="A491" s="1"/>
      <c r="B491" s="1"/>
      <c r="C491" s="1"/>
      <c r="D491" s="1"/>
      <c r="E491" s="1"/>
      <c r="F491" s="1"/>
      <c r="G491" s="1"/>
      <c r="H491" s="1" t="s">
        <v>585</v>
      </c>
      <c r="I491" s="1"/>
      <c r="J491" s="1"/>
      <c r="K491" s="1"/>
      <c r="L491" s="1"/>
      <c r="M491" s="1"/>
      <c r="N491" s="1"/>
      <c r="O491" s="1"/>
      <c r="P491" s="1"/>
      <c r="Q491" s="1"/>
    </row>
    <row r="492" spans="1:17" x14ac:dyDescent="0.25">
      <c r="A492" s="1"/>
      <c r="B492" s="1"/>
      <c r="C492" s="1"/>
      <c r="D492" s="1"/>
      <c r="E492" s="1"/>
      <c r="F492" s="1"/>
      <c r="G492" s="1"/>
      <c r="H492" s="1" t="s">
        <v>585</v>
      </c>
      <c r="I492" s="1"/>
      <c r="J492" s="1"/>
      <c r="K492" s="1"/>
      <c r="L492" s="1"/>
      <c r="M492" s="1"/>
      <c r="N492" s="1"/>
      <c r="O492" s="1"/>
      <c r="P492" s="1"/>
      <c r="Q492" s="1"/>
    </row>
    <row r="493" spans="1:17" x14ac:dyDescent="0.25">
      <c r="A493" s="1"/>
      <c r="B493" s="1"/>
      <c r="C493" s="1"/>
      <c r="D493" s="1"/>
      <c r="E493" s="1"/>
      <c r="F493" s="1"/>
      <c r="G493" s="1"/>
      <c r="H493" s="1" t="s">
        <v>585</v>
      </c>
      <c r="I493" s="1"/>
      <c r="J493" s="1"/>
      <c r="K493" s="1"/>
      <c r="L493" s="1"/>
      <c r="M493" s="1"/>
      <c r="N493" s="1"/>
      <c r="O493" s="1"/>
      <c r="P493" s="1"/>
      <c r="Q493" s="1"/>
    </row>
    <row r="494" spans="1:17" x14ac:dyDescent="0.25">
      <c r="A494" s="1"/>
      <c r="B494" s="1"/>
      <c r="C494" s="1"/>
      <c r="D494" s="1"/>
      <c r="E494" s="1"/>
      <c r="F494" s="1"/>
      <c r="G494" s="1"/>
      <c r="H494" s="1" t="s">
        <v>585</v>
      </c>
      <c r="I494" s="1"/>
      <c r="J494" s="1"/>
      <c r="K494" s="1"/>
      <c r="L494" s="1"/>
      <c r="M494" s="1"/>
      <c r="N494" s="1"/>
      <c r="O494" s="1"/>
      <c r="P494" s="1"/>
      <c r="Q494" s="1"/>
    </row>
    <row r="495" spans="1:17" x14ac:dyDescent="0.25">
      <c r="A495" s="1"/>
      <c r="B495" s="1"/>
      <c r="C495" s="1"/>
      <c r="D495" s="1"/>
      <c r="E495" s="1"/>
      <c r="F495" s="1"/>
      <c r="G495" s="1"/>
      <c r="H495" s="1" t="s">
        <v>585</v>
      </c>
      <c r="I495" s="1"/>
      <c r="J495" s="1"/>
      <c r="K495" s="1"/>
      <c r="L495" s="1"/>
      <c r="M495" s="1"/>
      <c r="N495" s="1"/>
      <c r="O495" s="1"/>
      <c r="P495" s="1"/>
      <c r="Q495" s="1"/>
    </row>
    <row r="496" spans="1:17" x14ac:dyDescent="0.25">
      <c r="A496" s="1"/>
      <c r="B496" s="1"/>
      <c r="C496" s="1"/>
      <c r="D496" s="1"/>
      <c r="E496" s="1"/>
      <c r="F496" s="1"/>
      <c r="G496" s="1"/>
      <c r="H496" s="1" t="s">
        <v>585</v>
      </c>
      <c r="I496" s="1"/>
      <c r="J496" s="1"/>
      <c r="K496" s="1"/>
      <c r="L496" s="1"/>
      <c r="M496" s="1"/>
      <c r="N496" s="1"/>
      <c r="O496" s="1"/>
      <c r="P496" s="1"/>
      <c r="Q496" s="1"/>
    </row>
    <row r="497" spans="1:17" x14ac:dyDescent="0.25">
      <c r="A497" s="1"/>
      <c r="B497" s="1"/>
      <c r="C497" s="1"/>
      <c r="D497" s="1"/>
      <c r="E497" s="1"/>
      <c r="F497" s="1"/>
      <c r="G497" s="1"/>
      <c r="H497" s="1" t="s">
        <v>585</v>
      </c>
      <c r="I497" s="1"/>
      <c r="J497" s="1"/>
      <c r="K497" s="1"/>
      <c r="L497" s="1"/>
      <c r="M497" s="1"/>
      <c r="N497" s="1"/>
      <c r="O497" s="1"/>
      <c r="P497" s="1"/>
      <c r="Q497" s="1"/>
    </row>
    <row r="498" spans="1:17" x14ac:dyDescent="0.25">
      <c r="A498" s="1"/>
      <c r="B498" s="1"/>
      <c r="C498" s="1"/>
      <c r="D498" s="1"/>
      <c r="E498" s="1"/>
      <c r="F498" s="1"/>
      <c r="G498" s="1"/>
      <c r="H498" s="1" t="s">
        <v>585</v>
      </c>
      <c r="I498" s="1"/>
      <c r="J498" s="1"/>
      <c r="K498" s="1"/>
      <c r="L498" s="1"/>
      <c r="M498" s="1"/>
      <c r="N498" s="1"/>
      <c r="O498" s="1"/>
      <c r="P498" s="1"/>
      <c r="Q498" s="1"/>
    </row>
    <row r="499" spans="1:17" x14ac:dyDescent="0.25">
      <c r="A499" s="1"/>
      <c r="B499" s="1"/>
      <c r="C499" s="1"/>
      <c r="D499" s="1"/>
      <c r="E499" s="1"/>
      <c r="F499" s="1"/>
      <c r="G499" s="1"/>
      <c r="H499" s="1" t="s">
        <v>585</v>
      </c>
      <c r="I499" s="1"/>
      <c r="J499" s="1"/>
      <c r="K499" s="1"/>
      <c r="L499" s="1"/>
      <c r="M499" s="1"/>
      <c r="N499" s="1"/>
      <c r="O499" s="1"/>
      <c r="P499" s="1"/>
      <c r="Q499" s="1"/>
    </row>
    <row r="500" spans="1:17" x14ac:dyDescent="0.25">
      <c r="A500" s="1"/>
      <c r="B500" s="1"/>
      <c r="C500" s="1"/>
      <c r="D500" s="1"/>
      <c r="E500" s="1"/>
      <c r="F500" s="1"/>
      <c r="G500" s="1"/>
      <c r="H500" s="1" t="s">
        <v>585</v>
      </c>
      <c r="I500" s="1"/>
      <c r="J500" s="1"/>
      <c r="K500" s="1"/>
      <c r="L500" s="1"/>
      <c r="M500" s="1"/>
      <c r="N500" s="1"/>
      <c r="O500" s="1"/>
      <c r="P500" s="1"/>
      <c r="Q500" s="1"/>
    </row>
    <row r="501" spans="1:17" x14ac:dyDescent="0.25">
      <c r="A501" s="1"/>
      <c r="B501" s="1"/>
      <c r="C501" s="1"/>
      <c r="D501" s="1"/>
      <c r="E501" s="1"/>
      <c r="F501" s="1"/>
      <c r="G501" s="1"/>
      <c r="H501" s="1" t="s">
        <v>585</v>
      </c>
      <c r="I501" s="1"/>
      <c r="J501" s="1"/>
      <c r="K501" s="1"/>
      <c r="L501" s="1"/>
      <c r="M501" s="1"/>
      <c r="N501" s="1"/>
      <c r="O501" s="1"/>
      <c r="P501" s="1"/>
      <c r="Q501" s="1"/>
    </row>
    <row r="502" spans="1:17" x14ac:dyDescent="0.25">
      <c r="A502" s="1"/>
      <c r="B502" s="1"/>
      <c r="C502" s="1"/>
      <c r="D502" s="1"/>
      <c r="E502" s="1"/>
      <c r="F502" s="1"/>
      <c r="G502" s="1"/>
      <c r="H502" s="1" t="s">
        <v>585</v>
      </c>
      <c r="I502" s="1"/>
      <c r="J502" s="1"/>
      <c r="K502" s="1"/>
      <c r="L502" s="1"/>
      <c r="M502" s="1"/>
      <c r="N502" s="1"/>
      <c r="O502" s="1"/>
      <c r="P502" s="1"/>
      <c r="Q502" s="1"/>
    </row>
    <row r="503" spans="1:17" x14ac:dyDescent="0.25">
      <c r="A503" s="1"/>
      <c r="B503" s="1"/>
      <c r="C503" s="1"/>
      <c r="D503" s="1"/>
      <c r="E503" s="1"/>
      <c r="F503" s="1"/>
      <c r="G503" s="1"/>
      <c r="H503" s="1" t="s">
        <v>585</v>
      </c>
      <c r="I503" s="1"/>
      <c r="J503" s="1"/>
      <c r="K503" s="1"/>
      <c r="L503" s="1"/>
      <c r="M503" s="1"/>
      <c r="N503" s="1"/>
      <c r="O503" s="1"/>
      <c r="P503" s="1"/>
      <c r="Q503" s="1"/>
    </row>
    <row r="504" spans="1:17" x14ac:dyDescent="0.25">
      <c r="A504" s="1"/>
      <c r="B504" s="1"/>
      <c r="C504" s="1"/>
      <c r="D504" s="1"/>
      <c r="E504" s="1"/>
      <c r="F504" s="1"/>
      <c r="G504" s="1"/>
      <c r="H504" s="1" t="s">
        <v>585</v>
      </c>
      <c r="I504" s="1"/>
      <c r="J504" s="1"/>
      <c r="K504" s="1"/>
      <c r="L504" s="1"/>
      <c r="M504" s="1"/>
      <c r="N504" s="1"/>
      <c r="O504" s="1"/>
      <c r="P504" s="1"/>
      <c r="Q504" s="1"/>
    </row>
    <row r="505" spans="1:17" x14ac:dyDescent="0.25">
      <c r="A505" s="1"/>
      <c r="B505" s="1"/>
      <c r="C505" s="1"/>
      <c r="D505" s="1"/>
      <c r="E505" s="1"/>
      <c r="F505" s="1"/>
      <c r="G505" s="1"/>
      <c r="H505" s="1" t="s">
        <v>585</v>
      </c>
      <c r="I505" s="1"/>
      <c r="J505" s="1"/>
      <c r="K505" s="1"/>
      <c r="L505" s="1"/>
      <c r="M505" s="1"/>
      <c r="N505" s="1"/>
      <c r="O505" s="1"/>
      <c r="P505" s="1"/>
      <c r="Q505" s="1"/>
    </row>
    <row r="506" spans="1:17" x14ac:dyDescent="0.25">
      <c r="A506" s="1"/>
      <c r="B506" s="1"/>
      <c r="C506" s="1"/>
      <c r="D506" s="1"/>
      <c r="E506" s="1"/>
      <c r="F506" s="1"/>
      <c r="G506" s="1"/>
      <c r="H506" s="1" t="s">
        <v>585</v>
      </c>
      <c r="I506" s="1"/>
      <c r="J506" s="1"/>
      <c r="K506" s="1"/>
      <c r="L506" s="1"/>
      <c r="M506" s="1"/>
      <c r="N506" s="1"/>
      <c r="O506" s="1"/>
      <c r="P506" s="1"/>
      <c r="Q506" s="1"/>
    </row>
    <row r="507" spans="1:17" x14ac:dyDescent="0.25">
      <c r="A507" s="1"/>
      <c r="B507" s="1"/>
      <c r="C507" s="1"/>
      <c r="D507" s="1"/>
      <c r="E507" s="1"/>
      <c r="F507" s="1"/>
      <c r="G507" s="1"/>
      <c r="H507" s="1" t="s">
        <v>585</v>
      </c>
      <c r="I507" s="1"/>
      <c r="J507" s="1"/>
      <c r="K507" s="1"/>
      <c r="L507" s="1"/>
      <c r="M507" s="1"/>
      <c r="N507" s="1"/>
      <c r="O507" s="1"/>
      <c r="P507" s="1"/>
      <c r="Q507" s="1"/>
    </row>
    <row r="508" spans="1:17" x14ac:dyDescent="0.25">
      <c r="A508" s="1"/>
      <c r="B508" s="1"/>
      <c r="C508" s="1"/>
      <c r="D508" s="1"/>
      <c r="E508" s="1"/>
      <c r="F508" s="1"/>
      <c r="G508" s="1"/>
      <c r="H508" s="1" t="s">
        <v>585</v>
      </c>
      <c r="I508" s="1"/>
      <c r="J508" s="1"/>
      <c r="K508" s="1"/>
      <c r="L508" s="1"/>
      <c r="M508" s="1"/>
      <c r="N508" s="1"/>
      <c r="O508" s="1"/>
      <c r="P508" s="1"/>
      <c r="Q508" s="1"/>
    </row>
    <row r="509" spans="1:17" x14ac:dyDescent="0.25">
      <c r="A509" s="1"/>
      <c r="B509" s="1"/>
      <c r="C509" s="1"/>
      <c r="D509" s="1"/>
      <c r="E509" s="1"/>
      <c r="F509" s="1"/>
      <c r="G509" s="1"/>
      <c r="H509" s="1" t="s">
        <v>585</v>
      </c>
      <c r="I509" s="1"/>
      <c r="J509" s="1"/>
      <c r="K509" s="1"/>
      <c r="L509" s="1"/>
      <c r="M509" s="1"/>
      <c r="N509" s="1"/>
      <c r="O509" s="1"/>
      <c r="P509" s="1"/>
      <c r="Q509" s="1"/>
    </row>
    <row r="510" spans="1:17" x14ac:dyDescent="0.25">
      <c r="A510" s="1"/>
      <c r="B510" s="1"/>
      <c r="C510" s="1"/>
      <c r="D510" s="1"/>
      <c r="E510" s="1"/>
      <c r="F510" s="1"/>
      <c r="G510" s="1"/>
      <c r="H510" s="1" t="s">
        <v>585</v>
      </c>
      <c r="I510" s="1"/>
      <c r="J510" s="1"/>
      <c r="K510" s="1"/>
      <c r="L510" s="1"/>
      <c r="M510" s="1"/>
      <c r="N510" s="1"/>
      <c r="O510" s="1"/>
      <c r="P510" s="1"/>
      <c r="Q510" s="1"/>
    </row>
    <row r="511" spans="1:17" x14ac:dyDescent="0.25">
      <c r="A511" s="1"/>
      <c r="B511" s="1"/>
      <c r="C511" s="1"/>
      <c r="D511" s="1"/>
      <c r="E511" s="1"/>
      <c r="F511" s="1"/>
      <c r="G511" s="1"/>
      <c r="H511" s="1" t="s">
        <v>585</v>
      </c>
      <c r="I511" s="1"/>
      <c r="J511" s="1"/>
      <c r="K511" s="1"/>
      <c r="L511" s="1"/>
      <c r="M511" s="1"/>
      <c r="N511" s="1"/>
      <c r="O511" s="1"/>
      <c r="P511" s="1"/>
      <c r="Q511" s="1"/>
    </row>
    <row r="512" spans="1:17" x14ac:dyDescent="0.25">
      <c r="A512" s="1"/>
      <c r="B512" s="1"/>
      <c r="C512" s="1"/>
      <c r="D512" s="1"/>
      <c r="E512" s="1"/>
      <c r="F512" s="1"/>
      <c r="G512" s="1"/>
      <c r="H512" s="1" t="s">
        <v>585</v>
      </c>
      <c r="I512" s="1"/>
      <c r="J512" s="1"/>
      <c r="K512" s="1"/>
      <c r="L512" s="1"/>
      <c r="M512" s="1"/>
      <c r="N512" s="1"/>
      <c r="O512" s="1"/>
      <c r="P512" s="1"/>
      <c r="Q512" s="1"/>
    </row>
    <row r="513" spans="1:17" x14ac:dyDescent="0.25">
      <c r="A513" s="1"/>
      <c r="B513" s="1"/>
      <c r="C513" s="1"/>
      <c r="D513" s="1"/>
      <c r="E513" s="1"/>
      <c r="F513" s="1"/>
      <c r="G513" s="1"/>
      <c r="H513" s="1" t="s">
        <v>585</v>
      </c>
      <c r="I513" s="1"/>
      <c r="J513" s="1"/>
      <c r="K513" s="1"/>
      <c r="L513" s="1"/>
      <c r="M513" s="1"/>
      <c r="N513" s="1"/>
      <c r="O513" s="1"/>
      <c r="P513" s="1"/>
      <c r="Q513" s="1"/>
    </row>
    <row r="514" spans="1:17" x14ac:dyDescent="0.25">
      <c r="A514" s="1"/>
      <c r="B514" s="1"/>
      <c r="C514" s="1"/>
      <c r="D514" s="1"/>
      <c r="E514" s="1"/>
      <c r="F514" s="1"/>
      <c r="G514" s="1"/>
      <c r="H514" s="1" t="s">
        <v>585</v>
      </c>
      <c r="I514" s="1"/>
      <c r="J514" s="1"/>
      <c r="K514" s="1"/>
      <c r="L514" s="1"/>
      <c r="M514" s="1"/>
      <c r="N514" s="1"/>
      <c r="O514" s="1"/>
      <c r="P514" s="1"/>
      <c r="Q514" s="1"/>
    </row>
    <row r="515" spans="1:17" x14ac:dyDescent="0.25">
      <c r="A515" s="1"/>
      <c r="B515" s="1"/>
      <c r="C515" s="1"/>
      <c r="D515" s="1"/>
      <c r="E515" s="1"/>
      <c r="F515" s="1"/>
      <c r="G515" s="1"/>
      <c r="H515" s="1" t="s">
        <v>585</v>
      </c>
      <c r="I515" s="1"/>
      <c r="J515" s="1"/>
      <c r="K515" s="1"/>
      <c r="L515" s="1"/>
      <c r="M515" s="1"/>
      <c r="N515" s="1"/>
      <c r="O515" s="1"/>
      <c r="P515" s="1"/>
      <c r="Q515" s="1"/>
    </row>
    <row r="516" spans="1:17" x14ac:dyDescent="0.25">
      <c r="A516" s="1"/>
      <c r="B516" s="1"/>
      <c r="C516" s="1"/>
      <c r="D516" s="1"/>
      <c r="E516" s="1"/>
      <c r="F516" s="1"/>
      <c r="G516" s="1"/>
      <c r="H516" s="1" t="s">
        <v>585</v>
      </c>
      <c r="I516" s="1"/>
      <c r="J516" s="1"/>
      <c r="K516" s="1"/>
      <c r="L516" s="1"/>
      <c r="M516" s="1"/>
      <c r="N516" s="1"/>
      <c r="O516" s="1"/>
      <c r="P516" s="1"/>
      <c r="Q516" s="1"/>
    </row>
    <row r="517" spans="1:17" x14ac:dyDescent="0.25">
      <c r="A517" s="1"/>
      <c r="B517" s="1"/>
      <c r="C517" s="1"/>
      <c r="D517" s="1"/>
      <c r="E517" s="1"/>
      <c r="F517" s="1"/>
      <c r="G517" s="1"/>
      <c r="H517" s="1" t="s">
        <v>585</v>
      </c>
      <c r="I517" s="1"/>
      <c r="J517" s="1"/>
      <c r="K517" s="1"/>
      <c r="L517" s="1"/>
      <c r="M517" s="1"/>
      <c r="N517" s="1"/>
      <c r="O517" s="1"/>
      <c r="P517" s="1"/>
      <c r="Q517" s="1"/>
    </row>
    <row r="518" spans="1:17" x14ac:dyDescent="0.25">
      <c r="A518" s="1"/>
      <c r="B518" s="1"/>
      <c r="C518" s="1"/>
      <c r="D518" s="1"/>
      <c r="E518" s="1"/>
      <c r="F518" s="1"/>
      <c r="G518" s="1"/>
      <c r="H518" s="1" t="s">
        <v>585</v>
      </c>
      <c r="I518" s="1"/>
      <c r="J518" s="1"/>
      <c r="K518" s="1"/>
      <c r="L518" s="1"/>
      <c r="M518" s="1"/>
      <c r="N518" s="1"/>
      <c r="O518" s="1"/>
      <c r="P518" s="1"/>
      <c r="Q518" s="1"/>
    </row>
    <row r="519" spans="1:17" x14ac:dyDescent="0.25">
      <c r="A519" s="1"/>
      <c r="B519" s="1"/>
      <c r="C519" s="1"/>
      <c r="D519" s="1"/>
      <c r="E519" s="1"/>
      <c r="F519" s="1"/>
      <c r="G519" s="1"/>
      <c r="H519" s="1" t="s">
        <v>585</v>
      </c>
      <c r="I519" s="1"/>
      <c r="J519" s="1"/>
      <c r="K519" s="1"/>
      <c r="L519" s="1"/>
      <c r="M519" s="1"/>
      <c r="N519" s="1"/>
      <c r="O519" s="1"/>
      <c r="P519" s="1"/>
      <c r="Q519" s="1"/>
    </row>
    <row r="520" spans="1:17" x14ac:dyDescent="0.25">
      <c r="A520" s="1"/>
      <c r="B520" s="1"/>
      <c r="C520" s="1"/>
      <c r="D520" s="1"/>
      <c r="E520" s="1"/>
      <c r="F520" s="1"/>
      <c r="G520" s="1"/>
      <c r="H520" s="1" t="s">
        <v>585</v>
      </c>
      <c r="I520" s="1"/>
      <c r="J520" s="1"/>
      <c r="K520" s="1"/>
      <c r="L520" s="1"/>
      <c r="M520" s="1"/>
      <c r="N520" s="1"/>
      <c r="O520" s="1"/>
      <c r="P520" s="1"/>
      <c r="Q520" s="1"/>
    </row>
    <row r="521" spans="1:17" x14ac:dyDescent="0.25">
      <c r="A521" s="1"/>
      <c r="B521" s="1"/>
      <c r="C521" s="1"/>
      <c r="D521" s="1"/>
      <c r="E521" s="1"/>
      <c r="F521" s="1"/>
      <c r="G521" s="1"/>
      <c r="H521" s="1" t="s">
        <v>585</v>
      </c>
      <c r="I521" s="1"/>
      <c r="J521" s="1"/>
      <c r="K521" s="1"/>
      <c r="L521" s="1"/>
      <c r="M521" s="1"/>
      <c r="N521" s="1"/>
      <c r="O521" s="1"/>
      <c r="P521" s="1"/>
      <c r="Q521" s="1"/>
    </row>
    <row r="522" spans="1:17" x14ac:dyDescent="0.25">
      <c r="A522" s="1"/>
      <c r="B522" s="1"/>
      <c r="C522" s="1"/>
      <c r="D522" s="1"/>
      <c r="E522" s="1"/>
      <c r="F522" s="1"/>
      <c r="G522" s="1"/>
      <c r="H522" s="1" t="s">
        <v>585</v>
      </c>
      <c r="I522" s="1"/>
      <c r="J522" s="1"/>
      <c r="K522" s="1"/>
      <c r="L522" s="1"/>
      <c r="M522" s="1"/>
      <c r="N522" s="1"/>
      <c r="O522" s="1"/>
      <c r="P522" s="1"/>
      <c r="Q522" s="1"/>
    </row>
    <row r="523" spans="1:17" x14ac:dyDescent="0.25">
      <c r="A523" s="1"/>
      <c r="B523" s="1"/>
      <c r="C523" s="1"/>
      <c r="D523" s="1"/>
      <c r="E523" s="1"/>
      <c r="F523" s="1"/>
      <c r="G523" s="1"/>
      <c r="H523" s="1" t="s">
        <v>585</v>
      </c>
      <c r="I523" s="1"/>
      <c r="J523" s="1"/>
      <c r="K523" s="1"/>
      <c r="L523" s="1"/>
      <c r="M523" s="1"/>
      <c r="N523" s="1"/>
      <c r="O523" s="1"/>
      <c r="P523" s="1"/>
      <c r="Q523" s="1"/>
    </row>
    <row r="524" spans="1:17" x14ac:dyDescent="0.25">
      <c r="A524" s="1"/>
      <c r="B524" s="1"/>
      <c r="C524" s="1"/>
      <c r="D524" s="1"/>
      <c r="E524" s="1"/>
      <c r="F524" s="1"/>
      <c r="G524" s="1"/>
      <c r="H524" s="1" t="s">
        <v>585</v>
      </c>
      <c r="I524" s="1"/>
      <c r="J524" s="1"/>
      <c r="K524" s="1"/>
      <c r="L524" s="1"/>
      <c r="M524" s="1"/>
      <c r="N524" s="1"/>
      <c r="O524" s="1"/>
      <c r="P524" s="1"/>
      <c r="Q524" s="1"/>
    </row>
    <row r="525" spans="1:17" x14ac:dyDescent="0.25">
      <c r="A525" s="1"/>
      <c r="B525" s="1"/>
      <c r="C525" s="1"/>
      <c r="D525" s="1"/>
      <c r="E525" s="1"/>
      <c r="F525" s="1"/>
      <c r="G525" s="1"/>
      <c r="H525" s="1" t="s">
        <v>585</v>
      </c>
      <c r="I525" s="1"/>
      <c r="J525" s="1"/>
      <c r="K525" s="1"/>
      <c r="L525" s="1"/>
      <c r="M525" s="1"/>
      <c r="N525" s="1"/>
      <c r="O525" s="1"/>
      <c r="P525" s="1"/>
      <c r="Q525" s="1"/>
    </row>
    <row r="526" spans="1:17" x14ac:dyDescent="0.25">
      <c r="A526" s="1"/>
      <c r="B526" s="1"/>
      <c r="C526" s="1"/>
      <c r="D526" s="1"/>
      <c r="E526" s="1"/>
      <c r="F526" s="1"/>
      <c r="G526" s="1"/>
      <c r="H526" s="1" t="s">
        <v>585</v>
      </c>
      <c r="I526" s="1"/>
      <c r="J526" s="1"/>
      <c r="K526" s="1"/>
      <c r="L526" s="1"/>
      <c r="M526" s="1"/>
      <c r="N526" s="1"/>
      <c r="O526" s="1"/>
      <c r="P526" s="1"/>
      <c r="Q526" s="1"/>
    </row>
    <row r="527" spans="1:17" x14ac:dyDescent="0.25">
      <c r="A527" s="1"/>
      <c r="B527" s="1"/>
      <c r="C527" s="1"/>
      <c r="D527" s="1"/>
      <c r="E527" s="1"/>
      <c r="F527" s="1"/>
      <c r="G527" s="1"/>
      <c r="H527" s="1" t="s">
        <v>585</v>
      </c>
      <c r="I527" s="1"/>
      <c r="J527" s="1"/>
      <c r="K527" s="1"/>
      <c r="L527" s="1"/>
      <c r="M527" s="1"/>
      <c r="N527" s="1"/>
      <c r="O527" s="1"/>
      <c r="P527" s="1"/>
      <c r="Q527" s="1"/>
    </row>
    <row r="528" spans="1:17" x14ac:dyDescent="0.25">
      <c r="A528" s="1"/>
      <c r="B528" s="1"/>
      <c r="C528" s="1"/>
      <c r="D528" s="1"/>
      <c r="E528" s="1"/>
      <c r="F528" s="1"/>
      <c r="G528" s="1"/>
      <c r="H528" s="1" t="s">
        <v>585</v>
      </c>
      <c r="I528" s="1"/>
      <c r="J528" s="1"/>
      <c r="K528" s="1"/>
      <c r="L528" s="1"/>
      <c r="M528" s="1"/>
      <c r="N528" s="1"/>
      <c r="O528" s="1"/>
      <c r="P528" s="1"/>
      <c r="Q528" s="1"/>
    </row>
    <row r="529" spans="1:17" x14ac:dyDescent="0.25">
      <c r="A529" s="1"/>
      <c r="B529" s="1"/>
      <c r="C529" s="1"/>
      <c r="D529" s="1"/>
      <c r="E529" s="1"/>
      <c r="F529" s="1"/>
      <c r="G529" s="1"/>
      <c r="H529" s="1" t="s">
        <v>585</v>
      </c>
      <c r="I529" s="1"/>
      <c r="J529" s="1"/>
      <c r="K529" s="1"/>
      <c r="L529" s="1"/>
      <c r="M529" s="1"/>
      <c r="N529" s="1"/>
      <c r="O529" s="1"/>
      <c r="P529" s="1"/>
      <c r="Q529" s="1"/>
    </row>
    <row r="530" spans="1:17" x14ac:dyDescent="0.25">
      <c r="A530" s="1"/>
      <c r="B530" s="1"/>
      <c r="C530" s="1"/>
      <c r="D530" s="1"/>
      <c r="E530" s="1"/>
      <c r="F530" s="1"/>
      <c r="G530" s="1"/>
      <c r="H530" s="1" t="s">
        <v>585</v>
      </c>
      <c r="I530" s="1"/>
      <c r="J530" s="1"/>
      <c r="K530" s="1"/>
      <c r="L530" s="1"/>
      <c r="M530" s="1"/>
      <c r="N530" s="1"/>
      <c r="O530" s="1"/>
      <c r="P530" s="1"/>
      <c r="Q530" s="1"/>
    </row>
    <row r="531" spans="1:17" x14ac:dyDescent="0.25">
      <c r="A531" s="1"/>
      <c r="B531" s="1"/>
      <c r="C531" s="1"/>
      <c r="D531" s="1"/>
      <c r="E531" s="1"/>
      <c r="F531" s="1"/>
      <c r="G531" s="1"/>
      <c r="H531" s="1" t="s">
        <v>585</v>
      </c>
      <c r="I531" s="1"/>
      <c r="J531" s="1"/>
      <c r="K531" s="1"/>
      <c r="L531" s="1"/>
      <c r="M531" s="1"/>
      <c r="N531" s="1"/>
      <c r="O531" s="1"/>
      <c r="P531" s="1"/>
      <c r="Q531" s="1"/>
    </row>
    <row r="532" spans="1:17" x14ac:dyDescent="0.25">
      <c r="A532" s="1"/>
      <c r="B532" s="1"/>
      <c r="C532" s="1"/>
      <c r="D532" s="1"/>
      <c r="E532" s="1"/>
      <c r="F532" s="1"/>
      <c r="G532" s="1"/>
      <c r="H532" s="1" t="s">
        <v>585</v>
      </c>
      <c r="I532" s="1"/>
      <c r="J532" s="1"/>
      <c r="K532" s="1"/>
      <c r="L532" s="1"/>
      <c r="M532" s="1"/>
      <c r="N532" s="1"/>
      <c r="O532" s="1"/>
      <c r="P532" s="1"/>
      <c r="Q532" s="1"/>
    </row>
    <row r="533" spans="1:17" x14ac:dyDescent="0.25">
      <c r="A533" s="1"/>
      <c r="B533" s="1"/>
      <c r="C533" s="1"/>
      <c r="D533" s="1"/>
      <c r="E533" s="1"/>
      <c r="F533" s="1"/>
      <c r="G533" s="1"/>
      <c r="H533" s="1" t="s">
        <v>585</v>
      </c>
      <c r="I533" s="1"/>
      <c r="J533" s="1"/>
      <c r="K533" s="1"/>
      <c r="L533" s="1"/>
      <c r="M533" s="1"/>
      <c r="N533" s="1"/>
      <c r="O533" s="1"/>
      <c r="P533" s="1"/>
      <c r="Q533" s="1"/>
    </row>
    <row r="534" spans="1:17" x14ac:dyDescent="0.25">
      <c r="A534" s="1"/>
      <c r="B534" s="1"/>
      <c r="C534" s="1"/>
      <c r="D534" s="1"/>
      <c r="E534" s="1"/>
      <c r="F534" s="1"/>
      <c r="G534" s="1"/>
      <c r="H534" s="1" t="s">
        <v>585</v>
      </c>
      <c r="I534" s="1"/>
      <c r="J534" s="1"/>
      <c r="K534" s="1"/>
      <c r="L534" s="1"/>
      <c r="M534" s="1"/>
      <c r="N534" s="1"/>
      <c r="O534" s="1"/>
      <c r="P534" s="1"/>
      <c r="Q534" s="1"/>
    </row>
    <row r="535" spans="1:17" x14ac:dyDescent="0.25">
      <c r="A535" s="1"/>
      <c r="B535" s="1"/>
      <c r="C535" s="1"/>
      <c r="D535" s="1"/>
      <c r="E535" s="1"/>
      <c r="F535" s="1"/>
      <c r="G535" s="1"/>
      <c r="H535" s="1" t="s">
        <v>585</v>
      </c>
      <c r="I535" s="1"/>
      <c r="J535" s="1"/>
      <c r="K535" s="1"/>
      <c r="L535" s="1"/>
      <c r="M535" s="1"/>
      <c r="N535" s="1"/>
      <c r="O535" s="1"/>
      <c r="P535" s="1"/>
      <c r="Q535" s="1"/>
    </row>
    <row r="536" spans="1:17" x14ac:dyDescent="0.25">
      <c r="A536" s="1"/>
      <c r="B536" s="1"/>
      <c r="C536" s="1"/>
      <c r="D536" s="1"/>
      <c r="E536" s="1"/>
      <c r="F536" s="1"/>
      <c r="G536" s="1"/>
      <c r="H536" s="1" t="s">
        <v>585</v>
      </c>
      <c r="I536" s="1"/>
      <c r="J536" s="1"/>
      <c r="K536" s="1"/>
      <c r="L536" s="1"/>
      <c r="M536" s="1"/>
      <c r="N536" s="1"/>
      <c r="O536" s="1"/>
      <c r="P536" s="1"/>
      <c r="Q536" s="1"/>
    </row>
    <row r="537" spans="1:17" x14ac:dyDescent="0.25">
      <c r="A537" s="1"/>
      <c r="B537" s="1"/>
      <c r="C537" s="1"/>
      <c r="D537" s="1"/>
      <c r="E537" s="1"/>
      <c r="F537" s="1"/>
      <c r="G537" s="1"/>
      <c r="H537" s="1" t="s">
        <v>585</v>
      </c>
      <c r="I537" s="1"/>
      <c r="J537" s="1"/>
      <c r="K537" s="1"/>
      <c r="L537" s="1"/>
      <c r="M537" s="1"/>
      <c r="N537" s="1"/>
      <c r="O537" s="1"/>
      <c r="P537" s="1"/>
      <c r="Q537" s="1"/>
    </row>
    <row r="538" spans="1:17" x14ac:dyDescent="0.25">
      <c r="A538" s="1"/>
      <c r="B538" s="1"/>
      <c r="C538" s="1"/>
      <c r="D538" s="1"/>
      <c r="E538" s="1"/>
      <c r="F538" s="1"/>
      <c r="G538" s="1"/>
      <c r="H538" s="1" t="s">
        <v>585</v>
      </c>
      <c r="I538" s="1"/>
      <c r="J538" s="1"/>
      <c r="K538" s="1"/>
      <c r="L538" s="1"/>
      <c r="M538" s="1"/>
      <c r="N538" s="1"/>
      <c r="O538" s="1"/>
      <c r="P538" s="1"/>
      <c r="Q538" s="1"/>
    </row>
    <row r="539" spans="1:17" x14ac:dyDescent="0.25">
      <c r="A539" s="1"/>
      <c r="B539" s="1"/>
      <c r="C539" s="1"/>
      <c r="D539" s="1"/>
      <c r="E539" s="1"/>
      <c r="F539" s="1"/>
      <c r="G539" s="1"/>
      <c r="H539" s="1" t="s">
        <v>585</v>
      </c>
      <c r="I539" s="1"/>
      <c r="J539" s="1"/>
      <c r="K539" s="1"/>
      <c r="L539" s="1"/>
      <c r="M539" s="1"/>
      <c r="N539" s="1"/>
      <c r="O539" s="1"/>
      <c r="P539" s="1"/>
      <c r="Q539" s="1"/>
    </row>
    <row r="540" spans="1:17" x14ac:dyDescent="0.25">
      <c r="A540" s="1"/>
      <c r="B540" s="1"/>
      <c r="C540" s="1"/>
      <c r="D540" s="1"/>
      <c r="E540" s="1"/>
      <c r="F540" s="1"/>
      <c r="G540" s="1"/>
      <c r="H540" s="1" t="s">
        <v>585</v>
      </c>
      <c r="I540" s="1"/>
      <c r="J540" s="1"/>
      <c r="K540" s="1"/>
      <c r="L540" s="1"/>
      <c r="M540" s="1"/>
      <c r="N540" s="1"/>
      <c r="O540" s="1"/>
      <c r="P540" s="1"/>
      <c r="Q540" s="1"/>
    </row>
    <row r="541" spans="1:17" x14ac:dyDescent="0.25">
      <c r="A541" s="1"/>
      <c r="B541" s="1"/>
      <c r="C541" s="1"/>
      <c r="D541" s="1"/>
      <c r="E541" s="1"/>
      <c r="F541" s="1"/>
      <c r="G541" s="1"/>
      <c r="H541" s="1" t="s">
        <v>585</v>
      </c>
      <c r="I541" s="1"/>
      <c r="J541" s="1"/>
      <c r="K541" s="1"/>
      <c r="L541" s="1"/>
      <c r="M541" s="1"/>
      <c r="N541" s="1"/>
      <c r="O541" s="1"/>
      <c r="P541" s="1"/>
      <c r="Q541" s="1"/>
    </row>
    <row r="542" spans="1:17" x14ac:dyDescent="0.25">
      <c r="A542" s="1"/>
      <c r="B542" s="1"/>
      <c r="C542" s="1"/>
      <c r="D542" s="1"/>
      <c r="E542" s="1"/>
      <c r="F542" s="1"/>
      <c r="G542" s="1"/>
      <c r="H542" s="1" t="s">
        <v>585</v>
      </c>
      <c r="I542" s="1"/>
      <c r="J542" s="1"/>
      <c r="K542" s="1"/>
      <c r="L542" s="1"/>
      <c r="M542" s="1"/>
      <c r="N542" s="1"/>
      <c r="O542" s="1"/>
      <c r="P542" s="1"/>
      <c r="Q542" s="1"/>
    </row>
    <row r="543" spans="1:17" x14ac:dyDescent="0.25">
      <c r="A543" s="1"/>
      <c r="B543" s="1"/>
      <c r="C543" s="1"/>
      <c r="D543" s="1"/>
      <c r="E543" s="1"/>
      <c r="F543" s="1"/>
      <c r="G543" s="1"/>
      <c r="H543" s="1" t="s">
        <v>585</v>
      </c>
      <c r="I543" s="1"/>
      <c r="J543" s="1"/>
      <c r="K543" s="1"/>
      <c r="L543" s="1"/>
      <c r="M543" s="1"/>
      <c r="N543" s="1"/>
      <c r="O543" s="1"/>
      <c r="P543" s="1"/>
      <c r="Q543" s="1"/>
    </row>
    <row r="544" spans="1:17" x14ac:dyDescent="0.25">
      <c r="A544" s="1"/>
      <c r="B544" s="1"/>
      <c r="C544" s="1"/>
      <c r="D544" s="1"/>
      <c r="E544" s="1"/>
      <c r="F544" s="1"/>
      <c r="G544" s="1"/>
      <c r="H544" s="1" t="s">
        <v>585</v>
      </c>
      <c r="I544" s="1"/>
      <c r="J544" s="1"/>
      <c r="K544" s="1"/>
      <c r="L544" s="1"/>
      <c r="M544" s="1"/>
      <c r="N544" s="1"/>
      <c r="O544" s="1"/>
      <c r="P544" s="1"/>
      <c r="Q544" s="1"/>
    </row>
    <row r="545" spans="1:17" x14ac:dyDescent="0.25">
      <c r="A545" s="1"/>
      <c r="B545" s="1"/>
      <c r="C545" s="1"/>
      <c r="D545" s="1"/>
      <c r="E545" s="1"/>
      <c r="F545" s="1"/>
      <c r="G545" s="1"/>
      <c r="H545" s="1" t="s">
        <v>585</v>
      </c>
      <c r="I545" s="1"/>
      <c r="J545" s="1"/>
      <c r="K545" s="1"/>
      <c r="L545" s="1"/>
      <c r="M545" s="1"/>
      <c r="N545" s="1"/>
      <c r="O545" s="1"/>
      <c r="P545" s="1"/>
      <c r="Q545" s="1"/>
    </row>
    <row r="546" spans="1:17" x14ac:dyDescent="0.25">
      <c r="A546" s="1"/>
      <c r="B546" s="1"/>
      <c r="C546" s="1"/>
      <c r="D546" s="1"/>
      <c r="E546" s="1"/>
      <c r="F546" s="1"/>
      <c r="G546" s="1"/>
      <c r="H546" s="1" t="s">
        <v>585</v>
      </c>
      <c r="I546" s="1"/>
      <c r="J546" s="1"/>
      <c r="K546" s="1"/>
      <c r="L546" s="1"/>
      <c r="M546" s="1"/>
      <c r="N546" s="1"/>
      <c r="O546" s="1"/>
      <c r="P546" s="1"/>
      <c r="Q546" s="1"/>
    </row>
    <row r="547" spans="1:17" x14ac:dyDescent="0.25">
      <c r="A547" s="1"/>
      <c r="B547" s="1"/>
      <c r="C547" s="1"/>
      <c r="D547" s="1"/>
      <c r="E547" s="1"/>
      <c r="F547" s="1"/>
      <c r="G547" s="1"/>
      <c r="H547" s="1" t="s">
        <v>585</v>
      </c>
      <c r="I547" s="1"/>
      <c r="J547" s="1"/>
      <c r="K547" s="1"/>
      <c r="L547" s="1"/>
      <c r="M547" s="1"/>
      <c r="N547" s="1"/>
      <c r="O547" s="1"/>
      <c r="P547" s="1"/>
      <c r="Q547" s="1"/>
    </row>
    <row r="548" spans="1:17" x14ac:dyDescent="0.25">
      <c r="A548" s="1"/>
      <c r="B548" s="1"/>
      <c r="C548" s="1"/>
      <c r="D548" s="1"/>
      <c r="E548" s="1"/>
      <c r="F548" s="1"/>
      <c r="G548" s="1"/>
      <c r="H548" s="1" t="s">
        <v>585</v>
      </c>
      <c r="I548" s="1"/>
      <c r="J548" s="1"/>
      <c r="K548" s="1"/>
      <c r="L548" s="1"/>
      <c r="M548" s="1"/>
      <c r="N548" s="1"/>
      <c r="O548" s="1"/>
      <c r="P548" s="1"/>
      <c r="Q548" s="1"/>
    </row>
    <row r="549" spans="1:17" x14ac:dyDescent="0.25">
      <c r="A549" s="1"/>
      <c r="B549" s="1"/>
      <c r="C549" s="1"/>
      <c r="D549" s="1"/>
      <c r="E549" s="1"/>
      <c r="F549" s="1"/>
      <c r="G549" s="1"/>
      <c r="H549" s="1" t="s">
        <v>585</v>
      </c>
      <c r="I549" s="1"/>
      <c r="J549" s="1"/>
      <c r="K549" s="1"/>
      <c r="L549" s="1"/>
      <c r="M549" s="1"/>
      <c r="N549" s="1"/>
      <c r="O549" s="1"/>
      <c r="P549" s="1"/>
      <c r="Q549" s="1"/>
    </row>
    <row r="550" spans="1:17" x14ac:dyDescent="0.25">
      <c r="A550" s="1"/>
      <c r="B550" s="1"/>
      <c r="C550" s="1"/>
      <c r="D550" s="1"/>
      <c r="E550" s="1"/>
      <c r="F550" s="1"/>
      <c r="G550" s="1"/>
      <c r="H550" s="1" t="s">
        <v>585</v>
      </c>
      <c r="I550" s="1"/>
      <c r="J550" s="1"/>
      <c r="K550" s="1"/>
      <c r="L550" s="1"/>
      <c r="M550" s="1"/>
      <c r="N550" s="1"/>
      <c r="O550" s="1"/>
      <c r="P550" s="1"/>
      <c r="Q550" s="1"/>
    </row>
    <row r="551" spans="1:17" x14ac:dyDescent="0.25">
      <c r="A551" s="1"/>
      <c r="B551" s="1"/>
      <c r="C551" s="1"/>
      <c r="D551" s="1"/>
      <c r="E551" s="1"/>
      <c r="F551" s="1"/>
      <c r="G551" s="1"/>
      <c r="H551" s="1" t="s">
        <v>585</v>
      </c>
      <c r="I551" s="1"/>
      <c r="J551" s="1"/>
      <c r="K551" s="1"/>
      <c r="L551" s="1"/>
      <c r="M551" s="1"/>
      <c r="N551" s="1"/>
      <c r="O551" s="1"/>
      <c r="P551" s="1"/>
      <c r="Q551" s="1"/>
    </row>
    <row r="552" spans="1:17" x14ac:dyDescent="0.25">
      <c r="A552" s="1"/>
      <c r="B552" s="1"/>
      <c r="C552" s="1"/>
      <c r="D552" s="1"/>
      <c r="E552" s="1"/>
      <c r="F552" s="1"/>
      <c r="G552" s="1"/>
      <c r="H552" s="1" t="s">
        <v>585</v>
      </c>
      <c r="I552" s="1"/>
      <c r="J552" s="1"/>
      <c r="K552" s="1"/>
      <c r="L552" s="1"/>
      <c r="M552" s="1"/>
      <c r="N552" s="1"/>
      <c r="O552" s="1"/>
      <c r="P552" s="1"/>
      <c r="Q552" s="1"/>
    </row>
    <row r="553" spans="1:17" x14ac:dyDescent="0.25">
      <c r="A553" s="1"/>
      <c r="B553" s="1"/>
      <c r="C553" s="1"/>
      <c r="D553" s="1"/>
      <c r="E553" s="1"/>
      <c r="F553" s="1"/>
      <c r="G553" s="1"/>
      <c r="H553" s="1" t="s">
        <v>585</v>
      </c>
      <c r="I553" s="1"/>
      <c r="J553" s="1"/>
      <c r="K553" s="1"/>
      <c r="L553" s="1"/>
      <c r="M553" s="1"/>
      <c r="N553" s="1"/>
      <c r="O553" s="1"/>
      <c r="P553" s="1"/>
      <c r="Q553" s="1"/>
    </row>
    <row r="554" spans="1:17" x14ac:dyDescent="0.25">
      <c r="A554" s="1"/>
      <c r="B554" s="1"/>
      <c r="C554" s="1"/>
      <c r="D554" s="1"/>
      <c r="E554" s="1"/>
      <c r="F554" s="1"/>
      <c r="G554" s="1"/>
      <c r="H554" s="1" t="s">
        <v>585</v>
      </c>
      <c r="I554" s="1"/>
      <c r="J554" s="1"/>
      <c r="K554" s="1"/>
      <c r="L554" s="1"/>
      <c r="M554" s="1"/>
      <c r="N554" s="1"/>
      <c r="O554" s="1"/>
      <c r="P554" s="1"/>
      <c r="Q554" s="1"/>
    </row>
    <row r="555" spans="1:17" x14ac:dyDescent="0.25">
      <c r="A555" s="1"/>
      <c r="B555" s="1"/>
      <c r="C555" s="1"/>
      <c r="D555" s="1"/>
      <c r="E555" s="1"/>
      <c r="F555" s="1"/>
      <c r="G555" s="1"/>
      <c r="H555" s="1" t="s">
        <v>585</v>
      </c>
      <c r="I555" s="1"/>
      <c r="J555" s="1"/>
      <c r="K555" s="1"/>
      <c r="L555" s="1"/>
      <c r="M555" s="1"/>
      <c r="N555" s="1"/>
      <c r="O555" s="1"/>
      <c r="P555" s="1"/>
      <c r="Q555" s="1"/>
    </row>
    <row r="556" spans="1:17" x14ac:dyDescent="0.25">
      <c r="A556" s="1"/>
      <c r="B556" s="1"/>
      <c r="C556" s="1"/>
      <c r="D556" s="1"/>
      <c r="E556" s="1"/>
      <c r="F556" s="1"/>
      <c r="G556" s="1"/>
      <c r="H556" s="1" t="s">
        <v>585</v>
      </c>
      <c r="I556" s="1"/>
      <c r="J556" s="1"/>
      <c r="K556" s="1"/>
      <c r="L556" s="1"/>
      <c r="M556" s="1"/>
      <c r="N556" s="1"/>
      <c r="O556" s="1"/>
      <c r="P556" s="1"/>
      <c r="Q556" s="1"/>
    </row>
    <row r="557" spans="1:17" x14ac:dyDescent="0.25">
      <c r="A557" s="1"/>
      <c r="B557" s="1"/>
      <c r="C557" s="1"/>
      <c r="D557" s="1"/>
      <c r="E557" s="1"/>
      <c r="F557" s="1"/>
      <c r="G557" s="1"/>
      <c r="H557" s="1" t="s">
        <v>585</v>
      </c>
      <c r="I557" s="1"/>
      <c r="J557" s="1"/>
      <c r="K557" s="1"/>
      <c r="L557" s="1"/>
      <c r="M557" s="1"/>
      <c r="N557" s="1"/>
      <c r="O557" s="1"/>
      <c r="P557" s="1"/>
      <c r="Q557" s="1"/>
    </row>
    <row r="558" spans="1:17" x14ac:dyDescent="0.25">
      <c r="A558" s="1"/>
      <c r="B558" s="1"/>
      <c r="C558" s="1"/>
      <c r="D558" s="1"/>
      <c r="E558" s="1"/>
      <c r="F558" s="1"/>
      <c r="G558" s="1"/>
      <c r="H558" s="1" t="s">
        <v>585</v>
      </c>
      <c r="I558" s="1"/>
      <c r="J558" s="1"/>
      <c r="K558" s="1"/>
      <c r="L558" s="1"/>
      <c r="M558" s="1"/>
      <c r="N558" s="1"/>
      <c r="O558" s="1"/>
      <c r="P558" s="1"/>
      <c r="Q558" s="1"/>
    </row>
    <row r="559" spans="1:17" x14ac:dyDescent="0.25">
      <c r="A559" s="1"/>
      <c r="B559" s="1"/>
      <c r="C559" s="1"/>
      <c r="D559" s="1"/>
      <c r="E559" s="1"/>
      <c r="F559" s="1"/>
      <c r="G559" s="1"/>
      <c r="H559" s="1" t="s">
        <v>585</v>
      </c>
      <c r="I559" s="1"/>
      <c r="J559" s="1"/>
      <c r="K559" s="1"/>
      <c r="L559" s="1"/>
      <c r="M559" s="1"/>
      <c r="N559" s="1"/>
      <c r="O559" s="1"/>
      <c r="P559" s="1"/>
      <c r="Q559" s="1"/>
    </row>
    <row r="560" spans="1:17" x14ac:dyDescent="0.25">
      <c r="A560" s="1"/>
      <c r="B560" s="1"/>
      <c r="C560" s="1"/>
      <c r="D560" s="1"/>
      <c r="E560" s="1"/>
      <c r="F560" s="1"/>
      <c r="G560" s="1"/>
      <c r="H560" s="1" t="s">
        <v>585</v>
      </c>
      <c r="I560" s="1"/>
      <c r="J560" s="1"/>
      <c r="K560" s="1"/>
      <c r="L560" s="1"/>
      <c r="M560" s="1"/>
      <c r="N560" s="1"/>
      <c r="O560" s="1"/>
      <c r="P560" s="1"/>
      <c r="Q560" s="1"/>
    </row>
    <row r="561" spans="1:17" x14ac:dyDescent="0.25">
      <c r="A561" s="1"/>
      <c r="B561" s="1"/>
      <c r="C561" s="1"/>
      <c r="D561" s="1"/>
      <c r="E561" s="1"/>
      <c r="F561" s="1"/>
      <c r="G561" s="1"/>
      <c r="H561" s="1" t="s">
        <v>585</v>
      </c>
      <c r="I561" s="1"/>
      <c r="J561" s="1"/>
      <c r="K561" s="1"/>
      <c r="L561" s="1"/>
      <c r="M561" s="1"/>
      <c r="N561" s="1"/>
      <c r="O561" s="1"/>
      <c r="P561" s="1"/>
      <c r="Q561" s="1"/>
    </row>
    <row r="562" spans="1:17" x14ac:dyDescent="0.25">
      <c r="A562" s="1"/>
      <c r="B562" s="1"/>
      <c r="C562" s="1"/>
      <c r="D562" s="1"/>
      <c r="E562" s="1"/>
      <c r="F562" s="1"/>
      <c r="G562" s="1"/>
      <c r="H562" s="1" t="s">
        <v>585</v>
      </c>
      <c r="I562" s="1"/>
      <c r="J562" s="1"/>
      <c r="K562" s="1"/>
      <c r="L562" s="1"/>
      <c r="M562" s="1"/>
      <c r="N562" s="1"/>
      <c r="O562" s="1"/>
      <c r="P562" s="1"/>
      <c r="Q562" s="1"/>
    </row>
    <row r="563" spans="1:17" x14ac:dyDescent="0.25">
      <c r="A563" s="1"/>
      <c r="B563" s="1"/>
      <c r="C563" s="1"/>
      <c r="D563" s="1"/>
      <c r="E563" s="1"/>
      <c r="F563" s="1"/>
      <c r="G563" s="1"/>
      <c r="H563" s="1" t="s">
        <v>585</v>
      </c>
      <c r="I563" s="1"/>
      <c r="J563" s="1"/>
      <c r="K563" s="1"/>
      <c r="L563" s="1"/>
      <c r="M563" s="1"/>
      <c r="N563" s="1"/>
      <c r="O563" s="1"/>
      <c r="P563" s="1"/>
      <c r="Q563" s="1"/>
    </row>
    <row r="564" spans="1:17" x14ac:dyDescent="0.25">
      <c r="A564" s="1"/>
      <c r="B564" s="1"/>
      <c r="C564" s="1"/>
      <c r="D564" s="1"/>
      <c r="E564" s="1"/>
      <c r="F564" s="1"/>
      <c r="G564" s="1"/>
      <c r="H564" s="1" t="s">
        <v>585</v>
      </c>
      <c r="I564" s="1"/>
      <c r="J564" s="1"/>
      <c r="K564" s="1"/>
      <c r="L564" s="1"/>
      <c r="M564" s="1"/>
      <c r="N564" s="1"/>
      <c r="O564" s="1"/>
      <c r="P564" s="1"/>
      <c r="Q564" s="1"/>
    </row>
    <row r="565" spans="1:17" x14ac:dyDescent="0.25">
      <c r="A565" s="1"/>
      <c r="B565" s="1"/>
      <c r="C565" s="1"/>
      <c r="D565" s="1"/>
      <c r="E565" s="1"/>
      <c r="F565" s="1"/>
      <c r="G565" s="1"/>
      <c r="H565" s="1" t="s">
        <v>585</v>
      </c>
      <c r="I565" s="1"/>
      <c r="J565" s="1"/>
      <c r="K565" s="1"/>
      <c r="L565" s="1"/>
      <c r="M565" s="1"/>
      <c r="N565" s="1"/>
      <c r="O565" s="1"/>
      <c r="P565" s="1"/>
      <c r="Q565" s="1"/>
    </row>
    <row r="566" spans="1:17" x14ac:dyDescent="0.25">
      <c r="A566" s="1"/>
      <c r="B566" s="1"/>
      <c r="C566" s="1"/>
      <c r="D566" s="1"/>
      <c r="E566" s="1"/>
      <c r="F566" s="1"/>
      <c r="G566" s="1"/>
      <c r="H566" s="1" t="s">
        <v>585</v>
      </c>
      <c r="I566" s="1"/>
      <c r="J566" s="1"/>
      <c r="K566" s="1"/>
      <c r="L566" s="1"/>
      <c r="M566" s="1"/>
      <c r="N566" s="1"/>
      <c r="O566" s="1"/>
      <c r="P566" s="1"/>
      <c r="Q566" s="1"/>
    </row>
    <row r="567" spans="1:17" x14ac:dyDescent="0.25">
      <c r="A567" s="1"/>
      <c r="B567" s="1"/>
      <c r="C567" s="1"/>
      <c r="D567" s="1"/>
      <c r="E567" s="1"/>
      <c r="F567" s="1"/>
      <c r="G567" s="1"/>
      <c r="H567" s="1" t="s">
        <v>585</v>
      </c>
      <c r="I567" s="1"/>
      <c r="J567" s="1"/>
      <c r="K567" s="1"/>
      <c r="L567" s="1"/>
      <c r="M567" s="1"/>
      <c r="N567" s="1"/>
      <c r="O567" s="1"/>
      <c r="P567" s="1"/>
      <c r="Q567" s="1"/>
    </row>
    <row r="568" spans="1:17" x14ac:dyDescent="0.25">
      <c r="A568" s="1"/>
      <c r="B568" s="1"/>
      <c r="C568" s="1"/>
      <c r="D568" s="1"/>
      <c r="E568" s="1"/>
      <c r="F568" s="1"/>
      <c r="G568" s="1"/>
      <c r="H568" s="1" t="s">
        <v>585</v>
      </c>
      <c r="I568" s="1"/>
      <c r="J568" s="1"/>
      <c r="K568" s="1"/>
      <c r="L568" s="1"/>
      <c r="M568" s="1"/>
      <c r="N568" s="1"/>
      <c r="O568" s="1"/>
      <c r="P568" s="1"/>
      <c r="Q568" s="1"/>
    </row>
    <row r="569" spans="1:17" x14ac:dyDescent="0.25">
      <c r="A569" s="1"/>
      <c r="B569" s="1"/>
      <c r="C569" s="1"/>
      <c r="D569" s="1"/>
      <c r="E569" s="1"/>
      <c r="F569" s="1"/>
      <c r="G569" s="1"/>
      <c r="H569" s="1" t="s">
        <v>585</v>
      </c>
      <c r="I569" s="1"/>
      <c r="J569" s="1"/>
      <c r="K569" s="1"/>
      <c r="L569" s="1"/>
      <c r="M569" s="1"/>
      <c r="N569" s="1"/>
      <c r="O569" s="1"/>
      <c r="P569" s="1"/>
      <c r="Q569" s="1"/>
    </row>
    <row r="570" spans="1:17" x14ac:dyDescent="0.25">
      <c r="A570" s="1"/>
      <c r="B570" s="1"/>
      <c r="C570" s="1"/>
      <c r="D570" s="1"/>
      <c r="E570" s="1"/>
      <c r="F570" s="1"/>
      <c r="G570" s="1"/>
      <c r="H570" s="1" t="s">
        <v>585</v>
      </c>
      <c r="I570" s="1"/>
      <c r="J570" s="1"/>
      <c r="K570" s="1"/>
      <c r="L570" s="1"/>
      <c r="M570" s="1"/>
      <c r="N570" s="1"/>
      <c r="O570" s="1"/>
      <c r="P570" s="1"/>
      <c r="Q570" s="1"/>
    </row>
    <row r="571" spans="1:17" x14ac:dyDescent="0.25">
      <c r="A571" s="1"/>
      <c r="B571" s="1"/>
      <c r="C571" s="1"/>
      <c r="D571" s="1"/>
      <c r="E571" s="1"/>
      <c r="F571" s="1"/>
      <c r="G571" s="1"/>
      <c r="H571" s="1" t="s">
        <v>585</v>
      </c>
      <c r="I571" s="1"/>
      <c r="J571" s="1"/>
      <c r="K571" s="1"/>
      <c r="L571" s="1"/>
      <c r="M571" s="1"/>
      <c r="N571" s="1"/>
      <c r="O571" s="1"/>
      <c r="P571" s="1"/>
      <c r="Q571" s="1"/>
    </row>
    <row r="572" spans="1:17" x14ac:dyDescent="0.25">
      <c r="A572" s="1"/>
      <c r="B572" s="1"/>
      <c r="C572" s="1"/>
      <c r="D572" s="1"/>
      <c r="E572" s="1"/>
      <c r="F572" s="1"/>
      <c r="G572" s="1"/>
      <c r="H572" s="1" t="s">
        <v>585</v>
      </c>
      <c r="I572" s="1"/>
      <c r="J572" s="1"/>
      <c r="K572" s="1"/>
      <c r="L572" s="1"/>
      <c r="M572" s="1"/>
      <c r="N572" s="1"/>
      <c r="O572" s="1"/>
      <c r="P572" s="1"/>
      <c r="Q572" s="1"/>
    </row>
    <row r="573" spans="1:17" x14ac:dyDescent="0.25">
      <c r="A573" s="1"/>
      <c r="B573" s="1"/>
      <c r="C573" s="1"/>
      <c r="D573" s="1"/>
      <c r="E573" s="1"/>
      <c r="F573" s="1"/>
      <c r="G573" s="1"/>
      <c r="H573" s="1" t="s">
        <v>585</v>
      </c>
      <c r="I573" s="1"/>
      <c r="J573" s="1"/>
      <c r="K573" s="1"/>
      <c r="L573" s="1"/>
      <c r="M573" s="1"/>
      <c r="N573" s="1"/>
      <c r="O573" s="1"/>
      <c r="P573" s="1"/>
      <c r="Q573" s="1"/>
    </row>
    <row r="574" spans="1:17" x14ac:dyDescent="0.25">
      <c r="A574" s="1"/>
      <c r="B574" s="1"/>
      <c r="C574" s="1"/>
      <c r="D574" s="1"/>
      <c r="E574" s="1"/>
      <c r="F574" s="1"/>
      <c r="G574" s="1"/>
      <c r="H574" s="1" t="s">
        <v>585</v>
      </c>
      <c r="I574" s="1"/>
      <c r="J574" s="1"/>
      <c r="K574" s="1"/>
      <c r="L574" s="1"/>
      <c r="M574" s="1"/>
      <c r="N574" s="1"/>
      <c r="O574" s="1"/>
      <c r="P574" s="1"/>
      <c r="Q574" s="1"/>
    </row>
    <row r="575" spans="1:17" x14ac:dyDescent="0.25">
      <c r="A575" s="1"/>
      <c r="B575" s="1"/>
      <c r="C575" s="1"/>
      <c r="D575" s="1"/>
      <c r="E575" s="1"/>
      <c r="F575" s="1"/>
      <c r="G575" s="1"/>
      <c r="H575" s="1" t="s">
        <v>585</v>
      </c>
      <c r="I575" s="1"/>
      <c r="J575" s="1"/>
      <c r="K575" s="1"/>
      <c r="L575" s="1"/>
      <c r="M575" s="1"/>
      <c r="N575" s="1"/>
      <c r="O575" s="1"/>
      <c r="P575" s="1"/>
      <c r="Q575" s="1"/>
    </row>
    <row r="576" spans="1:17" x14ac:dyDescent="0.25">
      <c r="A576" s="1"/>
      <c r="B576" s="1"/>
      <c r="C576" s="1"/>
      <c r="D576" s="1"/>
      <c r="E576" s="1"/>
      <c r="F576" s="1"/>
      <c r="G576" s="1"/>
      <c r="H576" s="1" t="s">
        <v>585</v>
      </c>
      <c r="I576" s="1"/>
      <c r="J576" s="1"/>
      <c r="K576" s="1"/>
      <c r="L576" s="1"/>
      <c r="M576" s="1"/>
      <c r="N576" s="1"/>
      <c r="O576" s="1"/>
      <c r="P576" s="1"/>
      <c r="Q576" s="1"/>
    </row>
    <row r="577" spans="1:17" x14ac:dyDescent="0.25">
      <c r="A577" s="1"/>
      <c r="B577" s="1"/>
      <c r="C577" s="1"/>
      <c r="D577" s="1"/>
      <c r="E577" s="1"/>
      <c r="F577" s="1"/>
      <c r="G577" s="1"/>
      <c r="H577" s="1" t="s">
        <v>585</v>
      </c>
      <c r="I577" s="1"/>
      <c r="J577" s="1"/>
      <c r="K577" s="1"/>
      <c r="L577" s="1"/>
      <c r="M577" s="1"/>
      <c r="N577" s="1"/>
      <c r="O577" s="1"/>
      <c r="P577" s="1"/>
      <c r="Q577" s="1"/>
    </row>
    <row r="578" spans="1:17" x14ac:dyDescent="0.25">
      <c r="A578" s="1"/>
      <c r="B578" s="1"/>
      <c r="C578" s="1"/>
      <c r="D578" s="1"/>
      <c r="E578" s="1"/>
      <c r="F578" s="1"/>
      <c r="G578" s="1"/>
      <c r="H578" s="1" t="s">
        <v>585</v>
      </c>
      <c r="I578" s="1"/>
      <c r="J578" s="1"/>
      <c r="K578" s="1"/>
      <c r="L578" s="1"/>
      <c r="M578" s="1"/>
      <c r="N578" s="1"/>
      <c r="O578" s="1"/>
      <c r="P578" s="1"/>
      <c r="Q578" s="1"/>
    </row>
    <row r="579" spans="1:17" x14ac:dyDescent="0.25">
      <c r="A579" s="1"/>
      <c r="B579" s="1"/>
      <c r="C579" s="1"/>
      <c r="D579" s="1"/>
      <c r="E579" s="1"/>
      <c r="F579" s="1"/>
      <c r="G579" s="1"/>
      <c r="H579" s="1" t="s">
        <v>585</v>
      </c>
      <c r="I579" s="1"/>
      <c r="J579" s="1"/>
      <c r="K579" s="1"/>
      <c r="L579" s="1"/>
      <c r="M579" s="1"/>
      <c r="N579" s="1"/>
      <c r="O579" s="1"/>
      <c r="P579" s="1"/>
      <c r="Q579" s="1"/>
    </row>
    <row r="580" spans="1:17" x14ac:dyDescent="0.25">
      <c r="A580" s="1"/>
      <c r="B580" s="1"/>
      <c r="C580" s="1"/>
      <c r="D580" s="1"/>
      <c r="E580" s="1"/>
      <c r="F580" s="1"/>
      <c r="G580" s="1"/>
      <c r="H580" s="1" t="s">
        <v>585</v>
      </c>
      <c r="I580" s="1"/>
      <c r="J580" s="1"/>
      <c r="K580" s="1"/>
      <c r="L580" s="1"/>
      <c r="M580" s="1"/>
      <c r="N580" s="1"/>
      <c r="O580" s="1"/>
      <c r="P580" s="1"/>
      <c r="Q580" s="1"/>
    </row>
    <row r="581" spans="1:17" x14ac:dyDescent="0.25">
      <c r="A581" s="1"/>
      <c r="B581" s="1"/>
      <c r="C581" s="1"/>
      <c r="D581" s="1"/>
      <c r="E581" s="1"/>
      <c r="F581" s="1"/>
      <c r="G581" s="1"/>
      <c r="H581" s="1" t="s">
        <v>585</v>
      </c>
      <c r="I581" s="1"/>
      <c r="J581" s="1"/>
      <c r="K581" s="1"/>
      <c r="L581" s="1"/>
      <c r="M581" s="1"/>
      <c r="N581" s="1"/>
      <c r="O581" s="1"/>
      <c r="P581" s="1"/>
      <c r="Q581" s="1"/>
    </row>
    <row r="582" spans="1:17" x14ac:dyDescent="0.25">
      <c r="A582" s="1"/>
      <c r="B582" s="1"/>
      <c r="C582" s="1"/>
      <c r="D582" s="1"/>
      <c r="E582" s="1"/>
      <c r="F582" s="1"/>
      <c r="G582" s="1"/>
      <c r="H582" s="1" t="s">
        <v>585</v>
      </c>
      <c r="I582" s="1"/>
      <c r="J582" s="1"/>
      <c r="K582" s="1"/>
      <c r="L582" s="1"/>
      <c r="M582" s="1"/>
      <c r="N582" s="1"/>
      <c r="O582" s="1"/>
      <c r="P582" s="1"/>
      <c r="Q582" s="1"/>
    </row>
    <row r="583" spans="1:17" x14ac:dyDescent="0.25">
      <c r="A583" s="1"/>
      <c r="B583" s="1"/>
      <c r="C583" s="1"/>
      <c r="D583" s="1"/>
      <c r="E583" s="1"/>
      <c r="F583" s="1"/>
      <c r="G583" s="1"/>
      <c r="H583" s="1" t="s">
        <v>585</v>
      </c>
      <c r="I583" s="1"/>
      <c r="J583" s="1"/>
      <c r="K583" s="1"/>
      <c r="L583" s="1"/>
      <c r="M583" s="1"/>
      <c r="N583" s="1"/>
      <c r="O583" s="1"/>
      <c r="P583" s="1"/>
      <c r="Q583" s="1"/>
    </row>
    <row r="584" spans="1:17" x14ac:dyDescent="0.25">
      <c r="A584" s="1"/>
      <c r="B584" s="1"/>
      <c r="C584" s="1"/>
      <c r="D584" s="1"/>
      <c r="E584" s="1"/>
      <c r="F584" s="1"/>
      <c r="G584" s="1"/>
      <c r="H584" s="1" t="s">
        <v>585</v>
      </c>
      <c r="I584" s="1"/>
      <c r="J584" s="1"/>
      <c r="K584" s="1"/>
      <c r="L584" s="1"/>
      <c r="M584" s="1"/>
      <c r="N584" s="1"/>
      <c r="O584" s="1"/>
      <c r="P584" s="1"/>
      <c r="Q584" s="1"/>
    </row>
    <row r="585" spans="1:17" x14ac:dyDescent="0.25">
      <c r="A585" s="1"/>
      <c r="B585" s="1"/>
      <c r="C585" s="1"/>
      <c r="D585" s="1"/>
      <c r="E585" s="1"/>
      <c r="F585" s="1"/>
      <c r="G585" s="1"/>
      <c r="H585" s="1" t="s">
        <v>585</v>
      </c>
      <c r="I585" s="1"/>
      <c r="J585" s="1"/>
      <c r="K585" s="1"/>
      <c r="L585" s="1"/>
      <c r="M585" s="1"/>
      <c r="N585" s="1"/>
      <c r="O585" s="1"/>
      <c r="P585" s="1"/>
      <c r="Q585" s="1"/>
    </row>
    <row r="586" spans="1:17" x14ac:dyDescent="0.25">
      <c r="A586" s="1"/>
      <c r="B586" s="1"/>
      <c r="C586" s="1"/>
      <c r="D586" s="1"/>
      <c r="E586" s="1"/>
      <c r="F586" s="1"/>
      <c r="G586" s="1"/>
      <c r="H586" s="1" t="s">
        <v>585</v>
      </c>
      <c r="I586" s="1"/>
      <c r="J586" s="1"/>
      <c r="K586" s="1"/>
      <c r="L586" s="1"/>
      <c r="M586" s="1"/>
      <c r="N586" s="1"/>
      <c r="O586" s="1"/>
      <c r="P586" s="1"/>
      <c r="Q586" s="1"/>
    </row>
    <row r="587" spans="1:17" x14ac:dyDescent="0.25">
      <c r="A587" s="1"/>
      <c r="B587" s="1"/>
      <c r="C587" s="1"/>
      <c r="D587" s="1"/>
      <c r="E587" s="1"/>
      <c r="F587" s="1"/>
      <c r="G587" s="1"/>
      <c r="H587" s="1" t="s">
        <v>585</v>
      </c>
      <c r="I587" s="1"/>
      <c r="J587" s="1"/>
      <c r="K587" s="1"/>
      <c r="L587" s="1"/>
      <c r="M587" s="1"/>
      <c r="N587" s="1"/>
      <c r="O587" s="1"/>
      <c r="P587" s="1"/>
      <c r="Q587" s="1"/>
    </row>
    <row r="588" spans="1:17" x14ac:dyDescent="0.25">
      <c r="A588" s="1"/>
      <c r="B588" s="1"/>
      <c r="C588" s="1"/>
      <c r="D588" s="1"/>
      <c r="E588" s="1"/>
      <c r="F588" s="1"/>
      <c r="G588" s="1"/>
      <c r="H588" s="1" t="s">
        <v>585</v>
      </c>
      <c r="I588" s="1"/>
      <c r="J588" s="1"/>
      <c r="K588" s="1"/>
      <c r="L588" s="1"/>
      <c r="M588" s="1"/>
      <c r="N588" s="1"/>
      <c r="O588" s="1"/>
      <c r="P588" s="1"/>
      <c r="Q588" s="1"/>
    </row>
    <row r="589" spans="1:17" x14ac:dyDescent="0.25">
      <c r="A589" s="1"/>
      <c r="B589" s="1"/>
      <c r="C589" s="1"/>
      <c r="D589" s="1"/>
      <c r="E589" s="1"/>
      <c r="F589" s="1"/>
      <c r="G589" s="1"/>
      <c r="H589" s="1" t="s">
        <v>585</v>
      </c>
      <c r="I589" s="1"/>
      <c r="J589" s="1"/>
      <c r="K589" s="1"/>
      <c r="L589" s="1"/>
      <c r="M589" s="1"/>
      <c r="N589" s="1"/>
      <c r="O589" s="1"/>
      <c r="P589" s="1"/>
      <c r="Q589" s="1"/>
    </row>
    <row r="590" spans="1:17" x14ac:dyDescent="0.25">
      <c r="A590" s="1"/>
      <c r="B590" s="1"/>
      <c r="C590" s="1"/>
      <c r="D590" s="1"/>
      <c r="E590" s="1"/>
      <c r="F590" s="1"/>
      <c r="G590" s="1"/>
      <c r="H590" s="1" t="s">
        <v>585</v>
      </c>
      <c r="I590" s="1"/>
      <c r="J590" s="1"/>
      <c r="K590" s="1"/>
      <c r="L590" s="1"/>
      <c r="M590" s="1"/>
      <c r="N590" s="1"/>
      <c r="O590" s="1"/>
      <c r="P590" s="1"/>
      <c r="Q590" s="1"/>
    </row>
    <row r="591" spans="1:17" x14ac:dyDescent="0.25">
      <c r="A591" s="1"/>
      <c r="B591" s="1"/>
      <c r="C591" s="1"/>
      <c r="D591" s="1"/>
      <c r="E591" s="1"/>
      <c r="F591" s="1"/>
      <c r="G591" s="1"/>
      <c r="H591" s="1" t="s">
        <v>585</v>
      </c>
      <c r="I591" s="1"/>
      <c r="J591" s="1"/>
      <c r="K591" s="1"/>
      <c r="L591" s="1"/>
      <c r="M591" s="1"/>
      <c r="N591" s="1"/>
      <c r="O591" s="1"/>
      <c r="P591" s="1"/>
      <c r="Q591" s="1"/>
    </row>
    <row r="592" spans="1:17" x14ac:dyDescent="0.25">
      <c r="A592" s="1"/>
      <c r="B592" s="1"/>
      <c r="C592" s="1"/>
      <c r="D592" s="1"/>
      <c r="E592" s="1"/>
      <c r="F592" s="1"/>
      <c r="G592" s="1"/>
      <c r="H592" s="1" t="s">
        <v>585</v>
      </c>
      <c r="I592" s="1"/>
      <c r="J592" s="1"/>
      <c r="K592" s="1"/>
      <c r="L592" s="1"/>
      <c r="M592" s="1"/>
      <c r="N592" s="1"/>
      <c r="O592" s="1"/>
      <c r="P592" s="1"/>
      <c r="Q592" s="1"/>
    </row>
    <row r="593" spans="1:17" x14ac:dyDescent="0.25">
      <c r="A593" s="1"/>
      <c r="B593" s="1"/>
      <c r="C593" s="1"/>
      <c r="D593" s="1"/>
      <c r="E593" s="1"/>
      <c r="F593" s="1"/>
      <c r="G593" s="1"/>
      <c r="H593" s="1" t="s">
        <v>585</v>
      </c>
      <c r="I593" s="1"/>
      <c r="J593" s="1"/>
      <c r="K593" s="1"/>
      <c r="L593" s="1"/>
      <c r="M593" s="1"/>
      <c r="N593" s="1"/>
      <c r="O593" s="1"/>
      <c r="P593" s="1"/>
      <c r="Q593" s="1"/>
    </row>
    <row r="594" spans="1:17" x14ac:dyDescent="0.25">
      <c r="A594" s="1"/>
      <c r="B594" s="1"/>
      <c r="C594" s="1"/>
      <c r="D594" s="1"/>
      <c r="E594" s="1"/>
      <c r="F594" s="1"/>
      <c r="G594" s="1"/>
      <c r="H594" s="1" t="s">
        <v>585</v>
      </c>
      <c r="I594" s="1"/>
      <c r="J594" s="1"/>
      <c r="K594" s="1"/>
      <c r="L594" s="1"/>
      <c r="M594" s="1"/>
      <c r="N594" s="1"/>
      <c r="O594" s="1"/>
      <c r="P594" s="1"/>
      <c r="Q594" s="1"/>
    </row>
    <row r="595" spans="1:17" x14ac:dyDescent="0.25">
      <c r="A595" s="1"/>
      <c r="B595" s="1"/>
      <c r="C595" s="1"/>
      <c r="D595" s="1"/>
      <c r="E595" s="1"/>
      <c r="F595" s="1"/>
      <c r="G595" s="1"/>
      <c r="H595" s="1" t="s">
        <v>585</v>
      </c>
      <c r="I595" s="1"/>
      <c r="J595" s="1"/>
      <c r="K595" s="1"/>
      <c r="L595" s="1"/>
      <c r="M595" s="1"/>
      <c r="N595" s="1"/>
      <c r="O595" s="1"/>
      <c r="P595" s="1"/>
      <c r="Q595" s="1"/>
    </row>
    <row r="596" spans="1:17" x14ac:dyDescent="0.25">
      <c r="A596" s="1"/>
      <c r="B596" s="1"/>
      <c r="C596" s="1"/>
      <c r="D596" s="1"/>
      <c r="E596" s="1"/>
      <c r="F596" s="1"/>
      <c r="G596" s="1"/>
      <c r="H596" s="1" t="s">
        <v>585</v>
      </c>
      <c r="I596" s="1"/>
      <c r="J596" s="1"/>
      <c r="K596" s="1"/>
      <c r="L596" s="1"/>
      <c r="M596" s="1"/>
      <c r="N596" s="1"/>
      <c r="O596" s="1"/>
      <c r="P596" s="1"/>
      <c r="Q596" s="1"/>
    </row>
    <row r="597" spans="1:17" x14ac:dyDescent="0.25">
      <c r="A597" s="1"/>
      <c r="B597" s="1"/>
      <c r="C597" s="1"/>
      <c r="D597" s="1"/>
      <c r="E597" s="1"/>
      <c r="F597" s="1"/>
      <c r="G597" s="1"/>
      <c r="H597" s="1" t="s">
        <v>585</v>
      </c>
      <c r="I597" s="1"/>
      <c r="J597" s="1"/>
      <c r="K597" s="1"/>
      <c r="L597" s="1"/>
      <c r="M597" s="1"/>
      <c r="N597" s="1"/>
      <c r="O597" s="1"/>
      <c r="P597" s="1"/>
      <c r="Q597" s="1"/>
    </row>
    <row r="598" spans="1:17" x14ac:dyDescent="0.25">
      <c r="A598" s="1"/>
      <c r="B598" s="1"/>
      <c r="C598" s="1"/>
      <c r="D598" s="1"/>
      <c r="E598" s="1"/>
      <c r="F598" s="1"/>
      <c r="G598" s="1"/>
      <c r="H598" s="1" t="s">
        <v>585</v>
      </c>
      <c r="I598" s="1"/>
      <c r="J598" s="1"/>
      <c r="K598" s="1"/>
      <c r="L598" s="1"/>
      <c r="M598" s="1"/>
      <c r="N598" s="1"/>
      <c r="O598" s="1"/>
      <c r="P598" s="1"/>
      <c r="Q598" s="1"/>
    </row>
    <row r="599" spans="1:17" x14ac:dyDescent="0.25">
      <c r="A599" s="1"/>
      <c r="B599" s="1"/>
      <c r="C599" s="1"/>
      <c r="D599" s="1"/>
      <c r="E599" s="1"/>
      <c r="F599" s="1"/>
      <c r="G599" s="1"/>
      <c r="H599" s="1" t="s">
        <v>585</v>
      </c>
      <c r="I599" s="1"/>
      <c r="J599" s="1"/>
      <c r="K599" s="1"/>
      <c r="L599" s="1"/>
      <c r="M599" s="1"/>
      <c r="N599" s="1"/>
      <c r="O599" s="1"/>
      <c r="P599" s="1"/>
      <c r="Q599" s="1"/>
    </row>
    <row r="600" spans="1:17" x14ac:dyDescent="0.25">
      <c r="A600" s="1"/>
      <c r="B600" s="1"/>
      <c r="C600" s="1"/>
      <c r="D600" s="1"/>
      <c r="E600" s="1"/>
      <c r="F600" s="1"/>
      <c r="G600" s="1"/>
      <c r="H600" s="1" t="s">
        <v>585</v>
      </c>
      <c r="I600" s="1"/>
      <c r="J600" s="1"/>
      <c r="K600" s="1"/>
      <c r="L600" s="1"/>
      <c r="M600" s="1"/>
      <c r="N600" s="1"/>
      <c r="O600" s="1"/>
      <c r="P600" s="1"/>
      <c r="Q600" s="1"/>
    </row>
    <row r="601" spans="1:17" x14ac:dyDescent="0.25">
      <c r="A601" s="1"/>
      <c r="B601" s="1"/>
      <c r="C601" s="1"/>
      <c r="D601" s="1"/>
      <c r="E601" s="1"/>
      <c r="F601" s="1"/>
      <c r="G601" s="1"/>
      <c r="H601" s="1" t="s">
        <v>585</v>
      </c>
      <c r="I601" s="1"/>
      <c r="J601" s="1"/>
      <c r="K601" s="1"/>
      <c r="L601" s="1"/>
      <c r="M601" s="1"/>
      <c r="N601" s="1"/>
      <c r="O601" s="1"/>
      <c r="P601" s="1"/>
      <c r="Q601" s="1"/>
    </row>
    <row r="602" spans="1:17" x14ac:dyDescent="0.25">
      <c r="A602" s="1"/>
      <c r="B602" s="1"/>
      <c r="C602" s="1"/>
      <c r="D602" s="1"/>
      <c r="E602" s="1"/>
      <c r="F602" s="1"/>
      <c r="G602" s="1"/>
      <c r="H602" s="1" t="s">
        <v>585</v>
      </c>
      <c r="I602" s="1"/>
      <c r="J602" s="1"/>
      <c r="K602" s="1"/>
      <c r="L602" s="1"/>
      <c r="M602" s="1"/>
      <c r="N602" s="1"/>
      <c r="O602" s="1"/>
      <c r="P602" s="1"/>
      <c r="Q602" s="1"/>
    </row>
    <row r="603" spans="1:17" x14ac:dyDescent="0.25">
      <c r="A603" s="1"/>
      <c r="B603" s="1"/>
      <c r="C603" s="1"/>
      <c r="D603" s="1"/>
      <c r="E603" s="1"/>
      <c r="F603" s="1"/>
      <c r="G603" s="1"/>
      <c r="H603" s="1" t="s">
        <v>585</v>
      </c>
      <c r="I603" s="1"/>
      <c r="J603" s="1"/>
      <c r="K603" s="1"/>
      <c r="L603" s="1"/>
      <c r="M603" s="1"/>
      <c r="N603" s="1"/>
      <c r="O603" s="1"/>
      <c r="P603" s="1"/>
      <c r="Q603" s="1"/>
    </row>
    <row r="604" spans="1:17" x14ac:dyDescent="0.25">
      <c r="A604" s="1"/>
      <c r="B604" s="1"/>
      <c r="C604" s="1"/>
      <c r="D604" s="1"/>
      <c r="E604" s="1"/>
      <c r="F604" s="1"/>
      <c r="G604" s="1"/>
      <c r="H604" s="1" t="s">
        <v>585</v>
      </c>
      <c r="I604" s="1"/>
      <c r="J604" s="1"/>
      <c r="K604" s="1"/>
      <c r="L604" s="1"/>
      <c r="M604" s="1"/>
      <c r="N604" s="1"/>
      <c r="O604" s="1"/>
      <c r="P604" s="1"/>
      <c r="Q604" s="1"/>
    </row>
    <row r="605" spans="1:17" x14ac:dyDescent="0.25">
      <c r="A605" s="1"/>
      <c r="B605" s="1"/>
      <c r="C605" s="1"/>
      <c r="D605" s="1"/>
      <c r="E605" s="1"/>
      <c r="F605" s="1"/>
      <c r="G605" s="1"/>
      <c r="H605" s="1" t="s">
        <v>585</v>
      </c>
      <c r="I605" s="1"/>
      <c r="J605" s="1"/>
      <c r="K605" s="1"/>
      <c r="L605" s="1"/>
      <c r="M605" s="1"/>
      <c r="N605" s="1"/>
      <c r="O605" s="1"/>
      <c r="P605" s="1"/>
      <c r="Q605" s="1"/>
    </row>
    <row r="606" spans="1:17" x14ac:dyDescent="0.25">
      <c r="A606" s="1"/>
      <c r="B606" s="1"/>
      <c r="C606" s="1"/>
      <c r="D606" s="1"/>
      <c r="E606" s="1"/>
      <c r="F606" s="1"/>
      <c r="G606" s="1"/>
      <c r="H606" s="1" t="s">
        <v>585</v>
      </c>
      <c r="I606" s="1"/>
      <c r="J606" s="1"/>
      <c r="K606" s="1"/>
      <c r="L606" s="1"/>
      <c r="M606" s="1"/>
      <c r="N606" s="1"/>
      <c r="O606" s="1"/>
      <c r="P606" s="1"/>
      <c r="Q606" s="1"/>
    </row>
    <row r="607" spans="1:17" x14ac:dyDescent="0.25">
      <c r="A607" s="1"/>
      <c r="B607" s="1"/>
      <c r="C607" s="1"/>
      <c r="D607" s="1"/>
      <c r="E607" s="1"/>
      <c r="F607" s="1"/>
      <c r="G607" s="1"/>
      <c r="H607" s="1" t="s">
        <v>585</v>
      </c>
      <c r="I607" s="1"/>
      <c r="J607" s="1"/>
      <c r="K607" s="1"/>
      <c r="L607" s="1"/>
      <c r="M607" s="1"/>
      <c r="N607" s="1"/>
      <c r="O607" s="1"/>
      <c r="P607" s="1"/>
      <c r="Q607" s="1"/>
    </row>
    <row r="608" spans="1:17" x14ac:dyDescent="0.25">
      <c r="A608" s="1"/>
      <c r="B608" s="1"/>
      <c r="C608" s="1"/>
      <c r="D608" s="1"/>
      <c r="E608" s="1"/>
      <c r="F608" s="1"/>
      <c r="G608" s="1"/>
      <c r="H608" s="1" t="s">
        <v>585</v>
      </c>
      <c r="I608" s="1"/>
      <c r="J608" s="1"/>
      <c r="K608" s="1"/>
      <c r="L608" s="1"/>
      <c r="M608" s="1"/>
      <c r="N608" s="1"/>
      <c r="O608" s="1"/>
      <c r="P608" s="1"/>
      <c r="Q608" s="1"/>
    </row>
    <row r="609" spans="1:17" x14ac:dyDescent="0.25">
      <c r="A609" s="1"/>
      <c r="B609" s="1"/>
      <c r="C609" s="1"/>
      <c r="D609" s="1"/>
      <c r="E609" s="1"/>
      <c r="F609" s="1"/>
      <c r="G609" s="1"/>
      <c r="H609" s="1" t="s">
        <v>585</v>
      </c>
      <c r="I609" s="1"/>
      <c r="J609" s="1"/>
      <c r="K609" s="1"/>
      <c r="L609" s="1"/>
      <c r="M609" s="1"/>
      <c r="N609" s="1"/>
      <c r="O609" s="1"/>
      <c r="P609" s="1"/>
      <c r="Q609" s="1"/>
    </row>
    <row r="610" spans="1:17" x14ac:dyDescent="0.25">
      <c r="A610" s="1"/>
      <c r="B610" s="1"/>
      <c r="C610" s="1"/>
      <c r="D610" s="1"/>
      <c r="E610" s="1"/>
      <c r="F610" s="1"/>
      <c r="G610" s="1"/>
      <c r="H610" s="1" t="s">
        <v>585</v>
      </c>
      <c r="I610" s="1"/>
      <c r="J610" s="1"/>
      <c r="K610" s="1"/>
      <c r="L610" s="1"/>
      <c r="M610" s="1"/>
      <c r="N610" s="1"/>
      <c r="O610" s="1"/>
      <c r="P610" s="1"/>
      <c r="Q610" s="1"/>
    </row>
    <row r="611" spans="1:17" x14ac:dyDescent="0.25">
      <c r="A611" s="1"/>
      <c r="B611" s="1"/>
      <c r="C611" s="1"/>
      <c r="D611" s="1"/>
      <c r="E611" s="1"/>
      <c r="F611" s="1"/>
      <c r="G611" s="1"/>
      <c r="H611" s="1" t="s">
        <v>585</v>
      </c>
      <c r="I611" s="1"/>
      <c r="J611" s="1"/>
      <c r="K611" s="1"/>
      <c r="L611" s="1"/>
      <c r="M611" s="1"/>
      <c r="N611" s="1"/>
      <c r="O611" s="1"/>
      <c r="P611" s="1"/>
      <c r="Q611" s="1"/>
    </row>
    <row r="612" spans="1:17" x14ac:dyDescent="0.25">
      <c r="A612" s="1"/>
      <c r="B612" s="1"/>
      <c r="C612" s="1"/>
      <c r="D612" s="1"/>
      <c r="E612" s="1"/>
      <c r="F612" s="1"/>
      <c r="G612" s="1"/>
      <c r="H612" s="1" t="s">
        <v>585</v>
      </c>
      <c r="I612" s="1"/>
      <c r="J612" s="1"/>
      <c r="K612" s="1"/>
      <c r="L612" s="1"/>
      <c r="M612" s="1"/>
      <c r="N612" s="1"/>
      <c r="O612" s="1"/>
      <c r="P612" s="1"/>
      <c r="Q612" s="1"/>
    </row>
    <row r="613" spans="1:17" x14ac:dyDescent="0.25">
      <c r="A613" s="1"/>
      <c r="B613" s="1"/>
      <c r="C613" s="1"/>
      <c r="D613" s="1"/>
      <c r="E613" s="1"/>
      <c r="F613" s="1"/>
      <c r="G613" s="1"/>
      <c r="H613" s="1" t="s">
        <v>585</v>
      </c>
      <c r="I613" s="1"/>
      <c r="J613" s="1"/>
      <c r="K613" s="1"/>
      <c r="L613" s="1"/>
      <c r="M613" s="1"/>
      <c r="N613" s="1"/>
      <c r="O613" s="1"/>
      <c r="P613" s="1"/>
      <c r="Q613" s="1"/>
    </row>
    <row r="614" spans="1:17" x14ac:dyDescent="0.25">
      <c r="A614" s="1"/>
      <c r="B614" s="1"/>
      <c r="C614" s="1"/>
      <c r="D614" s="1"/>
      <c r="E614" s="1"/>
      <c r="F614" s="1"/>
      <c r="G614" s="1"/>
      <c r="H614" s="1" t="s">
        <v>585</v>
      </c>
      <c r="I614" s="1"/>
      <c r="J614" s="1"/>
      <c r="K614" s="1"/>
      <c r="L614" s="1"/>
      <c r="M614" s="1"/>
      <c r="N614" s="1"/>
      <c r="O614" s="1"/>
      <c r="P614" s="1"/>
      <c r="Q614" s="1"/>
    </row>
    <row r="615" spans="1:17" x14ac:dyDescent="0.25">
      <c r="A615" s="1"/>
      <c r="B615" s="1"/>
      <c r="C615" s="1"/>
      <c r="D615" s="1"/>
      <c r="E615" s="1"/>
      <c r="F615" s="1"/>
      <c r="G615" s="1"/>
      <c r="H615" s="1" t="s">
        <v>585</v>
      </c>
      <c r="I615" s="1"/>
      <c r="J615" s="1"/>
      <c r="K615" s="1"/>
      <c r="L615" s="1"/>
      <c r="M615" s="1"/>
      <c r="N615" s="1"/>
      <c r="O615" s="1"/>
      <c r="P615" s="1"/>
      <c r="Q615" s="1"/>
    </row>
    <row r="616" spans="1:17" x14ac:dyDescent="0.25">
      <c r="A616" s="1"/>
      <c r="B616" s="1"/>
      <c r="C616" s="1"/>
      <c r="D616" s="1"/>
      <c r="E616" s="1"/>
      <c r="F616" s="1"/>
      <c r="G616" s="1"/>
      <c r="H616" s="1" t="s">
        <v>585</v>
      </c>
      <c r="I616" s="1"/>
      <c r="J616" s="1"/>
      <c r="K616" s="1"/>
      <c r="L616" s="1"/>
      <c r="M616" s="1"/>
      <c r="N616" s="1"/>
      <c r="O616" s="1"/>
      <c r="P616" s="1"/>
      <c r="Q616" s="1"/>
    </row>
    <row r="617" spans="1:17" x14ac:dyDescent="0.25">
      <c r="A617" s="1"/>
      <c r="B617" s="1"/>
      <c r="C617" s="1"/>
      <c r="D617" s="1"/>
      <c r="E617" s="1"/>
      <c r="F617" s="1"/>
      <c r="G617" s="1"/>
      <c r="H617" s="1" t="s">
        <v>585</v>
      </c>
      <c r="I617" s="1"/>
      <c r="J617" s="1"/>
      <c r="K617" s="1"/>
      <c r="L617" s="1"/>
      <c r="M617" s="1"/>
      <c r="N617" s="1"/>
      <c r="O617" s="1"/>
      <c r="P617" s="1"/>
      <c r="Q617" s="1"/>
    </row>
    <row r="618" spans="1:17" x14ac:dyDescent="0.25">
      <c r="A618" s="1"/>
      <c r="B618" s="1"/>
      <c r="C618" s="1"/>
      <c r="D618" s="1"/>
      <c r="E618" s="1"/>
      <c r="F618" s="1"/>
      <c r="G618" s="1"/>
      <c r="H618" s="1" t="s">
        <v>585</v>
      </c>
      <c r="I618" s="1"/>
      <c r="J618" s="1"/>
      <c r="K618" s="1"/>
      <c r="L618" s="1"/>
      <c r="M618" s="1"/>
      <c r="N618" s="1"/>
      <c r="O618" s="1"/>
      <c r="P618" s="1"/>
      <c r="Q618" s="1"/>
    </row>
    <row r="619" spans="1:17" x14ac:dyDescent="0.25">
      <c r="A619" s="1"/>
      <c r="B619" s="1"/>
      <c r="C619" s="1"/>
      <c r="D619" s="1"/>
      <c r="E619" s="1"/>
      <c r="F619" s="1"/>
      <c r="G619" s="1"/>
      <c r="H619" s="1" t="s">
        <v>585</v>
      </c>
      <c r="I619" s="1"/>
      <c r="J619" s="1"/>
      <c r="K619" s="1"/>
      <c r="L619" s="1"/>
      <c r="M619" s="1"/>
      <c r="N619" s="1"/>
      <c r="O619" s="1"/>
      <c r="P619" s="1"/>
      <c r="Q619" s="1"/>
    </row>
    <row r="620" spans="1:17" x14ac:dyDescent="0.25">
      <c r="A620" s="1"/>
      <c r="B620" s="1"/>
      <c r="C620" s="1"/>
      <c r="D620" s="1"/>
      <c r="E620" s="1"/>
      <c r="F620" s="1"/>
      <c r="G620" s="1"/>
      <c r="H620" s="1" t="s">
        <v>585</v>
      </c>
      <c r="I620" s="1"/>
      <c r="J620" s="1"/>
      <c r="K620" s="1"/>
      <c r="L620" s="1"/>
      <c r="M620" s="1"/>
      <c r="N620" s="1"/>
      <c r="O620" s="1"/>
      <c r="P620" s="1"/>
      <c r="Q620" s="1"/>
    </row>
    <row r="621" spans="1:17" x14ac:dyDescent="0.25">
      <c r="A621" s="1"/>
      <c r="B621" s="1"/>
      <c r="C621" s="1"/>
      <c r="D621" s="1"/>
      <c r="E621" s="1"/>
      <c r="F621" s="1"/>
      <c r="G621" s="1"/>
      <c r="H621" s="1" t="s">
        <v>585</v>
      </c>
      <c r="I621" s="1"/>
      <c r="J621" s="1"/>
      <c r="K621" s="1"/>
      <c r="L621" s="1"/>
      <c r="M621" s="1"/>
      <c r="N621" s="1"/>
      <c r="O621" s="1"/>
      <c r="P621" s="1"/>
      <c r="Q621" s="1"/>
    </row>
    <row r="622" spans="1:17" x14ac:dyDescent="0.25">
      <c r="A622" s="1"/>
      <c r="B622" s="1"/>
      <c r="C622" s="1"/>
      <c r="D622" s="1"/>
      <c r="E622" s="1"/>
      <c r="F622" s="1"/>
      <c r="G622" s="1"/>
      <c r="H622" s="1" t="s">
        <v>585</v>
      </c>
      <c r="I622" s="1"/>
      <c r="J622" s="1"/>
      <c r="K622" s="1"/>
      <c r="L622" s="1"/>
      <c r="M622" s="1"/>
      <c r="N622" s="1"/>
      <c r="O622" s="1"/>
      <c r="P622" s="1"/>
      <c r="Q622" s="1"/>
    </row>
    <row r="623" spans="1:17" x14ac:dyDescent="0.25">
      <c r="A623" s="1"/>
      <c r="B623" s="1"/>
      <c r="C623" s="1"/>
      <c r="D623" s="1"/>
      <c r="E623" s="1"/>
      <c r="F623" s="1"/>
      <c r="G623" s="1"/>
      <c r="H623" s="1" t="s">
        <v>585</v>
      </c>
      <c r="I623" s="1"/>
      <c r="J623" s="1"/>
      <c r="K623" s="1"/>
      <c r="L623" s="1"/>
      <c r="M623" s="1"/>
      <c r="N623" s="1"/>
      <c r="O623" s="1"/>
      <c r="P623" s="1"/>
      <c r="Q623" s="1"/>
    </row>
    <row r="624" spans="1:17" x14ac:dyDescent="0.25">
      <c r="A624" s="1"/>
      <c r="B624" s="1"/>
      <c r="C624" s="1"/>
      <c r="D624" s="1"/>
      <c r="E624" s="1"/>
      <c r="F624" s="1"/>
      <c r="G624" s="1"/>
      <c r="H624" s="1" t="s">
        <v>585</v>
      </c>
      <c r="I624" s="1"/>
      <c r="J624" s="1"/>
      <c r="K624" s="1"/>
      <c r="L624" s="1"/>
      <c r="M624" s="1"/>
      <c r="N624" s="1"/>
      <c r="O624" s="1"/>
      <c r="P624" s="1"/>
      <c r="Q624" s="1"/>
    </row>
    <row r="625" spans="1:17" x14ac:dyDescent="0.25">
      <c r="A625" s="1"/>
      <c r="B625" s="1"/>
      <c r="C625" s="1"/>
      <c r="D625" s="1"/>
      <c r="E625" s="1"/>
      <c r="F625" s="1"/>
      <c r="G625" s="1"/>
      <c r="H625" s="1" t="s">
        <v>585</v>
      </c>
      <c r="I625" s="1"/>
      <c r="J625" s="1"/>
      <c r="K625" s="1"/>
      <c r="L625" s="1"/>
      <c r="M625" s="1"/>
      <c r="N625" s="1"/>
      <c r="O625" s="1"/>
      <c r="P625" s="1"/>
      <c r="Q625" s="1"/>
    </row>
    <row r="626" spans="1:17" x14ac:dyDescent="0.25">
      <c r="A626" s="1"/>
      <c r="B626" s="1"/>
      <c r="C626" s="1"/>
      <c r="D626" s="1"/>
      <c r="E626" s="1"/>
      <c r="F626" s="1"/>
      <c r="G626" s="1"/>
      <c r="H626" s="1" t="s">
        <v>585</v>
      </c>
      <c r="I626" s="1"/>
      <c r="J626" s="1"/>
      <c r="K626" s="1"/>
      <c r="L626" s="1"/>
      <c r="M626" s="1"/>
      <c r="N626" s="1"/>
      <c r="O626" s="1"/>
      <c r="P626" s="1"/>
      <c r="Q626" s="1"/>
    </row>
    <row r="627" spans="1:17" x14ac:dyDescent="0.25">
      <c r="A627" s="1"/>
      <c r="B627" s="1"/>
      <c r="C627" s="1"/>
      <c r="D627" s="1"/>
      <c r="E627" s="1"/>
      <c r="F627" s="1"/>
      <c r="G627" s="1"/>
      <c r="H627" s="1" t="s">
        <v>585</v>
      </c>
      <c r="I627" s="1"/>
      <c r="J627" s="1"/>
      <c r="K627" s="1"/>
      <c r="L627" s="1"/>
      <c r="M627" s="1"/>
      <c r="N627" s="1"/>
      <c r="O627" s="1"/>
      <c r="P627" s="1"/>
      <c r="Q627" s="1"/>
    </row>
    <row r="628" spans="1:17" x14ac:dyDescent="0.25">
      <c r="A628" s="1"/>
      <c r="B628" s="1"/>
      <c r="C628" s="1"/>
      <c r="D628" s="1"/>
      <c r="E628" s="1"/>
      <c r="F628" s="1"/>
      <c r="G628" s="1"/>
      <c r="H628" s="1" t="s">
        <v>585</v>
      </c>
      <c r="I628" s="1"/>
      <c r="J628" s="1"/>
      <c r="K628" s="1"/>
      <c r="L628" s="1"/>
      <c r="M628" s="1"/>
      <c r="N628" s="1"/>
      <c r="O628" s="1"/>
      <c r="P628" s="1"/>
      <c r="Q628" s="1"/>
    </row>
    <row r="629" spans="1:17" x14ac:dyDescent="0.25">
      <c r="A629" s="1"/>
      <c r="B629" s="1"/>
      <c r="C629" s="1"/>
      <c r="D629" s="1"/>
      <c r="E629" s="1"/>
      <c r="F629" s="1"/>
      <c r="G629" s="1"/>
      <c r="H629" s="1" t="s">
        <v>585</v>
      </c>
      <c r="I629" s="1"/>
      <c r="J629" s="1"/>
      <c r="K629" s="1"/>
      <c r="L629" s="1"/>
      <c r="M629" s="1"/>
      <c r="N629" s="1"/>
      <c r="O629" s="1"/>
      <c r="P629" s="1"/>
      <c r="Q629" s="1"/>
    </row>
    <row r="630" spans="1:17" x14ac:dyDescent="0.25">
      <c r="A630" s="1"/>
      <c r="B630" s="1"/>
      <c r="C630" s="1"/>
      <c r="D630" s="1"/>
      <c r="E630" s="1"/>
      <c r="F630" s="1"/>
      <c r="G630" s="1"/>
      <c r="H630" s="1" t="s">
        <v>585</v>
      </c>
      <c r="I630" s="1"/>
      <c r="J630" s="1"/>
      <c r="K630" s="1"/>
      <c r="L630" s="1"/>
      <c r="M630" s="1"/>
      <c r="N630" s="1"/>
      <c r="O630" s="1"/>
      <c r="P630" s="1"/>
      <c r="Q630" s="1"/>
    </row>
    <row r="631" spans="1:17" x14ac:dyDescent="0.25">
      <c r="A631" s="1"/>
      <c r="B631" s="1"/>
      <c r="C631" s="1"/>
      <c r="D631" s="1"/>
      <c r="E631" s="1"/>
      <c r="F631" s="1"/>
      <c r="G631" s="1"/>
      <c r="H631" s="1" t="s">
        <v>585</v>
      </c>
      <c r="I631" s="1"/>
      <c r="J631" s="1"/>
      <c r="K631" s="1"/>
      <c r="L631" s="1"/>
      <c r="M631" s="1"/>
      <c r="N631" s="1"/>
      <c r="O631" s="1"/>
      <c r="P631" s="1"/>
      <c r="Q631" s="1"/>
    </row>
    <row r="632" spans="1:17" x14ac:dyDescent="0.25">
      <c r="A632" s="1"/>
      <c r="B632" s="1"/>
      <c r="C632" s="1"/>
      <c r="D632" s="1"/>
      <c r="E632" s="1"/>
      <c r="F632" s="1"/>
      <c r="G632" s="1"/>
      <c r="H632" s="1" t="s">
        <v>585</v>
      </c>
      <c r="I632" s="1"/>
      <c r="J632" s="1"/>
      <c r="K632" s="1"/>
      <c r="L632" s="1"/>
      <c r="M632" s="1"/>
      <c r="N632" s="1"/>
      <c r="O632" s="1"/>
      <c r="P632" s="1"/>
      <c r="Q632" s="1"/>
    </row>
    <row r="633" spans="1:17" x14ac:dyDescent="0.25">
      <c r="A633" s="1"/>
      <c r="B633" s="1"/>
      <c r="C633" s="1"/>
      <c r="D633" s="1"/>
      <c r="E633" s="1"/>
      <c r="F633" s="1"/>
      <c r="G633" s="1"/>
      <c r="H633" s="1" t="s">
        <v>585</v>
      </c>
      <c r="I633" s="1"/>
      <c r="J633" s="1"/>
      <c r="K633" s="1"/>
      <c r="L633" s="1"/>
      <c r="M633" s="1"/>
      <c r="N633" s="1"/>
      <c r="O633" s="1"/>
      <c r="P633" s="1"/>
      <c r="Q633" s="1"/>
    </row>
    <row r="634" spans="1:17" x14ac:dyDescent="0.25">
      <c r="A634" s="1"/>
      <c r="B634" s="1"/>
      <c r="C634" s="1"/>
      <c r="D634" s="1"/>
      <c r="E634" s="1"/>
      <c r="F634" s="1"/>
      <c r="G634" s="1"/>
      <c r="H634" s="1" t="s">
        <v>585</v>
      </c>
      <c r="I634" s="1"/>
      <c r="J634" s="1"/>
      <c r="K634" s="1"/>
      <c r="L634" s="1"/>
      <c r="M634" s="1"/>
      <c r="N634" s="1"/>
      <c r="O634" s="1"/>
      <c r="P634" s="1"/>
      <c r="Q634" s="1"/>
    </row>
    <row r="635" spans="1:17" x14ac:dyDescent="0.25">
      <c r="A635" s="1"/>
      <c r="B635" s="1"/>
      <c r="C635" s="1"/>
      <c r="D635" s="1"/>
      <c r="E635" s="1"/>
      <c r="F635" s="1"/>
      <c r="G635" s="1"/>
      <c r="H635" s="1" t="s">
        <v>585</v>
      </c>
      <c r="I635" s="1"/>
      <c r="J635" s="1"/>
      <c r="K635" s="1"/>
      <c r="L635" s="1"/>
      <c r="M635" s="1"/>
      <c r="N635" s="1"/>
      <c r="O635" s="1"/>
      <c r="P635" s="1"/>
      <c r="Q635" s="1"/>
    </row>
    <row r="636" spans="1:17" x14ac:dyDescent="0.25">
      <c r="A636" s="1"/>
      <c r="B636" s="1"/>
      <c r="C636" s="1"/>
      <c r="D636" s="1"/>
      <c r="E636" s="1"/>
      <c r="F636" s="1"/>
      <c r="G636" s="1"/>
      <c r="H636" s="1" t="s">
        <v>585</v>
      </c>
      <c r="I636" s="1"/>
      <c r="J636" s="1"/>
      <c r="K636" s="1"/>
      <c r="L636" s="1"/>
      <c r="M636" s="1"/>
      <c r="N636" s="1"/>
      <c r="O636" s="1"/>
      <c r="P636" s="1"/>
      <c r="Q636" s="1"/>
    </row>
    <row r="637" spans="1:17" x14ac:dyDescent="0.25">
      <c r="A637" s="1"/>
      <c r="B637" s="1"/>
      <c r="C637" s="1"/>
      <c r="D637" s="1"/>
      <c r="E637" s="1"/>
      <c r="F637" s="1"/>
      <c r="G637" s="1"/>
      <c r="H637" s="1" t="s">
        <v>585</v>
      </c>
      <c r="I637" s="1"/>
      <c r="J637" s="1"/>
      <c r="K637" s="1"/>
      <c r="L637" s="1"/>
      <c r="M637" s="1"/>
      <c r="N637" s="1"/>
      <c r="O637" s="1"/>
      <c r="P637" s="1"/>
      <c r="Q637" s="1"/>
    </row>
    <row r="638" spans="1:17" x14ac:dyDescent="0.25">
      <c r="A638" s="1"/>
      <c r="B638" s="1"/>
      <c r="C638" s="1"/>
      <c r="D638" s="1"/>
      <c r="E638" s="1"/>
      <c r="F638" s="1"/>
      <c r="G638" s="1"/>
      <c r="H638" s="1" t="s">
        <v>585</v>
      </c>
      <c r="I638" s="1"/>
      <c r="J638" s="1"/>
      <c r="K638" s="1"/>
      <c r="L638" s="1"/>
      <c r="M638" s="1"/>
      <c r="N638" s="1"/>
      <c r="O638" s="1"/>
      <c r="P638" s="1"/>
      <c r="Q638" s="1"/>
    </row>
    <row r="639" spans="1:17" x14ac:dyDescent="0.25">
      <c r="A639" s="1"/>
      <c r="B639" s="1"/>
      <c r="C639" s="1"/>
      <c r="D639" s="1"/>
      <c r="E639" s="1"/>
      <c r="F639" s="1"/>
      <c r="G639" s="1"/>
      <c r="H639" s="1" t="s">
        <v>585</v>
      </c>
      <c r="I639" s="1"/>
      <c r="J639" s="1"/>
      <c r="K639" s="1"/>
      <c r="L639" s="1"/>
      <c r="M639" s="1"/>
      <c r="N639" s="1"/>
      <c r="O639" s="1"/>
      <c r="P639" s="1"/>
      <c r="Q639" s="1"/>
    </row>
    <row r="640" spans="1:17" x14ac:dyDescent="0.25">
      <c r="A640" s="1"/>
      <c r="B640" s="1"/>
      <c r="C640" s="1"/>
      <c r="D640" s="1"/>
      <c r="E640" s="1"/>
      <c r="F640" s="1"/>
      <c r="G640" s="1"/>
      <c r="H640" s="1" t="s">
        <v>585</v>
      </c>
      <c r="I640" s="1"/>
      <c r="J640" s="1"/>
      <c r="K640" s="1"/>
      <c r="L640" s="1"/>
      <c r="M640" s="1"/>
      <c r="N640" s="1"/>
      <c r="O640" s="1"/>
      <c r="P640" s="1"/>
      <c r="Q640" s="1"/>
    </row>
    <row r="641" spans="1:17" x14ac:dyDescent="0.25">
      <c r="A641" s="1"/>
      <c r="B641" s="1"/>
      <c r="C641" s="1"/>
      <c r="D641" s="1"/>
      <c r="E641" s="1"/>
      <c r="F641" s="1"/>
      <c r="G641" s="1"/>
      <c r="H641" s="1" t="s">
        <v>585</v>
      </c>
      <c r="I641" s="1"/>
      <c r="J641" s="1"/>
      <c r="K641" s="1"/>
      <c r="L641" s="1"/>
      <c r="M641" s="1"/>
      <c r="N641" s="1"/>
      <c r="O641" s="1"/>
      <c r="P641" s="1"/>
      <c r="Q641" s="1"/>
    </row>
    <row r="642" spans="1:17" x14ac:dyDescent="0.25">
      <c r="A642" s="1"/>
      <c r="B642" s="1"/>
      <c r="C642" s="1"/>
      <c r="D642" s="1"/>
      <c r="E642" s="1"/>
      <c r="F642" s="1"/>
      <c r="G642" s="1"/>
      <c r="H642" s="1" t="s">
        <v>585</v>
      </c>
      <c r="I642" s="1"/>
      <c r="J642" s="1"/>
      <c r="K642" s="1"/>
      <c r="L642" s="1"/>
      <c r="M642" s="1"/>
      <c r="N642" s="1"/>
      <c r="O642" s="1"/>
      <c r="P642" s="1"/>
      <c r="Q642" s="1"/>
    </row>
    <row r="643" spans="1:17" x14ac:dyDescent="0.25">
      <c r="A643" s="1"/>
      <c r="B643" s="1"/>
      <c r="C643" s="1"/>
      <c r="D643" s="1"/>
      <c r="E643" s="1"/>
      <c r="F643" s="1"/>
      <c r="G643" s="1"/>
      <c r="H643" s="1" t="s">
        <v>585</v>
      </c>
      <c r="I643" s="1"/>
      <c r="J643" s="1"/>
      <c r="K643" s="1"/>
      <c r="L643" s="1"/>
      <c r="M643" s="1"/>
      <c r="N643" s="1"/>
      <c r="O643" s="1"/>
      <c r="P643" s="1"/>
      <c r="Q643" s="1"/>
    </row>
    <row r="644" spans="1:17" x14ac:dyDescent="0.25">
      <c r="A644" s="1"/>
      <c r="B644" s="1"/>
      <c r="C644" s="1"/>
      <c r="D644" s="1"/>
      <c r="E644" s="1"/>
      <c r="F644" s="1"/>
      <c r="G644" s="1"/>
      <c r="H644" s="1" t="s">
        <v>585</v>
      </c>
      <c r="I644" s="1"/>
      <c r="J644" s="1"/>
      <c r="K644" s="1"/>
      <c r="L644" s="1"/>
      <c r="M644" s="1"/>
      <c r="N644" s="1"/>
      <c r="O644" s="1"/>
      <c r="P644" s="1"/>
      <c r="Q644" s="1"/>
    </row>
    <row r="645" spans="1:17" x14ac:dyDescent="0.25">
      <c r="A645" s="1"/>
      <c r="B645" s="1"/>
      <c r="C645" s="1"/>
      <c r="D645" s="1"/>
      <c r="E645" s="1"/>
      <c r="F645" s="1"/>
      <c r="G645" s="1"/>
      <c r="H645" s="1" t="s">
        <v>585</v>
      </c>
      <c r="I645" s="1"/>
      <c r="J645" s="1"/>
      <c r="K645" s="1"/>
      <c r="L645" s="1"/>
      <c r="M645" s="1"/>
      <c r="N645" s="1"/>
      <c r="O645" s="1"/>
      <c r="P645" s="1"/>
      <c r="Q645" s="1"/>
    </row>
    <row r="646" spans="1:17" x14ac:dyDescent="0.25">
      <c r="A646" s="1"/>
      <c r="B646" s="1"/>
      <c r="C646" s="1"/>
      <c r="D646" s="1"/>
      <c r="E646" s="1"/>
      <c r="F646" s="1"/>
      <c r="G646" s="1"/>
      <c r="H646" s="1" t="s">
        <v>585</v>
      </c>
      <c r="I646" s="1"/>
      <c r="J646" s="1"/>
      <c r="K646" s="1"/>
      <c r="L646" s="1"/>
      <c r="M646" s="1"/>
      <c r="N646" s="1"/>
      <c r="O646" s="1"/>
      <c r="P646" s="1"/>
      <c r="Q646" s="1"/>
    </row>
    <row r="647" spans="1:17" x14ac:dyDescent="0.25">
      <c r="A647" s="1"/>
      <c r="B647" s="1"/>
      <c r="C647" s="1"/>
      <c r="D647" s="1"/>
      <c r="E647" s="1"/>
      <c r="F647" s="1"/>
      <c r="G647" s="1"/>
      <c r="H647" s="1" t="s">
        <v>585</v>
      </c>
      <c r="I647" s="1"/>
      <c r="J647" s="1"/>
      <c r="K647" s="1"/>
      <c r="L647" s="1"/>
      <c r="M647" s="1"/>
      <c r="N647" s="1"/>
      <c r="O647" s="1"/>
      <c r="P647" s="1"/>
      <c r="Q647" s="1"/>
    </row>
    <row r="648" spans="1:17" x14ac:dyDescent="0.25">
      <c r="A648" s="1"/>
      <c r="B648" s="1"/>
      <c r="C648" s="1"/>
      <c r="D648" s="1"/>
      <c r="E648" s="1"/>
      <c r="F648" s="1"/>
      <c r="G648" s="1"/>
      <c r="H648" s="1" t="s">
        <v>585</v>
      </c>
      <c r="I648" s="1"/>
      <c r="J648" s="1"/>
      <c r="K648" s="1"/>
      <c r="L648" s="1"/>
      <c r="M648" s="1"/>
      <c r="N648" s="1"/>
      <c r="O648" s="1"/>
      <c r="P648" s="1"/>
      <c r="Q648" s="1"/>
    </row>
    <row r="649" spans="1:17" x14ac:dyDescent="0.25">
      <c r="A649" s="1"/>
      <c r="B649" s="1"/>
      <c r="C649" s="1"/>
      <c r="D649" s="1"/>
      <c r="E649" s="1"/>
      <c r="F649" s="1"/>
      <c r="G649" s="1"/>
      <c r="H649" s="1" t="s">
        <v>585</v>
      </c>
      <c r="I649" s="1"/>
      <c r="J649" s="1"/>
      <c r="K649" s="1"/>
      <c r="L649" s="1"/>
      <c r="M649" s="1"/>
      <c r="N649" s="1"/>
      <c r="O649" s="1"/>
      <c r="P649" s="1"/>
      <c r="Q649" s="1"/>
    </row>
    <row r="650" spans="1:17" x14ac:dyDescent="0.25">
      <c r="A650" s="1"/>
      <c r="B650" s="1"/>
      <c r="C650" s="1"/>
      <c r="D650" s="1"/>
      <c r="E650" s="1"/>
      <c r="F650" s="1"/>
      <c r="G650" s="1"/>
      <c r="H650" s="1" t="s">
        <v>585</v>
      </c>
      <c r="I650" s="1"/>
      <c r="J650" s="1"/>
      <c r="K650" s="1"/>
      <c r="L650" s="1"/>
      <c r="M650" s="1"/>
      <c r="N650" s="1"/>
      <c r="O650" s="1"/>
      <c r="P650" s="1"/>
      <c r="Q650" s="1"/>
    </row>
    <row r="651" spans="1:17" x14ac:dyDescent="0.25">
      <c r="A651" s="1"/>
      <c r="B651" s="1"/>
      <c r="C651" s="1"/>
      <c r="D651" s="1"/>
      <c r="E651" s="1"/>
      <c r="F651" s="1"/>
      <c r="G651" s="1"/>
      <c r="H651" s="1" t="s">
        <v>585</v>
      </c>
      <c r="I651" s="1"/>
      <c r="J651" s="1"/>
      <c r="K651" s="1"/>
      <c r="L651" s="1"/>
      <c r="M651" s="1"/>
      <c r="N651" s="1"/>
      <c r="O651" s="1"/>
      <c r="P651" s="1"/>
      <c r="Q651" s="1"/>
    </row>
    <row r="652" spans="1:17" x14ac:dyDescent="0.25">
      <c r="A652" s="1"/>
      <c r="B652" s="1"/>
      <c r="C652" s="1"/>
      <c r="D652" s="1"/>
      <c r="E652" s="1"/>
      <c r="F652" s="1"/>
      <c r="G652" s="1"/>
      <c r="H652" s="1" t="s">
        <v>585</v>
      </c>
      <c r="I652" s="1"/>
      <c r="J652" s="1"/>
      <c r="K652" s="1"/>
      <c r="L652" s="1"/>
      <c r="M652" s="1"/>
      <c r="N652" s="1"/>
      <c r="O652" s="1"/>
      <c r="P652" s="1"/>
      <c r="Q652" s="1"/>
    </row>
    <row r="653" spans="1:17" x14ac:dyDescent="0.25">
      <c r="A653" s="1"/>
      <c r="B653" s="1"/>
      <c r="C653" s="1"/>
      <c r="D653" s="1"/>
      <c r="E653" s="1"/>
      <c r="F653" s="1"/>
      <c r="G653" s="1"/>
      <c r="H653" s="1" t="s">
        <v>585</v>
      </c>
      <c r="I653" s="1"/>
      <c r="J653" s="1"/>
      <c r="K653" s="1"/>
      <c r="L653" s="1"/>
      <c r="M653" s="1"/>
      <c r="N653" s="1"/>
      <c r="O653" s="1"/>
      <c r="P653" s="1"/>
      <c r="Q653" s="1"/>
    </row>
    <row r="654" spans="1:17" x14ac:dyDescent="0.25">
      <c r="A654" s="1"/>
      <c r="B654" s="1"/>
      <c r="C654" s="1"/>
      <c r="D654" s="1"/>
      <c r="E654" s="1"/>
      <c r="F654" s="1"/>
      <c r="G654" s="1"/>
      <c r="H654" s="1" t="s">
        <v>585</v>
      </c>
      <c r="I654" s="1"/>
      <c r="J654" s="1"/>
      <c r="K654" s="1"/>
      <c r="L654" s="1"/>
      <c r="M654" s="1"/>
      <c r="N654" s="1"/>
      <c r="O654" s="1"/>
      <c r="P654" s="1"/>
      <c r="Q654" s="1"/>
    </row>
    <row r="655" spans="1:17" x14ac:dyDescent="0.25">
      <c r="A655" s="1"/>
      <c r="B655" s="1"/>
      <c r="C655" s="1"/>
      <c r="D655" s="1"/>
      <c r="E655" s="1"/>
      <c r="F655" s="1"/>
      <c r="G655" s="1"/>
      <c r="H655" s="1" t="s">
        <v>585</v>
      </c>
      <c r="I655" s="1"/>
      <c r="J655" s="1"/>
      <c r="K655" s="1"/>
      <c r="L655" s="1"/>
      <c r="M655" s="1"/>
      <c r="N655" s="1"/>
      <c r="O655" s="1"/>
      <c r="P655" s="1"/>
      <c r="Q655" s="1"/>
    </row>
    <row r="656" spans="1:17" x14ac:dyDescent="0.25">
      <c r="A656" s="1"/>
      <c r="B656" s="1"/>
      <c r="C656" s="1"/>
      <c r="D656" s="1"/>
      <c r="E656" s="1"/>
      <c r="F656" s="1"/>
      <c r="G656" s="1"/>
      <c r="H656" s="1" t="s">
        <v>585</v>
      </c>
      <c r="I656" s="1"/>
      <c r="J656" s="1"/>
      <c r="K656" s="1"/>
      <c r="L656" s="1"/>
      <c r="M656" s="1"/>
      <c r="N656" s="1"/>
      <c r="O656" s="1"/>
      <c r="P656" s="1"/>
      <c r="Q656" s="1"/>
    </row>
    <row r="657" spans="1:17" x14ac:dyDescent="0.25">
      <c r="A657" s="1"/>
      <c r="B657" s="1"/>
      <c r="C657" s="1"/>
      <c r="D657" s="1"/>
      <c r="E657" s="1"/>
      <c r="F657" s="1"/>
      <c r="G657" s="1"/>
      <c r="H657" s="1" t="s">
        <v>585</v>
      </c>
      <c r="I657" s="1"/>
      <c r="J657" s="1"/>
      <c r="K657" s="1"/>
      <c r="L657" s="1"/>
      <c r="M657" s="1"/>
      <c r="N657" s="1"/>
      <c r="O657" s="1"/>
      <c r="P657" s="1"/>
      <c r="Q657" s="1"/>
    </row>
    <row r="658" spans="1:17" x14ac:dyDescent="0.25">
      <c r="A658" s="1"/>
      <c r="B658" s="1"/>
      <c r="C658" s="1"/>
      <c r="D658" s="1"/>
      <c r="E658" s="1"/>
      <c r="F658" s="1"/>
      <c r="G658" s="1"/>
      <c r="H658" s="1" t="s">
        <v>585</v>
      </c>
      <c r="I658" s="1"/>
      <c r="J658" s="1"/>
      <c r="K658" s="1"/>
      <c r="L658" s="1"/>
      <c r="M658" s="1"/>
      <c r="N658" s="1"/>
      <c r="O658" s="1"/>
      <c r="P658" s="1"/>
      <c r="Q658" s="1"/>
    </row>
    <row r="659" spans="1:17" x14ac:dyDescent="0.25">
      <c r="A659" s="1"/>
      <c r="B659" s="1"/>
      <c r="C659" s="1"/>
      <c r="D659" s="1"/>
      <c r="E659" s="1"/>
      <c r="F659" s="1"/>
      <c r="G659" s="1"/>
      <c r="H659" s="1" t="s">
        <v>585</v>
      </c>
      <c r="I659" s="1"/>
      <c r="J659" s="1"/>
      <c r="K659" s="1"/>
      <c r="L659" s="1"/>
      <c r="M659" s="1"/>
      <c r="N659" s="1"/>
      <c r="O659" s="1"/>
      <c r="P659" s="1"/>
      <c r="Q659" s="1"/>
    </row>
    <row r="660" spans="1:17" x14ac:dyDescent="0.25">
      <c r="A660" s="1"/>
      <c r="B660" s="1"/>
      <c r="C660" s="1"/>
      <c r="D660" s="1"/>
      <c r="E660" s="1"/>
      <c r="F660" s="1"/>
      <c r="G660" s="1"/>
      <c r="H660" s="1" t="s">
        <v>585</v>
      </c>
      <c r="I660" s="1"/>
      <c r="J660" s="1"/>
      <c r="K660" s="1"/>
      <c r="L660" s="1"/>
      <c r="M660" s="1"/>
      <c r="N660" s="1"/>
      <c r="O660" s="1"/>
      <c r="P660" s="1"/>
      <c r="Q660" s="1"/>
    </row>
    <row r="661" spans="1:17" x14ac:dyDescent="0.25">
      <c r="A661" s="1"/>
      <c r="B661" s="1"/>
      <c r="C661" s="1"/>
      <c r="D661" s="1"/>
      <c r="E661" s="1"/>
      <c r="F661" s="1"/>
      <c r="G661" s="1"/>
      <c r="H661" s="1" t="s">
        <v>585</v>
      </c>
      <c r="I661" s="1"/>
      <c r="J661" s="1"/>
      <c r="K661" s="1"/>
      <c r="L661" s="1"/>
      <c r="M661" s="1"/>
      <c r="N661" s="1"/>
      <c r="O661" s="1"/>
      <c r="P661" s="1"/>
      <c r="Q661" s="1"/>
    </row>
    <row r="662" spans="1:17" x14ac:dyDescent="0.25">
      <c r="A662" s="1"/>
      <c r="B662" s="1"/>
      <c r="C662" s="1"/>
      <c r="D662" s="1"/>
      <c r="E662" s="1"/>
      <c r="F662" s="1"/>
      <c r="G662" s="1"/>
      <c r="H662" s="1" t="s">
        <v>585</v>
      </c>
      <c r="I662" s="1"/>
      <c r="J662" s="1"/>
      <c r="K662" s="1"/>
      <c r="L662" s="1"/>
      <c r="M662" s="1"/>
      <c r="N662" s="1"/>
      <c r="O662" s="1"/>
      <c r="P662" s="1"/>
      <c r="Q662" s="1"/>
    </row>
    <row r="663" spans="1:17" x14ac:dyDescent="0.25">
      <c r="A663" s="1"/>
      <c r="B663" s="1"/>
      <c r="C663" s="1"/>
      <c r="D663" s="1"/>
      <c r="E663" s="1"/>
      <c r="F663" s="1"/>
      <c r="G663" s="1"/>
      <c r="H663" s="1" t="s">
        <v>585</v>
      </c>
      <c r="I663" s="1"/>
      <c r="J663" s="1"/>
      <c r="K663" s="1"/>
      <c r="L663" s="1"/>
      <c r="M663" s="1"/>
      <c r="N663" s="1"/>
      <c r="O663" s="1"/>
      <c r="P663" s="1"/>
      <c r="Q663" s="1"/>
    </row>
    <row r="664" spans="1:17" x14ac:dyDescent="0.25">
      <c r="A664" s="1"/>
      <c r="B664" s="1"/>
      <c r="C664" s="1"/>
      <c r="D664" s="1"/>
      <c r="E664" s="1"/>
      <c r="F664" s="1"/>
      <c r="G664" s="1"/>
      <c r="H664" s="1" t="s">
        <v>585</v>
      </c>
      <c r="I664" s="1"/>
      <c r="J664" s="1"/>
      <c r="K664" s="1"/>
      <c r="L664" s="1"/>
      <c r="M664" s="1"/>
      <c r="N664" s="1"/>
      <c r="O664" s="1"/>
      <c r="P664" s="1"/>
      <c r="Q664" s="1"/>
    </row>
    <row r="665" spans="1:17" x14ac:dyDescent="0.25">
      <c r="A665" s="1"/>
      <c r="B665" s="1"/>
      <c r="C665" s="1"/>
      <c r="D665" s="1"/>
      <c r="E665" s="1"/>
      <c r="F665" s="1"/>
      <c r="G665" s="1"/>
      <c r="H665" s="1" t="s">
        <v>585</v>
      </c>
      <c r="I665" s="1"/>
      <c r="J665" s="1"/>
      <c r="K665" s="1"/>
      <c r="L665" s="1"/>
      <c r="M665" s="1"/>
      <c r="N665" s="1"/>
      <c r="O665" s="1"/>
      <c r="P665" s="1"/>
      <c r="Q665" s="1"/>
    </row>
    <row r="666" spans="1:17" x14ac:dyDescent="0.25">
      <c r="A666" s="1"/>
      <c r="B666" s="1"/>
      <c r="C666" s="1"/>
      <c r="D666" s="1"/>
      <c r="E666" s="1"/>
      <c r="F666" s="1"/>
      <c r="G666" s="1"/>
      <c r="H666" s="1" t="s">
        <v>585</v>
      </c>
      <c r="I666" s="1"/>
      <c r="J666" s="1"/>
      <c r="K666" s="1"/>
      <c r="L666" s="1"/>
      <c r="M666" s="1"/>
      <c r="N666" s="1"/>
      <c r="O666" s="1"/>
      <c r="P666" s="1"/>
      <c r="Q666" s="1"/>
    </row>
    <row r="667" spans="1:17" x14ac:dyDescent="0.25">
      <c r="A667" s="1"/>
      <c r="B667" s="1"/>
      <c r="C667" s="1"/>
      <c r="D667" s="1"/>
      <c r="E667" s="1"/>
      <c r="F667" s="1"/>
      <c r="G667" s="1"/>
      <c r="H667" s="1" t="s">
        <v>585</v>
      </c>
      <c r="I667" s="1"/>
      <c r="J667" s="1"/>
      <c r="K667" s="1"/>
      <c r="L667" s="1"/>
      <c r="M667" s="1"/>
      <c r="N667" s="1"/>
      <c r="O667" s="1"/>
      <c r="P667" s="1"/>
      <c r="Q667" s="1"/>
    </row>
    <row r="668" spans="1:17" x14ac:dyDescent="0.25">
      <c r="A668" s="1"/>
      <c r="B668" s="1"/>
      <c r="C668" s="1"/>
      <c r="D668" s="1"/>
      <c r="E668" s="1"/>
      <c r="F668" s="1"/>
      <c r="G668" s="1"/>
      <c r="H668" s="1" t="s">
        <v>585</v>
      </c>
      <c r="I668" s="1"/>
      <c r="J668" s="1"/>
      <c r="K668" s="1"/>
      <c r="L668" s="1"/>
      <c r="M668" s="1"/>
      <c r="N668" s="1"/>
      <c r="O668" s="1"/>
      <c r="P668" s="1"/>
      <c r="Q668" s="1"/>
    </row>
    <row r="669" spans="1:17" x14ac:dyDescent="0.25">
      <c r="A669" s="1"/>
      <c r="B669" s="1"/>
      <c r="C669" s="1"/>
      <c r="D669" s="1"/>
      <c r="E669" s="1"/>
      <c r="F669" s="1"/>
      <c r="G669" s="1"/>
      <c r="H669" s="1" t="s">
        <v>585</v>
      </c>
      <c r="I669" s="1"/>
      <c r="J669" s="1"/>
      <c r="K669" s="1"/>
      <c r="L669" s="1"/>
      <c r="M669" s="1"/>
      <c r="N669" s="1"/>
      <c r="O669" s="1"/>
      <c r="P669" s="1"/>
      <c r="Q669" s="1"/>
    </row>
    <row r="670" spans="1:17" x14ac:dyDescent="0.25">
      <c r="A670" s="1"/>
      <c r="B670" s="1"/>
      <c r="C670" s="1"/>
      <c r="D670" s="1"/>
      <c r="E670" s="1"/>
      <c r="F670" s="1"/>
      <c r="G670" s="1"/>
      <c r="H670" s="1" t="s">
        <v>585</v>
      </c>
      <c r="I670" s="1"/>
      <c r="J670" s="1"/>
      <c r="K670" s="1"/>
      <c r="L670" s="1"/>
      <c r="M670" s="1"/>
      <c r="N670" s="1"/>
      <c r="O670" s="1"/>
      <c r="P670" s="1"/>
      <c r="Q670" s="1"/>
    </row>
    <row r="671" spans="1:17" x14ac:dyDescent="0.25">
      <c r="A671" s="1"/>
      <c r="B671" s="1"/>
      <c r="C671" s="1"/>
      <c r="D671" s="1"/>
      <c r="E671" s="1"/>
      <c r="F671" s="1"/>
      <c r="G671" s="1"/>
      <c r="H671" s="1" t="s">
        <v>585</v>
      </c>
      <c r="I671" s="1"/>
      <c r="J671" s="1"/>
      <c r="K671" s="1"/>
      <c r="L671" s="1"/>
      <c r="M671" s="1"/>
      <c r="N671" s="1"/>
      <c r="O671" s="1"/>
      <c r="P671" s="1"/>
      <c r="Q671" s="1"/>
    </row>
    <row r="672" spans="1:17" x14ac:dyDescent="0.25">
      <c r="A672" s="1"/>
      <c r="B672" s="1"/>
      <c r="C672" s="1"/>
      <c r="D672" s="1"/>
      <c r="E672" s="1"/>
      <c r="F672" s="1"/>
      <c r="G672" s="1"/>
      <c r="H672" s="1" t="s">
        <v>585</v>
      </c>
      <c r="I672" s="1"/>
      <c r="J672" s="1"/>
      <c r="K672" s="1"/>
      <c r="L672" s="1"/>
      <c r="M672" s="1"/>
      <c r="N672" s="1"/>
      <c r="O672" s="1"/>
      <c r="P672" s="1"/>
      <c r="Q672" s="1"/>
    </row>
    <row r="673" spans="1:17" x14ac:dyDescent="0.25">
      <c r="A673" s="1"/>
      <c r="B673" s="1"/>
      <c r="C673" s="1"/>
      <c r="D673" s="1"/>
      <c r="E673" s="1"/>
      <c r="F673" s="1"/>
      <c r="G673" s="1"/>
      <c r="H673" s="1" t="s">
        <v>585</v>
      </c>
      <c r="I673" s="1"/>
      <c r="J673" s="1"/>
      <c r="K673" s="1"/>
      <c r="L673" s="1"/>
      <c r="M673" s="1"/>
      <c r="N673" s="1"/>
      <c r="O673" s="1"/>
      <c r="P673" s="1"/>
      <c r="Q673" s="1"/>
    </row>
    <row r="674" spans="1:17" x14ac:dyDescent="0.25">
      <c r="A674" s="1"/>
      <c r="B674" s="1"/>
      <c r="C674" s="1"/>
      <c r="D674" s="1"/>
      <c r="E674" s="1"/>
      <c r="F674" s="1"/>
      <c r="G674" s="1"/>
      <c r="H674" s="1" t="s">
        <v>585</v>
      </c>
      <c r="I674" s="1"/>
      <c r="J674" s="1"/>
      <c r="K674" s="1"/>
      <c r="L674" s="1"/>
      <c r="M674" s="1"/>
      <c r="N674" s="1"/>
      <c r="O674" s="1"/>
      <c r="P674" s="1"/>
      <c r="Q674" s="1"/>
    </row>
    <row r="675" spans="1:17" x14ac:dyDescent="0.25">
      <c r="A675" s="1"/>
      <c r="B675" s="1"/>
      <c r="C675" s="1"/>
      <c r="D675" s="1"/>
      <c r="E675" s="1"/>
      <c r="F675" s="1"/>
      <c r="G675" s="1"/>
      <c r="H675" s="1" t="s">
        <v>585</v>
      </c>
      <c r="I675" s="1"/>
      <c r="J675" s="1"/>
      <c r="K675" s="1"/>
      <c r="L675" s="1"/>
      <c r="M675" s="1"/>
      <c r="N675" s="1"/>
      <c r="O675" s="1"/>
      <c r="P675" s="1"/>
      <c r="Q675" s="1"/>
    </row>
    <row r="676" spans="1:17" x14ac:dyDescent="0.25">
      <c r="A676" s="1"/>
      <c r="B676" s="1"/>
      <c r="C676" s="1"/>
      <c r="D676" s="1"/>
      <c r="E676" s="1"/>
      <c r="F676" s="1"/>
      <c r="G676" s="1"/>
      <c r="H676" s="1" t="s">
        <v>585</v>
      </c>
      <c r="I676" s="1"/>
      <c r="J676" s="1"/>
      <c r="K676" s="1"/>
      <c r="L676" s="1"/>
      <c r="M676" s="1"/>
      <c r="N676" s="1"/>
      <c r="O676" s="1"/>
      <c r="P676" s="1"/>
      <c r="Q676" s="1"/>
    </row>
    <row r="677" spans="1:17" x14ac:dyDescent="0.25">
      <c r="A677" s="1"/>
      <c r="B677" s="1"/>
      <c r="C677" s="1"/>
      <c r="D677" s="1"/>
      <c r="E677" s="1"/>
      <c r="F677" s="1"/>
      <c r="G677" s="1"/>
      <c r="H677" s="1" t="s">
        <v>585</v>
      </c>
      <c r="I677" s="1"/>
      <c r="J677" s="1"/>
      <c r="K677" s="1"/>
      <c r="L677" s="1"/>
      <c r="M677" s="1"/>
      <c r="N677" s="1"/>
      <c r="O677" s="1"/>
      <c r="P677" s="1"/>
      <c r="Q677" s="1"/>
    </row>
    <row r="678" spans="1:17" x14ac:dyDescent="0.25">
      <c r="A678" s="1"/>
      <c r="B678" s="1"/>
      <c r="C678" s="1"/>
      <c r="D678" s="1"/>
      <c r="E678" s="1"/>
      <c r="F678" s="1"/>
      <c r="G678" s="1"/>
      <c r="H678" s="1" t="s">
        <v>585</v>
      </c>
      <c r="I678" s="1"/>
      <c r="J678" s="1"/>
      <c r="K678" s="1"/>
      <c r="L678" s="1"/>
      <c r="M678" s="1"/>
      <c r="N678" s="1"/>
      <c r="O678" s="1"/>
      <c r="P678" s="1"/>
      <c r="Q678" s="1"/>
    </row>
    <row r="679" spans="1:17" x14ac:dyDescent="0.25">
      <c r="A679" s="1"/>
      <c r="B679" s="1"/>
      <c r="C679" s="1"/>
      <c r="D679" s="1"/>
      <c r="E679" s="1"/>
      <c r="F679" s="1"/>
      <c r="G679" s="1"/>
      <c r="H679" s="1" t="s">
        <v>585</v>
      </c>
      <c r="I679" s="1"/>
      <c r="J679" s="1"/>
      <c r="K679" s="1"/>
      <c r="L679" s="1"/>
      <c r="M679" s="1"/>
      <c r="N679" s="1"/>
      <c r="O679" s="1"/>
      <c r="P679" s="1"/>
      <c r="Q679" s="1"/>
    </row>
    <row r="680" spans="1:17" x14ac:dyDescent="0.25">
      <c r="A680" s="1"/>
      <c r="B680" s="1"/>
      <c r="C680" s="1"/>
      <c r="D680" s="1"/>
      <c r="E680" s="1"/>
      <c r="F680" s="1"/>
      <c r="G680" s="1"/>
      <c r="H680" s="1" t="s">
        <v>585</v>
      </c>
      <c r="I680" s="1"/>
      <c r="J680" s="1"/>
      <c r="K680" s="1"/>
      <c r="L680" s="1"/>
      <c r="M680" s="1"/>
      <c r="N680" s="1"/>
      <c r="O680" s="1"/>
      <c r="P680" s="1"/>
      <c r="Q680" s="1"/>
    </row>
    <row r="681" spans="1:17" x14ac:dyDescent="0.25">
      <c r="A681" s="1"/>
      <c r="B681" s="1"/>
      <c r="C681" s="1"/>
      <c r="D681" s="1"/>
      <c r="E681" s="1"/>
      <c r="F681" s="1"/>
      <c r="G681" s="1"/>
      <c r="H681" s="1" t="s">
        <v>585</v>
      </c>
      <c r="I681" s="1"/>
      <c r="J681" s="1"/>
      <c r="K681" s="1"/>
      <c r="L681" s="1"/>
      <c r="M681" s="1"/>
      <c r="N681" s="1"/>
      <c r="O681" s="1"/>
      <c r="P681" s="1"/>
      <c r="Q681" s="1"/>
    </row>
    <row r="682" spans="1:17" x14ac:dyDescent="0.25">
      <c r="A682" s="1"/>
      <c r="B682" s="1"/>
      <c r="C682" s="1"/>
      <c r="D682" s="1"/>
      <c r="E682" s="1"/>
      <c r="F682" s="1"/>
      <c r="G682" s="1"/>
      <c r="H682" s="1" t="s">
        <v>585</v>
      </c>
      <c r="I682" s="1"/>
      <c r="J682" s="1"/>
      <c r="K682" s="1"/>
      <c r="L682" s="1"/>
      <c r="M682" s="1"/>
      <c r="N682" s="1"/>
      <c r="O682" s="1"/>
      <c r="P682" s="1"/>
      <c r="Q682" s="1"/>
    </row>
    <row r="683" spans="1:17" x14ac:dyDescent="0.25">
      <c r="A683" s="1"/>
      <c r="B683" s="1"/>
      <c r="C683" s="1"/>
      <c r="D683" s="1"/>
      <c r="E683" s="1"/>
      <c r="F683" s="1"/>
      <c r="G683" s="1"/>
      <c r="H683" s="1" t="s">
        <v>585</v>
      </c>
      <c r="I683" s="1"/>
      <c r="J683" s="1"/>
      <c r="K683" s="1"/>
      <c r="L683" s="1"/>
      <c r="M683" s="1"/>
      <c r="N683" s="1"/>
      <c r="O683" s="1"/>
      <c r="P683" s="1"/>
      <c r="Q683" s="1"/>
    </row>
    <row r="684" spans="1:17" x14ac:dyDescent="0.25">
      <c r="A684" s="1"/>
      <c r="B684" s="1"/>
      <c r="C684" s="1"/>
      <c r="D684" s="1"/>
      <c r="E684" s="1"/>
      <c r="F684" s="1"/>
      <c r="G684" s="1"/>
      <c r="H684" s="1" t="s">
        <v>585</v>
      </c>
      <c r="I684" s="1"/>
      <c r="J684" s="1"/>
      <c r="K684" s="1"/>
      <c r="L684" s="1"/>
      <c r="M684" s="1"/>
      <c r="N684" s="1"/>
      <c r="O684" s="1"/>
      <c r="P684" s="1"/>
      <c r="Q684" s="1"/>
    </row>
    <row r="685" spans="1:17" x14ac:dyDescent="0.25">
      <c r="A685" s="1"/>
      <c r="B685" s="1"/>
      <c r="C685" s="1"/>
      <c r="D685" s="1"/>
      <c r="E685" s="1"/>
      <c r="F685" s="1"/>
      <c r="G685" s="1"/>
      <c r="H685" s="1" t="s">
        <v>585</v>
      </c>
      <c r="I685" s="1"/>
      <c r="J685" s="1"/>
      <c r="K685" s="1"/>
      <c r="L685" s="1"/>
      <c r="M685" s="1"/>
      <c r="N685" s="1"/>
      <c r="O685" s="1"/>
      <c r="P685" s="1"/>
      <c r="Q685" s="1"/>
    </row>
    <row r="686" spans="1:17" x14ac:dyDescent="0.25">
      <c r="A686" s="1"/>
      <c r="B686" s="1"/>
      <c r="C686" s="1"/>
      <c r="D686" s="1"/>
      <c r="E686" s="1"/>
      <c r="F686" s="1"/>
      <c r="G686" s="1"/>
      <c r="H686" s="1" t="s">
        <v>585</v>
      </c>
      <c r="I686" s="1"/>
      <c r="J686" s="1"/>
      <c r="K686" s="1"/>
      <c r="L686" s="1"/>
      <c r="M686" s="1"/>
      <c r="N686" s="1"/>
      <c r="O686" s="1"/>
      <c r="P686" s="1"/>
      <c r="Q686" s="1"/>
    </row>
    <row r="687" spans="1:17" x14ac:dyDescent="0.25">
      <c r="A687" s="1"/>
      <c r="B687" s="1"/>
      <c r="C687" s="1"/>
      <c r="D687" s="1"/>
      <c r="E687" s="1"/>
      <c r="F687" s="1"/>
      <c r="G687" s="1"/>
      <c r="H687" s="1" t="s">
        <v>585</v>
      </c>
      <c r="I687" s="1"/>
      <c r="J687" s="1"/>
      <c r="K687" s="1"/>
      <c r="L687" s="1"/>
      <c r="M687" s="1"/>
      <c r="N687" s="1"/>
      <c r="O687" s="1"/>
      <c r="P687" s="1"/>
      <c r="Q687" s="1"/>
    </row>
    <row r="688" spans="1:17" x14ac:dyDescent="0.25">
      <c r="A688" s="1"/>
      <c r="B688" s="1"/>
      <c r="C688" s="1"/>
      <c r="D688" s="1"/>
      <c r="E688" s="1"/>
      <c r="F688" s="1"/>
      <c r="G688" s="1"/>
      <c r="H688" s="1" t="s">
        <v>585</v>
      </c>
      <c r="I688" s="1"/>
      <c r="J688" s="1"/>
      <c r="K688" s="1"/>
      <c r="L688" s="1"/>
      <c r="M688" s="1"/>
      <c r="N688" s="1"/>
      <c r="O688" s="1"/>
      <c r="P688" s="1"/>
      <c r="Q688" s="1"/>
    </row>
    <row r="689" spans="1:17" x14ac:dyDescent="0.25">
      <c r="A689" s="1"/>
      <c r="B689" s="1"/>
      <c r="C689" s="1"/>
      <c r="D689" s="1"/>
      <c r="E689" s="1"/>
      <c r="F689" s="1"/>
      <c r="G689" s="1"/>
      <c r="H689" s="1" t="s">
        <v>585</v>
      </c>
      <c r="I689" s="1"/>
      <c r="J689" s="1"/>
      <c r="K689" s="1"/>
      <c r="L689" s="1"/>
      <c r="M689" s="1"/>
      <c r="N689" s="1"/>
      <c r="O689" s="1"/>
      <c r="P689" s="1"/>
      <c r="Q689" s="1"/>
    </row>
    <row r="690" spans="1:17" x14ac:dyDescent="0.25">
      <c r="A690" s="1"/>
      <c r="B690" s="1"/>
      <c r="C690" s="1"/>
      <c r="D690" s="1"/>
      <c r="E690" s="1"/>
      <c r="F690" s="1"/>
      <c r="G690" s="1"/>
      <c r="H690" s="1" t="s">
        <v>585</v>
      </c>
      <c r="I690" s="1"/>
      <c r="J690" s="1"/>
      <c r="K690" s="1"/>
      <c r="L690" s="1"/>
      <c r="M690" s="1"/>
      <c r="N690" s="1"/>
      <c r="O690" s="1"/>
      <c r="P690" s="1"/>
      <c r="Q690" s="1"/>
    </row>
    <row r="691" spans="1:17" x14ac:dyDescent="0.25">
      <c r="A691" s="1"/>
      <c r="B691" s="1"/>
      <c r="C691" s="1"/>
      <c r="D691" s="1"/>
      <c r="E691" s="1"/>
      <c r="F691" s="1"/>
      <c r="G691" s="1"/>
      <c r="H691" s="1" t="s">
        <v>585</v>
      </c>
      <c r="I691" s="1"/>
      <c r="J691" s="1"/>
      <c r="K691" s="1"/>
      <c r="L691" s="1"/>
      <c r="M691" s="1"/>
      <c r="N691" s="1"/>
      <c r="O691" s="1"/>
      <c r="P691" s="1"/>
      <c r="Q691" s="1"/>
    </row>
    <row r="692" spans="1:17" x14ac:dyDescent="0.25">
      <c r="A692" s="1"/>
      <c r="B692" s="1"/>
      <c r="C692" s="1"/>
      <c r="D692" s="1"/>
      <c r="E692" s="1"/>
      <c r="F692" s="1"/>
      <c r="G692" s="1"/>
      <c r="H692" s="1" t="s">
        <v>585</v>
      </c>
      <c r="I692" s="1"/>
      <c r="J692" s="1"/>
      <c r="K692" s="1"/>
      <c r="L692" s="1"/>
      <c r="M692" s="1"/>
      <c r="N692" s="1"/>
      <c r="O692" s="1"/>
      <c r="P692" s="1"/>
      <c r="Q692" s="1"/>
    </row>
    <row r="693" spans="1:17" x14ac:dyDescent="0.25">
      <c r="A693" s="1"/>
      <c r="B693" s="1"/>
      <c r="C693" s="1"/>
      <c r="D693" s="1"/>
      <c r="E693" s="1"/>
      <c r="F693" s="1"/>
      <c r="G693" s="1"/>
      <c r="H693" s="1" t="s">
        <v>585</v>
      </c>
      <c r="I693" s="1"/>
      <c r="J693" s="1"/>
      <c r="K693" s="1"/>
      <c r="L693" s="1"/>
      <c r="M693" s="1"/>
      <c r="N693" s="1"/>
      <c r="O693" s="1"/>
      <c r="P693" s="1"/>
      <c r="Q693" s="1"/>
    </row>
    <row r="694" spans="1:17" x14ac:dyDescent="0.25">
      <c r="A694" s="1"/>
      <c r="B694" s="1"/>
      <c r="C694" s="1"/>
      <c r="D694" s="1"/>
      <c r="E694" s="1"/>
      <c r="F694" s="1"/>
      <c r="G694" s="1"/>
      <c r="H694" s="1" t="s">
        <v>585</v>
      </c>
      <c r="I694" s="1"/>
      <c r="J694" s="1"/>
      <c r="K694" s="1"/>
      <c r="L694" s="1"/>
      <c r="M694" s="1"/>
      <c r="N694" s="1"/>
      <c r="O694" s="1"/>
      <c r="P694" s="1"/>
      <c r="Q694" s="1"/>
    </row>
    <row r="695" spans="1:17" x14ac:dyDescent="0.25">
      <c r="A695" s="1"/>
      <c r="B695" s="1"/>
      <c r="C695" s="1"/>
      <c r="D695" s="1"/>
      <c r="E695" s="1"/>
      <c r="F695" s="1"/>
      <c r="G695" s="1"/>
      <c r="H695" s="1" t="s">
        <v>585</v>
      </c>
      <c r="I695" s="1"/>
      <c r="J695" s="1"/>
      <c r="K695" s="1"/>
      <c r="L695" s="1"/>
      <c r="M695" s="1"/>
      <c r="N695" s="1"/>
      <c r="O695" s="1"/>
      <c r="P695" s="1"/>
      <c r="Q695" s="1"/>
    </row>
    <row r="696" spans="1:17" x14ac:dyDescent="0.25">
      <c r="A696" s="1"/>
      <c r="B696" s="1"/>
      <c r="C696" s="1"/>
      <c r="D696" s="1"/>
      <c r="E696" s="1"/>
      <c r="F696" s="1"/>
      <c r="G696" s="1"/>
      <c r="H696" s="1" t="s">
        <v>585</v>
      </c>
      <c r="I696" s="1"/>
      <c r="J696" s="1"/>
      <c r="K696" s="1"/>
      <c r="L696" s="1"/>
      <c r="M696" s="1"/>
      <c r="N696" s="1"/>
      <c r="O696" s="1"/>
      <c r="P696" s="1"/>
      <c r="Q696" s="1"/>
    </row>
    <row r="697" spans="1:17" x14ac:dyDescent="0.25">
      <c r="A697" s="1"/>
      <c r="B697" s="1"/>
      <c r="C697" s="1"/>
      <c r="D697" s="1"/>
      <c r="E697" s="1"/>
      <c r="F697" s="1"/>
      <c r="G697" s="1"/>
      <c r="H697" s="1" t="s">
        <v>585</v>
      </c>
      <c r="I697" s="1"/>
      <c r="J697" s="1"/>
      <c r="K697" s="1"/>
      <c r="L697" s="1"/>
      <c r="M697" s="1"/>
      <c r="N697" s="1"/>
      <c r="O697" s="1"/>
      <c r="P697" s="1"/>
      <c r="Q697" s="1"/>
    </row>
    <row r="698" spans="1:17" x14ac:dyDescent="0.25">
      <c r="A698" s="1"/>
      <c r="B698" s="1"/>
      <c r="C698" s="1"/>
      <c r="D698" s="1"/>
      <c r="E698" s="1"/>
      <c r="F698" s="1"/>
      <c r="G698" s="1"/>
      <c r="H698" s="1" t="s">
        <v>585</v>
      </c>
      <c r="I698" s="1"/>
      <c r="J698" s="1"/>
      <c r="K698" s="1"/>
      <c r="L698" s="1"/>
      <c r="M698" s="1"/>
      <c r="N698" s="1"/>
      <c r="O698" s="1"/>
      <c r="P698" s="1"/>
      <c r="Q698" s="1"/>
    </row>
    <row r="699" spans="1:17" x14ac:dyDescent="0.25">
      <c r="A699" s="1"/>
      <c r="B699" s="1"/>
      <c r="C699" s="1"/>
      <c r="D699" s="1"/>
      <c r="E699" s="1"/>
      <c r="F699" s="1"/>
      <c r="G699" s="1"/>
      <c r="H699" s="1" t="s">
        <v>585</v>
      </c>
      <c r="I699" s="1"/>
      <c r="J699" s="1"/>
      <c r="K699" s="1"/>
      <c r="L699" s="1"/>
      <c r="M699" s="1"/>
      <c r="N699" s="1"/>
      <c r="O699" s="1"/>
      <c r="P699" s="1"/>
      <c r="Q699" s="1"/>
    </row>
    <row r="700" spans="1:17" x14ac:dyDescent="0.25">
      <c r="A700" s="1"/>
      <c r="B700" s="1"/>
      <c r="C700" s="1"/>
      <c r="D700" s="1"/>
      <c r="E700" s="1"/>
      <c r="F700" s="1"/>
      <c r="G700" s="1"/>
      <c r="H700" s="1" t="s">
        <v>585</v>
      </c>
      <c r="I700" s="1"/>
      <c r="J700" s="1"/>
      <c r="K700" s="1"/>
      <c r="L700" s="1"/>
      <c r="M700" s="1"/>
      <c r="N700" s="1"/>
      <c r="O700" s="1"/>
      <c r="P700" s="1"/>
      <c r="Q700" s="1"/>
    </row>
    <row r="701" spans="1:17" x14ac:dyDescent="0.25">
      <c r="A701" s="1"/>
      <c r="B701" s="1"/>
      <c r="C701" s="1"/>
      <c r="D701" s="1"/>
      <c r="E701" s="1"/>
      <c r="F701" s="1"/>
      <c r="G701" s="1"/>
      <c r="H701" s="1" t="s">
        <v>585</v>
      </c>
      <c r="I701" s="1"/>
      <c r="J701" s="1"/>
      <c r="K701" s="1"/>
      <c r="L701" s="1"/>
      <c r="M701" s="1"/>
      <c r="N701" s="1"/>
      <c r="O701" s="1"/>
      <c r="P701" s="1"/>
      <c r="Q701" s="1"/>
    </row>
    <row r="702" spans="1:17" x14ac:dyDescent="0.25">
      <c r="A702" s="1"/>
      <c r="B702" s="1"/>
      <c r="C702" s="1"/>
      <c r="D702" s="1"/>
      <c r="E702" s="1"/>
      <c r="F702" s="1"/>
      <c r="G702" s="1"/>
      <c r="H702" s="1" t="s">
        <v>585</v>
      </c>
      <c r="I702" s="1"/>
      <c r="J702" s="1"/>
      <c r="K702" s="1"/>
      <c r="L702" s="1"/>
      <c r="M702" s="1"/>
      <c r="N702" s="1"/>
      <c r="O702" s="1"/>
      <c r="P702" s="1"/>
      <c r="Q702" s="1"/>
    </row>
    <row r="703" spans="1:17" x14ac:dyDescent="0.25">
      <c r="A703" s="1"/>
      <c r="B703" s="1"/>
      <c r="C703" s="1"/>
      <c r="D703" s="1"/>
      <c r="E703" s="1"/>
      <c r="F703" s="1"/>
      <c r="G703" s="1"/>
      <c r="H703" s="1" t="s">
        <v>585</v>
      </c>
      <c r="I703" s="1"/>
      <c r="J703" s="1"/>
      <c r="K703" s="1"/>
      <c r="L703" s="1"/>
      <c r="M703" s="1"/>
      <c r="N703" s="1"/>
      <c r="O703" s="1"/>
      <c r="P703" s="1"/>
      <c r="Q703" s="1"/>
    </row>
    <row r="704" spans="1:17" x14ac:dyDescent="0.25">
      <c r="A704" s="1"/>
      <c r="B704" s="1"/>
      <c r="C704" s="1"/>
      <c r="D704" s="1"/>
      <c r="E704" s="1"/>
      <c r="F704" s="1"/>
      <c r="G704" s="1"/>
      <c r="H704" s="1" t="s">
        <v>585</v>
      </c>
      <c r="I704" s="1"/>
      <c r="J704" s="1"/>
      <c r="K704" s="1"/>
      <c r="L704" s="1"/>
      <c r="M704" s="1"/>
      <c r="N704" s="1"/>
      <c r="O704" s="1"/>
      <c r="P704" s="1"/>
      <c r="Q704" s="1"/>
    </row>
    <row r="705" spans="1:17" x14ac:dyDescent="0.25">
      <c r="A705" s="1"/>
      <c r="B705" s="1"/>
      <c r="C705" s="1"/>
      <c r="D705" s="1"/>
      <c r="E705" s="1"/>
      <c r="F705" s="1"/>
      <c r="G705" s="1"/>
      <c r="H705" s="1" t="s">
        <v>585</v>
      </c>
      <c r="I705" s="1"/>
      <c r="J705" s="1"/>
      <c r="K705" s="1"/>
      <c r="L705" s="1"/>
      <c r="M705" s="1"/>
      <c r="N705" s="1"/>
      <c r="O705" s="1"/>
      <c r="P705" s="1"/>
      <c r="Q705" s="1"/>
    </row>
    <row r="706" spans="1:17" x14ac:dyDescent="0.25">
      <c r="A706" s="1"/>
      <c r="B706" s="1"/>
      <c r="C706" s="1"/>
      <c r="D706" s="1"/>
      <c r="E706" s="1"/>
      <c r="F706" s="1"/>
      <c r="G706" s="1"/>
      <c r="H706" s="1" t="s">
        <v>585</v>
      </c>
      <c r="I706" s="1"/>
      <c r="J706" s="1"/>
      <c r="K706" s="1"/>
      <c r="L706" s="1"/>
      <c r="M706" s="1"/>
      <c r="N706" s="1"/>
      <c r="O706" s="1"/>
      <c r="P706" s="1"/>
      <c r="Q706" s="1"/>
    </row>
    <row r="707" spans="1:17" x14ac:dyDescent="0.25">
      <c r="A707" s="1"/>
      <c r="B707" s="1"/>
      <c r="C707" s="1"/>
      <c r="D707" s="1"/>
      <c r="E707" s="1"/>
      <c r="F707" s="1"/>
      <c r="G707" s="1"/>
      <c r="H707" s="1" t="s">
        <v>585</v>
      </c>
      <c r="I707" s="1"/>
      <c r="J707" s="1"/>
      <c r="K707" s="1"/>
      <c r="L707" s="1"/>
      <c r="M707" s="1"/>
      <c r="N707" s="1"/>
      <c r="O707" s="1"/>
      <c r="P707" s="1"/>
      <c r="Q707" s="1"/>
    </row>
    <row r="708" spans="1:17" x14ac:dyDescent="0.25">
      <c r="A708" s="1"/>
      <c r="B708" s="1"/>
      <c r="C708" s="1"/>
      <c r="D708" s="1"/>
      <c r="E708" s="1"/>
      <c r="F708" s="1"/>
      <c r="G708" s="1"/>
      <c r="H708" s="1" t="s">
        <v>585</v>
      </c>
      <c r="I708" s="1"/>
      <c r="J708" s="1"/>
      <c r="K708" s="1"/>
      <c r="L708" s="1"/>
      <c r="M708" s="1"/>
      <c r="N708" s="1"/>
      <c r="O708" s="1"/>
      <c r="P708" s="1"/>
      <c r="Q708" s="1"/>
    </row>
    <row r="709" spans="1:17" x14ac:dyDescent="0.25">
      <c r="A709" s="1"/>
      <c r="B709" s="1"/>
      <c r="C709" s="1"/>
      <c r="D709" s="1"/>
      <c r="E709" s="1"/>
      <c r="F709" s="1"/>
      <c r="G709" s="1"/>
      <c r="H709" s="1" t="s">
        <v>585</v>
      </c>
      <c r="I709" s="1"/>
      <c r="J709" s="1"/>
      <c r="K709" s="1"/>
      <c r="L709" s="1"/>
      <c r="M709" s="1"/>
      <c r="N709" s="1"/>
      <c r="O709" s="1"/>
      <c r="P709" s="1"/>
      <c r="Q709" s="1"/>
    </row>
    <row r="710" spans="1:17" x14ac:dyDescent="0.25">
      <c r="A710" s="1"/>
      <c r="B710" s="1"/>
      <c r="C710" s="1"/>
      <c r="D710" s="1"/>
      <c r="E710" s="1"/>
      <c r="F710" s="1"/>
      <c r="G710" s="1"/>
      <c r="H710" s="1" t="s">
        <v>585</v>
      </c>
      <c r="I710" s="1"/>
      <c r="J710" s="1"/>
      <c r="K710" s="1"/>
      <c r="L710" s="1"/>
      <c r="M710" s="1"/>
      <c r="N710" s="1"/>
      <c r="O710" s="1"/>
      <c r="P710" s="1"/>
      <c r="Q710" s="1"/>
    </row>
    <row r="711" spans="1:17" x14ac:dyDescent="0.25">
      <c r="A711" s="1"/>
      <c r="B711" s="1"/>
      <c r="C711" s="1"/>
      <c r="D711" s="1"/>
      <c r="E711" s="1"/>
      <c r="F711" s="1"/>
      <c r="G711" s="1"/>
      <c r="H711" s="1" t="s">
        <v>585</v>
      </c>
      <c r="I711" s="1"/>
      <c r="J711" s="1"/>
      <c r="K711" s="1"/>
      <c r="L711" s="1"/>
      <c r="M711" s="1"/>
      <c r="N711" s="1"/>
      <c r="O711" s="1"/>
      <c r="P711" s="1"/>
      <c r="Q711" s="1"/>
    </row>
    <row r="712" spans="1:17" x14ac:dyDescent="0.25">
      <c r="A712" s="1"/>
      <c r="B712" s="1"/>
      <c r="C712" s="1"/>
      <c r="D712" s="1"/>
      <c r="E712" s="1"/>
      <c r="F712" s="1"/>
      <c r="G712" s="1"/>
      <c r="H712" s="1" t="s">
        <v>585</v>
      </c>
      <c r="I712" s="1"/>
      <c r="J712" s="1"/>
      <c r="K712" s="1"/>
      <c r="L712" s="1"/>
      <c r="M712" s="1"/>
      <c r="N712" s="1"/>
      <c r="O712" s="1"/>
      <c r="P712" s="1"/>
      <c r="Q712" s="1"/>
    </row>
    <row r="713" spans="1:17" x14ac:dyDescent="0.25">
      <c r="A713" s="1"/>
      <c r="B713" s="1"/>
      <c r="C713" s="1"/>
      <c r="D713" s="1"/>
      <c r="E713" s="1"/>
      <c r="F713" s="1"/>
      <c r="G713" s="1"/>
      <c r="H713" s="1" t="s">
        <v>585</v>
      </c>
      <c r="I713" s="1"/>
      <c r="J713" s="1"/>
      <c r="K713" s="1"/>
      <c r="L713" s="1"/>
      <c r="M713" s="1"/>
      <c r="N713" s="1"/>
      <c r="O713" s="1"/>
      <c r="P713" s="1"/>
      <c r="Q713" s="1"/>
    </row>
    <row r="714" spans="1:17" x14ac:dyDescent="0.25">
      <c r="A714" s="1"/>
      <c r="B714" s="1"/>
      <c r="C714" s="1"/>
      <c r="D714" s="1"/>
      <c r="E714" s="1"/>
      <c r="F714" s="1"/>
      <c r="G714" s="1"/>
      <c r="H714" s="1" t="s">
        <v>585</v>
      </c>
      <c r="I714" s="1"/>
      <c r="J714" s="1"/>
      <c r="K714" s="1"/>
      <c r="L714" s="1"/>
      <c r="M714" s="1"/>
      <c r="N714" s="1"/>
      <c r="O714" s="1"/>
      <c r="P714" s="1"/>
      <c r="Q714" s="1"/>
    </row>
    <row r="715" spans="1:17" x14ac:dyDescent="0.25">
      <c r="A715" s="1"/>
      <c r="B715" s="1"/>
      <c r="C715" s="1"/>
      <c r="D715" s="1"/>
      <c r="E715" s="1"/>
      <c r="F715" s="1"/>
      <c r="G715" s="1"/>
      <c r="H715" s="1" t="s">
        <v>585</v>
      </c>
      <c r="I715" s="1"/>
      <c r="J715" s="1"/>
      <c r="K715" s="1"/>
      <c r="L715" s="1"/>
      <c r="M715" s="1"/>
      <c r="N715" s="1"/>
      <c r="O715" s="1"/>
      <c r="P715" s="1"/>
      <c r="Q715" s="1"/>
    </row>
    <row r="716" spans="1:17" x14ac:dyDescent="0.25">
      <c r="A716" s="1"/>
      <c r="B716" s="1"/>
      <c r="C716" s="1"/>
      <c r="D716" s="1"/>
      <c r="E716" s="1"/>
      <c r="F716" s="1"/>
      <c r="G716" s="1"/>
      <c r="H716" s="1" t="s">
        <v>585</v>
      </c>
      <c r="I716" s="1"/>
      <c r="J716" s="1"/>
      <c r="K716" s="1"/>
      <c r="L716" s="1"/>
      <c r="M716" s="1"/>
      <c r="N716" s="1"/>
      <c r="O716" s="1"/>
      <c r="P716" s="1"/>
      <c r="Q716" s="1"/>
    </row>
    <row r="717" spans="1:17" x14ac:dyDescent="0.25">
      <c r="A717" s="1"/>
      <c r="B717" s="1"/>
      <c r="C717" s="1"/>
      <c r="D717" s="1"/>
      <c r="E717" s="1"/>
      <c r="F717" s="1"/>
      <c r="G717" s="1"/>
      <c r="H717" s="1" t="s">
        <v>585</v>
      </c>
      <c r="I717" s="1"/>
      <c r="J717" s="1"/>
      <c r="K717" s="1"/>
      <c r="L717" s="1"/>
      <c r="M717" s="1"/>
      <c r="N717" s="1"/>
      <c r="O717" s="1"/>
      <c r="P717" s="1"/>
      <c r="Q717" s="1"/>
    </row>
    <row r="718" spans="1:17" x14ac:dyDescent="0.25">
      <c r="A718" s="1"/>
      <c r="B718" s="1"/>
      <c r="C718" s="1"/>
      <c r="D718" s="1"/>
      <c r="E718" s="1"/>
      <c r="F718" s="1"/>
      <c r="G718" s="1"/>
      <c r="H718" s="1" t="s">
        <v>585</v>
      </c>
      <c r="I718" s="1"/>
      <c r="J718" s="1"/>
      <c r="K718" s="1"/>
      <c r="L718" s="1"/>
      <c r="M718" s="1"/>
      <c r="N718" s="1"/>
      <c r="O718" s="1"/>
      <c r="P718" s="1"/>
      <c r="Q718" s="1"/>
    </row>
    <row r="719" spans="1:17" x14ac:dyDescent="0.25">
      <c r="A719" s="1"/>
      <c r="B719" s="1"/>
      <c r="C719" s="1"/>
      <c r="D719" s="1"/>
      <c r="E719" s="1"/>
      <c r="F719" s="1"/>
      <c r="G719" s="1"/>
      <c r="H719" s="1" t="s">
        <v>585</v>
      </c>
      <c r="I719" s="1"/>
      <c r="J719" s="1"/>
      <c r="K719" s="1"/>
      <c r="L719" s="1"/>
      <c r="M719" s="1"/>
      <c r="N719" s="1"/>
      <c r="O719" s="1"/>
      <c r="P719" s="1"/>
      <c r="Q719" s="1"/>
    </row>
    <row r="720" spans="1:17" x14ac:dyDescent="0.25">
      <c r="A720" s="1"/>
      <c r="B720" s="1"/>
      <c r="C720" s="1"/>
      <c r="D720" s="1"/>
      <c r="E720" s="1"/>
      <c r="F720" s="1"/>
      <c r="G720" s="1"/>
      <c r="H720" s="1" t="s">
        <v>585</v>
      </c>
      <c r="I720" s="1"/>
      <c r="J720" s="1"/>
      <c r="K720" s="1"/>
      <c r="L720" s="1"/>
      <c r="M720" s="1"/>
      <c r="N720" s="1"/>
      <c r="O720" s="1"/>
      <c r="P720" s="1"/>
      <c r="Q720" s="1"/>
    </row>
    <row r="721" spans="1:17" x14ac:dyDescent="0.25">
      <c r="A721" s="1"/>
      <c r="B721" s="1"/>
      <c r="C721" s="1"/>
      <c r="D721" s="1"/>
      <c r="E721" s="1"/>
      <c r="F721" s="1"/>
      <c r="G721" s="1"/>
      <c r="H721" s="1" t="s">
        <v>585</v>
      </c>
      <c r="I721" s="1"/>
      <c r="J721" s="1"/>
      <c r="K721" s="1"/>
      <c r="L721" s="1"/>
      <c r="M721" s="1"/>
      <c r="N721" s="1"/>
      <c r="O721" s="1"/>
      <c r="P721" s="1"/>
      <c r="Q721" s="1"/>
    </row>
    <row r="722" spans="1:17" x14ac:dyDescent="0.25">
      <c r="A722" s="1"/>
      <c r="B722" s="1"/>
      <c r="C722" s="1"/>
      <c r="D722" s="1"/>
      <c r="E722" s="1"/>
      <c r="F722" s="1"/>
      <c r="G722" s="1"/>
      <c r="H722" s="1" t="s">
        <v>585</v>
      </c>
      <c r="I722" s="1"/>
      <c r="J722" s="1"/>
      <c r="K722" s="1"/>
      <c r="L722" s="1"/>
      <c r="M722" s="1"/>
      <c r="N722" s="1"/>
      <c r="O722" s="1"/>
      <c r="P722" s="1"/>
      <c r="Q722" s="1"/>
    </row>
    <row r="723" spans="1:17" x14ac:dyDescent="0.25">
      <c r="A723" s="1"/>
      <c r="B723" s="1"/>
      <c r="C723" s="1"/>
      <c r="D723" s="1"/>
      <c r="E723" s="1"/>
      <c r="F723" s="1"/>
      <c r="G723" s="1"/>
      <c r="H723" s="1" t="s">
        <v>585</v>
      </c>
      <c r="I723" s="1"/>
      <c r="J723" s="1"/>
      <c r="K723" s="1"/>
      <c r="L723" s="1"/>
      <c r="M723" s="1"/>
      <c r="N723" s="1"/>
      <c r="O723" s="1"/>
      <c r="P723" s="1"/>
      <c r="Q723" s="1"/>
    </row>
    <row r="724" spans="1:17" x14ac:dyDescent="0.25">
      <c r="A724" s="1"/>
      <c r="B724" s="1"/>
      <c r="C724" s="1"/>
      <c r="D724" s="1"/>
      <c r="E724" s="1"/>
      <c r="F724" s="1"/>
      <c r="G724" s="1"/>
      <c r="H724" s="1" t="s">
        <v>585</v>
      </c>
      <c r="I724" s="1"/>
      <c r="J724" s="1"/>
      <c r="K724" s="1"/>
      <c r="L724" s="1"/>
      <c r="M724" s="1"/>
      <c r="N724" s="1"/>
      <c r="O724" s="1"/>
      <c r="P724" s="1"/>
      <c r="Q724" s="1"/>
    </row>
    <row r="725" spans="1:17" x14ac:dyDescent="0.25">
      <c r="A725" s="1"/>
      <c r="B725" s="1"/>
      <c r="C725" s="1"/>
      <c r="D725" s="1"/>
      <c r="E725" s="1"/>
      <c r="F725" s="1"/>
      <c r="G725" s="1"/>
      <c r="H725" s="1" t="s">
        <v>585</v>
      </c>
      <c r="I725" s="1"/>
      <c r="J725" s="1"/>
      <c r="K725" s="1"/>
      <c r="L725" s="1"/>
      <c r="M725" s="1"/>
      <c r="N725" s="1"/>
      <c r="O725" s="1"/>
      <c r="P725" s="1"/>
      <c r="Q725" s="1"/>
    </row>
    <row r="726" spans="1:17" x14ac:dyDescent="0.25">
      <c r="A726" s="1"/>
      <c r="B726" s="1"/>
      <c r="C726" s="1"/>
      <c r="D726" s="1"/>
      <c r="E726" s="1"/>
      <c r="F726" s="1"/>
      <c r="G726" s="1"/>
      <c r="H726" s="1" t="s">
        <v>585</v>
      </c>
      <c r="I726" s="1"/>
      <c r="J726" s="1"/>
      <c r="K726" s="1"/>
      <c r="L726" s="1"/>
      <c r="M726" s="1"/>
      <c r="N726" s="1"/>
      <c r="O726" s="1"/>
      <c r="P726" s="1"/>
      <c r="Q726" s="1"/>
    </row>
    <row r="727" spans="1:17" x14ac:dyDescent="0.25">
      <c r="A727" s="1"/>
      <c r="B727" s="1"/>
      <c r="C727" s="1"/>
      <c r="D727" s="1"/>
      <c r="E727" s="1"/>
      <c r="F727" s="1"/>
      <c r="G727" s="1"/>
      <c r="H727" s="1" t="s">
        <v>585</v>
      </c>
      <c r="I727" s="1"/>
      <c r="J727" s="1"/>
      <c r="K727" s="1"/>
      <c r="L727" s="1"/>
      <c r="M727" s="1"/>
      <c r="N727" s="1"/>
      <c r="O727" s="1"/>
      <c r="P727" s="1"/>
      <c r="Q727" s="1"/>
    </row>
    <row r="728" spans="1:17" x14ac:dyDescent="0.25">
      <c r="A728" s="1"/>
      <c r="B728" s="1"/>
      <c r="C728" s="1"/>
      <c r="D728" s="1"/>
      <c r="E728" s="1"/>
      <c r="F728" s="1"/>
      <c r="G728" s="1"/>
      <c r="H728" s="1" t="s">
        <v>585</v>
      </c>
      <c r="I728" s="1"/>
      <c r="J728" s="1"/>
      <c r="K728" s="1"/>
      <c r="L728" s="1"/>
      <c r="M728" s="1"/>
      <c r="N728" s="1"/>
      <c r="O728" s="1"/>
      <c r="P728" s="1"/>
      <c r="Q728" s="1"/>
    </row>
    <row r="729" spans="1:17" x14ac:dyDescent="0.25">
      <c r="A729" s="1"/>
      <c r="B729" s="1"/>
      <c r="C729" s="1"/>
      <c r="D729" s="1"/>
      <c r="E729" s="1"/>
      <c r="F729" s="1"/>
      <c r="G729" s="1"/>
      <c r="H729" s="1" t="s">
        <v>585</v>
      </c>
      <c r="I729" s="1"/>
      <c r="J729" s="1"/>
      <c r="K729" s="1"/>
      <c r="L729" s="1"/>
      <c r="M729" s="1"/>
      <c r="N729" s="1"/>
      <c r="O729" s="1"/>
      <c r="P729" s="1"/>
      <c r="Q729" s="1"/>
    </row>
    <row r="730" spans="1:17" x14ac:dyDescent="0.25">
      <c r="A730" s="1"/>
      <c r="B730" s="1"/>
      <c r="C730" s="1"/>
      <c r="D730" s="1"/>
      <c r="E730" s="1"/>
      <c r="F730" s="1"/>
      <c r="G730" s="1"/>
      <c r="H730" s="1" t="s">
        <v>585</v>
      </c>
      <c r="I730" s="1"/>
      <c r="J730" s="1"/>
      <c r="K730" s="1"/>
      <c r="L730" s="1"/>
      <c r="M730" s="1"/>
      <c r="N730" s="1"/>
      <c r="O730" s="1"/>
      <c r="P730" s="1"/>
      <c r="Q730" s="1"/>
    </row>
    <row r="731" spans="1:17" x14ac:dyDescent="0.25">
      <c r="A731" s="1"/>
      <c r="B731" s="1"/>
      <c r="C731" s="1"/>
      <c r="D731" s="1"/>
      <c r="E731" s="1"/>
      <c r="F731" s="1"/>
      <c r="G731" s="1"/>
      <c r="H731" s="1" t="s">
        <v>585</v>
      </c>
      <c r="I731" s="1"/>
      <c r="J731" s="1"/>
      <c r="K731" s="1"/>
      <c r="L731" s="1"/>
      <c r="M731" s="1"/>
      <c r="N731" s="1"/>
      <c r="O731" s="1"/>
      <c r="P731" s="1"/>
      <c r="Q731" s="1"/>
    </row>
    <row r="732" spans="1:17" x14ac:dyDescent="0.25">
      <c r="A732" s="1"/>
      <c r="B732" s="1"/>
      <c r="C732" s="1"/>
      <c r="D732" s="1"/>
      <c r="E732" s="1"/>
      <c r="F732" s="1"/>
      <c r="G732" s="1"/>
      <c r="H732" s="1" t="s">
        <v>585</v>
      </c>
      <c r="I732" s="1"/>
      <c r="J732" s="1"/>
      <c r="K732" s="1"/>
      <c r="L732" s="1"/>
      <c r="M732" s="1"/>
      <c r="N732" s="1"/>
      <c r="O732" s="1"/>
      <c r="P732" s="1"/>
      <c r="Q732" s="1"/>
    </row>
    <row r="733" spans="1:17" x14ac:dyDescent="0.25">
      <c r="A733" s="1"/>
      <c r="B733" s="1"/>
      <c r="C733" s="1"/>
      <c r="D733" s="1"/>
      <c r="E733" s="1"/>
      <c r="F733" s="1"/>
      <c r="G733" s="1"/>
      <c r="H733" s="1" t="s">
        <v>585</v>
      </c>
      <c r="I733" s="1"/>
      <c r="J733" s="1"/>
      <c r="K733" s="1"/>
      <c r="L733" s="1"/>
      <c r="M733" s="1"/>
      <c r="N733" s="1"/>
      <c r="O733" s="1"/>
      <c r="P733" s="1"/>
      <c r="Q733" s="1"/>
    </row>
    <row r="734" spans="1:17" x14ac:dyDescent="0.25">
      <c r="A734" s="1"/>
      <c r="B734" s="1"/>
      <c r="C734" s="1"/>
      <c r="D734" s="1"/>
      <c r="E734" s="1"/>
      <c r="F734" s="1"/>
      <c r="G734" s="1"/>
      <c r="H734" s="1" t="s">
        <v>585</v>
      </c>
      <c r="I734" s="1"/>
      <c r="J734" s="1"/>
      <c r="K734" s="1"/>
      <c r="L734" s="1"/>
      <c r="M734" s="1"/>
      <c r="N734" s="1"/>
      <c r="O734" s="1"/>
      <c r="P734" s="1"/>
      <c r="Q734" s="1"/>
    </row>
    <row r="735" spans="1:17" x14ac:dyDescent="0.25">
      <c r="A735" s="1"/>
      <c r="B735" s="1"/>
      <c r="C735" s="1"/>
      <c r="D735" s="1"/>
      <c r="E735" s="1"/>
      <c r="F735" s="1"/>
      <c r="G735" s="1"/>
      <c r="H735" s="1" t="s">
        <v>585</v>
      </c>
      <c r="I735" s="1"/>
      <c r="J735" s="1"/>
      <c r="K735" s="1"/>
      <c r="L735" s="1"/>
      <c r="M735" s="1"/>
      <c r="N735" s="1"/>
      <c r="O735" s="1"/>
      <c r="P735" s="1"/>
      <c r="Q735" s="1"/>
    </row>
    <row r="736" spans="1:17" x14ac:dyDescent="0.25">
      <c r="A736" s="1"/>
      <c r="B736" s="1"/>
      <c r="C736" s="1"/>
      <c r="D736" s="1"/>
      <c r="E736" s="1"/>
      <c r="F736" s="1"/>
      <c r="G736" s="1"/>
      <c r="H736" s="1" t="s">
        <v>585</v>
      </c>
      <c r="I736" s="1"/>
      <c r="J736" s="1"/>
      <c r="K736" s="1"/>
      <c r="L736" s="1"/>
      <c r="M736" s="1"/>
      <c r="N736" s="1"/>
      <c r="O736" s="1"/>
      <c r="P736" s="1"/>
      <c r="Q736" s="1"/>
    </row>
    <row r="737" spans="1:17" x14ac:dyDescent="0.25">
      <c r="A737" s="1"/>
      <c r="B737" s="1"/>
      <c r="C737" s="1"/>
      <c r="D737" s="1"/>
      <c r="E737" s="1"/>
      <c r="F737" s="1"/>
      <c r="G737" s="1"/>
      <c r="H737" s="1" t="s">
        <v>585</v>
      </c>
      <c r="I737" s="1"/>
      <c r="J737" s="1"/>
      <c r="K737" s="1"/>
      <c r="L737" s="1"/>
      <c r="M737" s="1"/>
      <c r="N737" s="1"/>
      <c r="O737" s="1"/>
      <c r="P737" s="1"/>
      <c r="Q737" s="1"/>
    </row>
    <row r="738" spans="1:17" x14ac:dyDescent="0.25">
      <c r="A738" s="1"/>
      <c r="B738" s="1"/>
      <c r="C738" s="1"/>
      <c r="D738" s="1"/>
      <c r="E738" s="1"/>
      <c r="F738" s="1"/>
      <c r="G738" s="1"/>
      <c r="H738" s="1" t="s">
        <v>585</v>
      </c>
      <c r="I738" s="1"/>
      <c r="J738" s="1"/>
      <c r="K738" s="1"/>
      <c r="L738" s="1"/>
      <c r="M738" s="1"/>
      <c r="N738" s="1"/>
      <c r="O738" s="1"/>
      <c r="P738" s="1"/>
      <c r="Q738" s="1"/>
    </row>
    <row r="739" spans="1:17" x14ac:dyDescent="0.25">
      <c r="A739" s="1"/>
      <c r="B739" s="1"/>
      <c r="C739" s="1"/>
      <c r="D739" s="1"/>
      <c r="E739" s="1"/>
      <c r="F739" s="1"/>
      <c r="G739" s="1"/>
      <c r="H739" s="1" t="s">
        <v>585</v>
      </c>
      <c r="I739" s="1"/>
      <c r="J739" s="1"/>
      <c r="K739" s="1"/>
      <c r="L739" s="1"/>
      <c r="M739" s="1"/>
      <c r="N739" s="1"/>
      <c r="O739" s="1"/>
      <c r="P739" s="1"/>
      <c r="Q739" s="1"/>
    </row>
    <row r="740" spans="1:17" x14ac:dyDescent="0.25">
      <c r="A740" s="1"/>
      <c r="B740" s="1"/>
      <c r="C740" s="1"/>
      <c r="D740" s="1"/>
      <c r="E740" s="1"/>
      <c r="F740" s="1"/>
      <c r="G740" s="1"/>
      <c r="H740" s="1" t="s">
        <v>585</v>
      </c>
      <c r="I740" s="1"/>
      <c r="J740" s="1"/>
      <c r="K740" s="1"/>
      <c r="L740" s="1"/>
      <c r="M740" s="1"/>
      <c r="N740" s="1"/>
      <c r="O740" s="1"/>
      <c r="P740" s="1"/>
      <c r="Q740" s="1"/>
    </row>
    <row r="741" spans="1:17" x14ac:dyDescent="0.25">
      <c r="A741" s="1"/>
      <c r="B741" s="1"/>
      <c r="C741" s="1"/>
      <c r="D741" s="1"/>
      <c r="E741" s="1"/>
      <c r="F741" s="1"/>
      <c r="G741" s="1"/>
      <c r="H741" s="1" t="s">
        <v>585</v>
      </c>
      <c r="I741" s="1"/>
      <c r="J741" s="1"/>
      <c r="K741" s="1"/>
      <c r="L741" s="1"/>
      <c r="M741" s="1"/>
      <c r="N741" s="1"/>
      <c r="O741" s="1"/>
      <c r="P741" s="1"/>
      <c r="Q741" s="1"/>
    </row>
    <row r="742" spans="1:17" x14ac:dyDescent="0.25">
      <c r="A742" s="1"/>
      <c r="B742" s="1"/>
      <c r="C742" s="1"/>
      <c r="D742" s="1"/>
      <c r="E742" s="1"/>
      <c r="F742" s="1"/>
      <c r="G742" s="1"/>
      <c r="H742" s="1" t="s">
        <v>585</v>
      </c>
      <c r="I742" s="1"/>
      <c r="J742" s="1"/>
      <c r="K742" s="1"/>
      <c r="L742" s="1"/>
      <c r="M742" s="1"/>
      <c r="N742" s="1"/>
      <c r="O742" s="1"/>
      <c r="P742" s="1"/>
      <c r="Q742" s="1"/>
    </row>
    <row r="743" spans="1:17" x14ac:dyDescent="0.25">
      <c r="A743" s="1"/>
      <c r="B743" s="1"/>
      <c r="C743" s="1"/>
      <c r="D743" s="1"/>
      <c r="E743" s="1"/>
      <c r="F743" s="1"/>
      <c r="G743" s="1"/>
      <c r="H743" s="1" t="s">
        <v>585</v>
      </c>
      <c r="I743" s="1"/>
      <c r="J743" s="1"/>
      <c r="K743" s="1"/>
      <c r="L743" s="1"/>
      <c r="M743" s="1"/>
      <c r="N743" s="1"/>
      <c r="O743" s="1"/>
      <c r="P743" s="1"/>
      <c r="Q743" s="1"/>
    </row>
    <row r="744" spans="1:17" x14ac:dyDescent="0.25">
      <c r="A744" s="1"/>
      <c r="B744" s="1"/>
      <c r="C744" s="1"/>
      <c r="D744" s="1"/>
      <c r="E744" s="1"/>
      <c r="F744" s="1"/>
      <c r="G744" s="1"/>
      <c r="H744" s="1" t="s">
        <v>585</v>
      </c>
      <c r="I744" s="1"/>
      <c r="J744" s="1"/>
      <c r="K744" s="1"/>
      <c r="L744" s="1"/>
      <c r="M744" s="1"/>
      <c r="N744" s="1"/>
      <c r="O744" s="1"/>
      <c r="P744" s="1"/>
      <c r="Q744" s="1"/>
    </row>
    <row r="745" spans="1:17" x14ac:dyDescent="0.25">
      <c r="A745" s="1"/>
      <c r="B745" s="1"/>
      <c r="C745" s="1"/>
      <c r="D745" s="1"/>
      <c r="E745" s="1"/>
      <c r="F745" s="1"/>
      <c r="G745" s="1"/>
      <c r="H745" s="1" t="s">
        <v>585</v>
      </c>
      <c r="I745" s="1"/>
      <c r="J745" s="1"/>
      <c r="K745" s="1"/>
      <c r="L745" s="1"/>
      <c r="M745" s="1"/>
      <c r="N745" s="1"/>
      <c r="O745" s="1"/>
      <c r="P745" s="1"/>
      <c r="Q745" s="1"/>
    </row>
    <row r="746" spans="1:17" x14ac:dyDescent="0.25">
      <c r="A746" s="1"/>
      <c r="B746" s="1"/>
      <c r="C746" s="1"/>
      <c r="D746" s="1"/>
      <c r="E746" s="1"/>
      <c r="F746" s="1"/>
      <c r="G746" s="1"/>
      <c r="H746" s="1" t="s">
        <v>585</v>
      </c>
      <c r="I746" s="1"/>
      <c r="J746" s="1"/>
      <c r="K746" s="1"/>
      <c r="L746" s="1"/>
      <c r="M746" s="1"/>
      <c r="N746" s="1"/>
      <c r="O746" s="1"/>
      <c r="P746" s="1"/>
      <c r="Q746" s="1"/>
    </row>
    <row r="747" spans="1:17" x14ac:dyDescent="0.25">
      <c r="A747" s="1"/>
      <c r="B747" s="1"/>
      <c r="C747" s="1"/>
      <c r="D747" s="1"/>
      <c r="E747" s="1"/>
      <c r="F747" s="1"/>
      <c r="G747" s="1"/>
      <c r="H747" s="1" t="s">
        <v>585</v>
      </c>
      <c r="I747" s="1"/>
      <c r="J747" s="1"/>
      <c r="K747" s="1"/>
      <c r="L747" s="1"/>
      <c r="M747" s="1"/>
      <c r="N747" s="1"/>
      <c r="O747" s="1"/>
      <c r="P747" s="1"/>
      <c r="Q747" s="1"/>
    </row>
    <row r="748" spans="1:17" x14ac:dyDescent="0.25">
      <c r="A748" s="1"/>
      <c r="B748" s="1"/>
      <c r="C748" s="1"/>
      <c r="D748" s="1"/>
      <c r="E748" s="1"/>
      <c r="F748" s="1"/>
      <c r="G748" s="1"/>
      <c r="H748" s="1" t="s">
        <v>585</v>
      </c>
      <c r="I748" s="1"/>
      <c r="J748" s="1"/>
      <c r="K748" s="1"/>
      <c r="L748" s="1"/>
      <c r="M748" s="1"/>
      <c r="N748" s="1"/>
      <c r="O748" s="1"/>
      <c r="P748" s="1"/>
      <c r="Q748" s="1"/>
    </row>
    <row r="749" spans="1:17" x14ac:dyDescent="0.25">
      <c r="A749" s="1"/>
      <c r="B749" s="1"/>
      <c r="C749" s="1"/>
      <c r="D749" s="1"/>
      <c r="E749" s="1"/>
      <c r="F749" s="1"/>
      <c r="G749" s="1"/>
      <c r="H749" s="1" t="s">
        <v>585</v>
      </c>
      <c r="I749" s="1"/>
      <c r="J749" s="1"/>
      <c r="K749" s="1"/>
      <c r="L749" s="1"/>
      <c r="M749" s="1"/>
      <c r="N749" s="1"/>
      <c r="O749" s="1"/>
      <c r="P749" s="1"/>
      <c r="Q749" s="1"/>
    </row>
    <row r="750" spans="1:17" x14ac:dyDescent="0.25">
      <c r="A750" s="1"/>
      <c r="B750" s="1"/>
      <c r="C750" s="1"/>
      <c r="D750" s="1"/>
      <c r="E750" s="1"/>
      <c r="F750" s="1"/>
      <c r="G750" s="1"/>
      <c r="H750" s="1" t="s">
        <v>585</v>
      </c>
      <c r="I750" s="1"/>
      <c r="J750" s="1"/>
      <c r="K750" s="1"/>
      <c r="L750" s="1"/>
      <c r="M750" s="1"/>
      <c r="N750" s="1"/>
      <c r="O750" s="1"/>
      <c r="P750" s="1"/>
      <c r="Q750" s="1"/>
    </row>
    <row r="751" spans="1:17" x14ac:dyDescent="0.25">
      <c r="A751" s="1"/>
      <c r="B751" s="1"/>
      <c r="C751" s="1"/>
      <c r="D751" s="1"/>
      <c r="E751" s="1"/>
      <c r="F751" s="1"/>
      <c r="G751" s="1"/>
      <c r="H751" s="1" t="s">
        <v>585</v>
      </c>
      <c r="I751" s="1"/>
      <c r="J751" s="1"/>
      <c r="K751" s="1"/>
      <c r="L751" s="1"/>
      <c r="M751" s="1"/>
      <c r="N751" s="1"/>
      <c r="O751" s="1"/>
      <c r="P751" s="1"/>
      <c r="Q751" s="1"/>
    </row>
    <row r="752" spans="1:17" x14ac:dyDescent="0.25">
      <c r="A752" s="1"/>
      <c r="B752" s="1"/>
      <c r="C752" s="1"/>
      <c r="D752" s="1"/>
      <c r="E752" s="1"/>
      <c r="F752" s="1"/>
      <c r="G752" s="1"/>
      <c r="H752" s="1" t="s">
        <v>585</v>
      </c>
      <c r="I752" s="1"/>
      <c r="J752" s="1"/>
      <c r="K752" s="1"/>
      <c r="L752" s="1"/>
      <c r="M752" s="1"/>
      <c r="N752" s="1"/>
      <c r="O752" s="1"/>
      <c r="P752" s="1"/>
      <c r="Q752" s="1"/>
    </row>
    <row r="753" spans="1:17" x14ac:dyDescent="0.25">
      <c r="A753" s="1"/>
      <c r="B753" s="1"/>
      <c r="C753" s="1"/>
      <c r="D753" s="1"/>
      <c r="E753" s="1"/>
      <c r="F753" s="1"/>
      <c r="G753" s="1"/>
      <c r="H753" s="1" t="s">
        <v>585</v>
      </c>
      <c r="I753" s="1"/>
      <c r="J753" s="1"/>
      <c r="K753" s="1"/>
      <c r="L753" s="1"/>
      <c r="M753" s="1"/>
      <c r="N753" s="1"/>
      <c r="O753" s="1"/>
      <c r="P753" s="1"/>
      <c r="Q753" s="1"/>
    </row>
    <row r="754" spans="1:17" x14ac:dyDescent="0.25">
      <c r="A754" s="1"/>
      <c r="B754" s="1"/>
      <c r="C754" s="1"/>
      <c r="D754" s="1"/>
      <c r="E754" s="1"/>
      <c r="F754" s="1"/>
      <c r="G754" s="1"/>
      <c r="H754" s="1" t="s">
        <v>585</v>
      </c>
      <c r="I754" s="1"/>
      <c r="J754" s="1"/>
      <c r="K754" s="1"/>
      <c r="L754" s="1"/>
      <c r="M754" s="1"/>
      <c r="N754" s="1"/>
      <c r="O754" s="1"/>
      <c r="P754" s="1"/>
      <c r="Q754" s="1"/>
    </row>
    <row r="755" spans="1:17" x14ac:dyDescent="0.25">
      <c r="A755" s="1"/>
      <c r="B755" s="1"/>
      <c r="C755" s="1"/>
      <c r="D755" s="1"/>
      <c r="E755" s="1"/>
      <c r="F755" s="1"/>
      <c r="G755" s="1"/>
      <c r="H755" s="1" t="s">
        <v>585</v>
      </c>
      <c r="I755" s="1"/>
      <c r="J755" s="1"/>
      <c r="K755" s="1"/>
      <c r="L755" s="1"/>
      <c r="M755" s="1"/>
      <c r="N755" s="1"/>
      <c r="O755" s="1"/>
      <c r="P755" s="1"/>
      <c r="Q755" s="1"/>
    </row>
    <row r="756" spans="1:17" x14ac:dyDescent="0.25">
      <c r="A756" s="1"/>
      <c r="B756" s="1"/>
      <c r="C756" s="1"/>
      <c r="D756" s="1"/>
      <c r="E756" s="1"/>
      <c r="F756" s="1"/>
      <c r="G756" s="1"/>
      <c r="H756" s="1" t="s">
        <v>585</v>
      </c>
      <c r="I756" s="1"/>
      <c r="J756" s="1"/>
      <c r="K756" s="1"/>
      <c r="L756" s="1"/>
      <c r="M756" s="1"/>
      <c r="N756" s="1"/>
      <c r="O756" s="1"/>
      <c r="P756" s="1"/>
      <c r="Q756" s="1"/>
    </row>
    <row r="757" spans="1:17" x14ac:dyDescent="0.25">
      <c r="A757" s="1"/>
      <c r="B757" s="1"/>
      <c r="C757" s="1"/>
      <c r="D757" s="1"/>
      <c r="E757" s="1"/>
      <c r="F757" s="1"/>
      <c r="G757" s="1"/>
      <c r="H757" s="1" t="s">
        <v>585</v>
      </c>
      <c r="I757" s="1"/>
      <c r="J757" s="1"/>
      <c r="K757" s="1"/>
      <c r="L757" s="1"/>
      <c r="M757" s="1"/>
      <c r="N757" s="1"/>
      <c r="O757" s="1"/>
      <c r="P757" s="1"/>
      <c r="Q757" s="1"/>
    </row>
    <row r="758" spans="1:17" x14ac:dyDescent="0.25">
      <c r="A758" s="1"/>
      <c r="B758" s="1"/>
      <c r="C758" s="1"/>
      <c r="D758" s="1"/>
      <c r="E758" s="1"/>
      <c r="F758" s="1"/>
      <c r="G758" s="1"/>
      <c r="H758" s="1" t="s">
        <v>585</v>
      </c>
      <c r="I758" s="1"/>
      <c r="J758" s="1"/>
      <c r="K758" s="1"/>
      <c r="L758" s="1"/>
      <c r="M758" s="1"/>
      <c r="N758" s="1"/>
      <c r="O758" s="1"/>
      <c r="P758" s="1"/>
      <c r="Q758" s="1"/>
    </row>
    <row r="759" spans="1:17" x14ac:dyDescent="0.25">
      <c r="A759" s="1"/>
      <c r="B759" s="1"/>
      <c r="C759" s="1"/>
      <c r="D759" s="1"/>
      <c r="E759" s="1"/>
      <c r="F759" s="1"/>
      <c r="G759" s="1"/>
      <c r="H759" s="1" t="s">
        <v>585</v>
      </c>
      <c r="I759" s="1"/>
      <c r="J759" s="1"/>
      <c r="K759" s="1"/>
      <c r="L759" s="1"/>
      <c r="M759" s="1"/>
      <c r="N759" s="1"/>
      <c r="O759" s="1"/>
      <c r="P759" s="1"/>
      <c r="Q759" s="1"/>
    </row>
    <row r="760" spans="1:17" x14ac:dyDescent="0.25">
      <c r="A760" s="1"/>
      <c r="B760" s="1"/>
      <c r="C760" s="1"/>
      <c r="D760" s="1"/>
      <c r="E760" s="1"/>
      <c r="F760" s="1"/>
      <c r="G760" s="1"/>
      <c r="H760" s="1" t="s">
        <v>585</v>
      </c>
      <c r="I760" s="1"/>
      <c r="J760" s="1"/>
      <c r="K760" s="1"/>
      <c r="L760" s="1"/>
      <c r="M760" s="1"/>
      <c r="N760" s="1"/>
      <c r="O760" s="1"/>
      <c r="P760" s="1"/>
      <c r="Q760" s="1"/>
    </row>
    <row r="761" spans="1:17" x14ac:dyDescent="0.25">
      <c r="A761" s="1"/>
      <c r="B761" s="1"/>
      <c r="C761" s="1"/>
      <c r="D761" s="1"/>
      <c r="E761" s="1"/>
      <c r="F761" s="1"/>
      <c r="G761" s="1"/>
      <c r="H761" s="1" t="s">
        <v>585</v>
      </c>
      <c r="I761" s="1"/>
      <c r="J761" s="1"/>
      <c r="K761" s="1"/>
      <c r="L761" s="1"/>
      <c r="M761" s="1"/>
      <c r="N761" s="1"/>
      <c r="O761" s="1"/>
      <c r="P761" s="1"/>
      <c r="Q761" s="1"/>
    </row>
    <row r="762" spans="1:17" x14ac:dyDescent="0.25">
      <c r="A762" s="1"/>
      <c r="B762" s="1"/>
      <c r="C762" s="1"/>
      <c r="D762" s="1"/>
      <c r="E762" s="1"/>
      <c r="F762" s="1"/>
      <c r="G762" s="1"/>
      <c r="H762" s="1" t="s">
        <v>585</v>
      </c>
      <c r="I762" s="1"/>
      <c r="J762" s="1"/>
      <c r="K762" s="1"/>
      <c r="L762" s="1"/>
      <c r="M762" s="1"/>
      <c r="N762" s="1"/>
      <c r="O762" s="1"/>
      <c r="P762" s="1"/>
      <c r="Q762" s="1"/>
    </row>
    <row r="763" spans="1:17" x14ac:dyDescent="0.25">
      <c r="A763" s="1"/>
      <c r="B763" s="1"/>
      <c r="C763" s="1"/>
      <c r="D763" s="1"/>
      <c r="E763" s="1"/>
      <c r="F763" s="1"/>
      <c r="G763" s="1"/>
      <c r="H763" s="1" t="s">
        <v>585</v>
      </c>
      <c r="I763" s="1"/>
      <c r="J763" s="1"/>
      <c r="K763" s="1"/>
      <c r="L763" s="1"/>
      <c r="M763" s="1"/>
      <c r="N763" s="1"/>
      <c r="O763" s="1"/>
      <c r="P763" s="1"/>
      <c r="Q763" s="1"/>
    </row>
    <row r="764" spans="1:17" x14ac:dyDescent="0.25">
      <c r="A764" s="1"/>
      <c r="B764" s="1"/>
      <c r="C764" s="1"/>
      <c r="D764" s="1"/>
      <c r="E764" s="1"/>
      <c r="F764" s="1"/>
      <c r="G764" s="1"/>
      <c r="H764" s="1" t="s">
        <v>585</v>
      </c>
      <c r="I764" s="1"/>
      <c r="J764" s="1"/>
      <c r="K764" s="1"/>
      <c r="L764" s="1"/>
      <c r="M764" s="1"/>
      <c r="N764" s="1"/>
      <c r="O764" s="1"/>
      <c r="P764" s="1"/>
      <c r="Q764" s="1"/>
    </row>
    <row r="765" spans="1:17" x14ac:dyDescent="0.25">
      <c r="A765" s="1"/>
      <c r="B765" s="1"/>
      <c r="C765" s="1"/>
      <c r="D765" s="1"/>
      <c r="E765" s="1"/>
      <c r="F765" s="1"/>
      <c r="G765" s="1"/>
      <c r="H765" s="1" t="s">
        <v>585</v>
      </c>
      <c r="I765" s="1"/>
      <c r="J765" s="1"/>
      <c r="K765" s="1"/>
      <c r="L765" s="1"/>
      <c r="M765" s="1"/>
      <c r="N765" s="1"/>
      <c r="O765" s="1"/>
      <c r="P765" s="1"/>
      <c r="Q765" s="1"/>
    </row>
    <row r="766" spans="1:17" x14ac:dyDescent="0.25">
      <c r="A766" s="1"/>
      <c r="B766" s="1"/>
      <c r="C766" s="1"/>
      <c r="D766" s="1"/>
      <c r="E766" s="1"/>
      <c r="F766" s="1"/>
      <c r="G766" s="1"/>
      <c r="H766" s="1" t="s">
        <v>585</v>
      </c>
      <c r="I766" s="1"/>
      <c r="J766" s="1"/>
      <c r="K766" s="1"/>
      <c r="L766" s="1"/>
      <c r="M766" s="1"/>
      <c r="N766" s="1"/>
      <c r="O766" s="1"/>
      <c r="P766" s="1"/>
      <c r="Q766" s="1"/>
    </row>
    <row r="767" spans="1:17" x14ac:dyDescent="0.25">
      <c r="A767" s="1"/>
      <c r="B767" s="1"/>
      <c r="C767" s="1"/>
      <c r="D767" s="1"/>
      <c r="E767" s="1"/>
      <c r="F767" s="1"/>
      <c r="G767" s="1"/>
      <c r="H767" s="1" t="s">
        <v>585</v>
      </c>
      <c r="I767" s="1"/>
      <c r="J767" s="1"/>
      <c r="K767" s="1"/>
      <c r="L767" s="1"/>
      <c r="M767" s="1"/>
      <c r="N767" s="1"/>
      <c r="O767" s="1"/>
      <c r="P767" s="1"/>
      <c r="Q767" s="1"/>
    </row>
    <row r="768" spans="1:17" x14ac:dyDescent="0.25">
      <c r="A768" s="1"/>
      <c r="B768" s="1"/>
      <c r="C768" s="1"/>
      <c r="D768" s="1"/>
      <c r="E768" s="1"/>
      <c r="F768" s="1"/>
      <c r="G768" s="1"/>
      <c r="H768" s="1" t="s">
        <v>585</v>
      </c>
      <c r="I768" s="1"/>
      <c r="J768" s="1"/>
      <c r="K768" s="1"/>
      <c r="L768" s="1"/>
      <c r="M768" s="1"/>
      <c r="N768" s="1"/>
      <c r="O768" s="1"/>
      <c r="P768" s="1"/>
      <c r="Q768" s="1"/>
    </row>
    <row r="769" spans="1:17" x14ac:dyDescent="0.25">
      <c r="A769" s="1"/>
      <c r="B769" s="1"/>
      <c r="C769" s="1"/>
      <c r="D769" s="1"/>
      <c r="E769" s="1"/>
      <c r="F769" s="1"/>
      <c r="G769" s="1"/>
      <c r="H769" s="1" t="s">
        <v>585</v>
      </c>
      <c r="I769" s="1"/>
      <c r="J769" s="1"/>
      <c r="K769" s="1"/>
      <c r="L769" s="1"/>
      <c r="M769" s="1"/>
      <c r="N769" s="1"/>
      <c r="O769" s="1"/>
      <c r="P769" s="1"/>
      <c r="Q769" s="1"/>
    </row>
    <row r="770" spans="1:17" x14ac:dyDescent="0.25">
      <c r="A770" s="1"/>
      <c r="B770" s="1"/>
      <c r="C770" s="1"/>
      <c r="D770" s="1"/>
      <c r="E770" s="1"/>
      <c r="F770" s="1"/>
      <c r="G770" s="1"/>
      <c r="H770" s="1" t="s">
        <v>585</v>
      </c>
      <c r="I770" s="1"/>
      <c r="J770" s="1"/>
      <c r="K770" s="1"/>
      <c r="L770" s="1"/>
      <c r="M770" s="1"/>
      <c r="N770" s="1"/>
      <c r="O770" s="1"/>
      <c r="P770" s="1"/>
      <c r="Q770" s="1"/>
    </row>
    <row r="771" spans="1:17" x14ac:dyDescent="0.25">
      <c r="A771" s="1"/>
      <c r="B771" s="1"/>
      <c r="C771" s="1"/>
      <c r="D771" s="1"/>
      <c r="E771" s="1"/>
      <c r="F771" s="1"/>
      <c r="G771" s="1"/>
      <c r="H771" s="1" t="s">
        <v>585</v>
      </c>
      <c r="I771" s="1"/>
      <c r="J771" s="1"/>
      <c r="K771" s="1"/>
      <c r="L771" s="1"/>
      <c r="M771" s="1"/>
      <c r="N771" s="1"/>
      <c r="O771" s="1"/>
      <c r="P771" s="1"/>
      <c r="Q771" s="1"/>
    </row>
    <row r="772" spans="1:17" x14ac:dyDescent="0.25">
      <c r="A772" s="1"/>
      <c r="B772" s="1"/>
      <c r="C772" s="1"/>
      <c r="D772" s="1"/>
      <c r="E772" s="1"/>
      <c r="F772" s="1"/>
      <c r="G772" s="1"/>
      <c r="H772" s="1" t="s">
        <v>585</v>
      </c>
      <c r="I772" s="1"/>
      <c r="J772" s="1"/>
      <c r="K772" s="1"/>
      <c r="L772" s="1"/>
      <c r="M772" s="1"/>
      <c r="N772" s="1"/>
      <c r="O772" s="1"/>
      <c r="P772" s="1"/>
      <c r="Q772" s="1"/>
    </row>
    <row r="773" spans="1:17" x14ac:dyDescent="0.25">
      <c r="A773" s="1"/>
      <c r="B773" s="1"/>
      <c r="C773" s="1"/>
      <c r="D773" s="1"/>
      <c r="E773" s="1"/>
      <c r="F773" s="1"/>
      <c r="G773" s="1"/>
      <c r="H773" s="1" t="s">
        <v>585</v>
      </c>
      <c r="I773" s="1"/>
      <c r="J773" s="1"/>
      <c r="K773" s="1"/>
      <c r="L773" s="1"/>
      <c r="M773" s="1"/>
      <c r="N773" s="1"/>
      <c r="O773" s="1"/>
      <c r="P773" s="1"/>
      <c r="Q773" s="1"/>
    </row>
    <row r="774" spans="1:17" x14ac:dyDescent="0.25">
      <c r="A774" s="1"/>
      <c r="B774" s="1"/>
      <c r="C774" s="1"/>
      <c r="D774" s="1"/>
      <c r="E774" s="1"/>
      <c r="F774" s="1"/>
      <c r="G774" s="1"/>
      <c r="H774" s="1" t="s">
        <v>585</v>
      </c>
      <c r="I774" s="1"/>
      <c r="J774" s="1"/>
      <c r="K774" s="1"/>
      <c r="L774" s="1"/>
      <c r="M774" s="1"/>
      <c r="N774" s="1"/>
      <c r="O774" s="1"/>
      <c r="P774" s="1"/>
      <c r="Q774" s="1"/>
    </row>
    <row r="775" spans="1:17" x14ac:dyDescent="0.25">
      <c r="A775" s="1"/>
      <c r="B775" s="1"/>
      <c r="C775" s="1"/>
      <c r="D775" s="1"/>
      <c r="E775" s="1"/>
      <c r="F775" s="1"/>
      <c r="G775" s="1"/>
      <c r="H775" s="1" t="s">
        <v>585</v>
      </c>
      <c r="I775" s="1"/>
      <c r="J775" s="1"/>
      <c r="K775" s="1"/>
      <c r="L775" s="1"/>
      <c r="M775" s="1"/>
      <c r="N775" s="1"/>
      <c r="O775" s="1"/>
      <c r="P775" s="1"/>
      <c r="Q775" s="1"/>
    </row>
    <row r="776" spans="1:17" x14ac:dyDescent="0.25">
      <c r="A776" s="1"/>
      <c r="B776" s="1"/>
      <c r="C776" s="1"/>
      <c r="D776" s="1"/>
      <c r="E776" s="1"/>
      <c r="F776" s="1"/>
      <c r="G776" s="1"/>
      <c r="H776" s="1" t="s">
        <v>585</v>
      </c>
      <c r="I776" s="1"/>
      <c r="J776" s="1"/>
      <c r="K776" s="1"/>
      <c r="L776" s="1"/>
      <c r="M776" s="1"/>
      <c r="N776" s="1"/>
      <c r="O776" s="1"/>
      <c r="P776" s="1"/>
      <c r="Q776" s="1"/>
    </row>
    <row r="777" spans="1:17" x14ac:dyDescent="0.25">
      <c r="A777" s="1"/>
      <c r="B777" s="1"/>
      <c r="C777" s="1"/>
      <c r="D777" s="1"/>
      <c r="E777" s="1"/>
      <c r="F777" s="1"/>
      <c r="G777" s="1"/>
      <c r="H777" s="1" t="s">
        <v>585</v>
      </c>
      <c r="I777" s="1"/>
      <c r="J777" s="1"/>
      <c r="K777" s="1"/>
      <c r="L777" s="1"/>
      <c r="M777" s="1"/>
      <c r="N777" s="1"/>
      <c r="O777" s="1"/>
      <c r="P777" s="1"/>
      <c r="Q777" s="1"/>
    </row>
    <row r="778" spans="1:17" x14ac:dyDescent="0.25">
      <c r="A778" s="1"/>
      <c r="B778" s="1"/>
      <c r="C778" s="1"/>
      <c r="D778" s="1"/>
      <c r="E778" s="1"/>
      <c r="F778" s="1"/>
      <c r="G778" s="1"/>
      <c r="H778" s="1" t="s">
        <v>585</v>
      </c>
      <c r="I778" s="1"/>
      <c r="J778" s="1"/>
      <c r="K778" s="1"/>
      <c r="L778" s="1"/>
      <c r="M778" s="1"/>
      <c r="N778" s="1"/>
      <c r="O778" s="1"/>
      <c r="P778" s="1"/>
      <c r="Q778" s="1"/>
    </row>
    <row r="779" spans="1:17" x14ac:dyDescent="0.25">
      <c r="A779" s="1"/>
      <c r="B779" s="1"/>
      <c r="C779" s="1"/>
      <c r="D779" s="1"/>
      <c r="E779" s="1"/>
      <c r="F779" s="1"/>
      <c r="G779" s="1"/>
      <c r="H779" s="1" t="s">
        <v>585</v>
      </c>
      <c r="I779" s="1"/>
      <c r="J779" s="1"/>
      <c r="K779" s="1"/>
      <c r="L779" s="1"/>
      <c r="M779" s="1"/>
      <c r="N779" s="1"/>
      <c r="O779" s="1"/>
      <c r="P779" s="1"/>
      <c r="Q779" s="1"/>
    </row>
    <row r="780" spans="1:17" x14ac:dyDescent="0.25">
      <c r="A780" s="1"/>
      <c r="B780" s="1"/>
      <c r="C780" s="1"/>
      <c r="D780" s="1"/>
      <c r="E780" s="1"/>
      <c r="F780" s="1"/>
      <c r="G780" s="1"/>
      <c r="H780" s="1" t="s">
        <v>585</v>
      </c>
      <c r="I780" s="1"/>
      <c r="J780" s="1"/>
      <c r="K780" s="1"/>
      <c r="L780" s="1"/>
      <c r="M780" s="1"/>
      <c r="N780" s="1"/>
      <c r="O780" s="1"/>
      <c r="P780" s="1"/>
      <c r="Q780" s="1"/>
    </row>
    <row r="781" spans="1:17" x14ac:dyDescent="0.25">
      <c r="A781" s="1"/>
      <c r="B781" s="1"/>
      <c r="C781" s="1"/>
      <c r="D781" s="1"/>
      <c r="E781" s="1"/>
      <c r="F781" s="1"/>
      <c r="G781" s="1"/>
      <c r="H781" s="1" t="s">
        <v>585</v>
      </c>
      <c r="I781" s="1"/>
      <c r="J781" s="1"/>
      <c r="K781" s="1"/>
      <c r="L781" s="1"/>
      <c r="M781" s="1"/>
      <c r="N781" s="1"/>
      <c r="O781" s="1"/>
      <c r="P781" s="1"/>
      <c r="Q781" s="1"/>
    </row>
    <row r="782" spans="1:17" x14ac:dyDescent="0.25">
      <c r="A782" s="1"/>
      <c r="B782" s="1"/>
      <c r="C782" s="1"/>
      <c r="D782" s="1"/>
      <c r="E782" s="1"/>
      <c r="F782" s="1"/>
      <c r="G782" s="1"/>
      <c r="H782" s="1" t="s">
        <v>585</v>
      </c>
      <c r="I782" s="1"/>
      <c r="J782" s="1"/>
      <c r="K782" s="1"/>
      <c r="L782" s="1"/>
      <c r="M782" s="1"/>
      <c r="N782" s="1"/>
      <c r="O782" s="1"/>
      <c r="P782" s="1"/>
      <c r="Q782" s="1"/>
    </row>
    <row r="783" spans="1:17" x14ac:dyDescent="0.25">
      <c r="A783" s="1"/>
      <c r="B783" s="1"/>
      <c r="C783" s="1"/>
      <c r="D783" s="1"/>
      <c r="E783" s="1"/>
      <c r="F783" s="1"/>
      <c r="G783" s="1"/>
      <c r="H783" s="1" t="s">
        <v>585</v>
      </c>
      <c r="I783" s="1"/>
      <c r="J783" s="1"/>
      <c r="K783" s="1"/>
      <c r="L783" s="1"/>
      <c r="M783" s="1"/>
      <c r="N783" s="1"/>
      <c r="O783" s="1"/>
      <c r="P783" s="1"/>
      <c r="Q783" s="1"/>
    </row>
    <row r="784" spans="1:17" x14ac:dyDescent="0.25">
      <c r="A784" s="1"/>
      <c r="B784" s="1"/>
      <c r="C784" s="1"/>
      <c r="D784" s="1"/>
      <c r="E784" s="1"/>
      <c r="F784" s="1"/>
      <c r="G784" s="1"/>
      <c r="H784" s="1" t="s">
        <v>585</v>
      </c>
      <c r="I784" s="1"/>
      <c r="J784" s="1"/>
      <c r="K784" s="1"/>
      <c r="L784" s="1"/>
      <c r="M784" s="1"/>
      <c r="N784" s="1"/>
      <c r="O784" s="1"/>
      <c r="P784" s="1"/>
      <c r="Q784" s="1"/>
    </row>
    <row r="785" spans="1:17" x14ac:dyDescent="0.25">
      <c r="A785" s="1"/>
      <c r="B785" s="1"/>
      <c r="C785" s="1"/>
      <c r="D785" s="1"/>
      <c r="E785" s="1"/>
      <c r="F785" s="1"/>
      <c r="G785" s="1"/>
      <c r="H785" s="1" t="s">
        <v>585</v>
      </c>
      <c r="I785" s="1"/>
      <c r="J785" s="1"/>
      <c r="K785" s="1"/>
      <c r="L785" s="1"/>
      <c r="M785" s="1"/>
      <c r="N785" s="1"/>
      <c r="O785" s="1"/>
      <c r="P785" s="1"/>
      <c r="Q785" s="1"/>
    </row>
    <row r="786" spans="1:17" x14ac:dyDescent="0.25">
      <c r="A786" s="1"/>
      <c r="B786" s="1"/>
      <c r="C786" s="1"/>
      <c r="D786" s="1"/>
      <c r="E786" s="1"/>
      <c r="F786" s="1"/>
      <c r="G786" s="1"/>
      <c r="H786" s="1" t="s">
        <v>585</v>
      </c>
      <c r="I786" s="1"/>
      <c r="J786" s="1"/>
      <c r="K786" s="1"/>
      <c r="L786" s="1"/>
      <c r="M786" s="1"/>
      <c r="N786" s="1"/>
      <c r="O786" s="1"/>
      <c r="P786" s="1"/>
      <c r="Q786" s="1"/>
    </row>
    <row r="787" spans="1:17" x14ac:dyDescent="0.25">
      <c r="A787" s="1"/>
      <c r="B787" s="1"/>
      <c r="C787" s="1"/>
      <c r="D787" s="1"/>
      <c r="E787" s="1"/>
      <c r="F787" s="1"/>
      <c r="G787" s="1"/>
      <c r="H787" s="1" t="s">
        <v>585</v>
      </c>
      <c r="I787" s="1"/>
      <c r="J787" s="1"/>
      <c r="K787" s="1"/>
      <c r="L787" s="1"/>
      <c r="M787" s="1"/>
      <c r="N787" s="1"/>
      <c r="O787" s="1"/>
      <c r="P787" s="1"/>
      <c r="Q787" s="1"/>
    </row>
    <row r="788" spans="1:17" x14ac:dyDescent="0.25">
      <c r="A788" s="1"/>
      <c r="B788" s="1"/>
      <c r="C788" s="1"/>
      <c r="D788" s="1"/>
      <c r="E788" s="1"/>
      <c r="F788" s="1"/>
      <c r="G788" s="1"/>
      <c r="H788" s="1" t="s">
        <v>585</v>
      </c>
      <c r="I788" s="1"/>
      <c r="J788" s="1"/>
      <c r="K788" s="1"/>
      <c r="L788" s="1"/>
      <c r="M788" s="1"/>
      <c r="N788" s="1"/>
      <c r="O788" s="1"/>
      <c r="P788" s="1"/>
      <c r="Q788" s="1"/>
    </row>
    <row r="789" spans="1:17" x14ac:dyDescent="0.25">
      <c r="A789" s="1"/>
      <c r="B789" s="1"/>
      <c r="C789" s="1"/>
      <c r="D789" s="1"/>
      <c r="E789" s="1"/>
      <c r="F789" s="1"/>
      <c r="G789" s="1"/>
      <c r="H789" s="1" t="s">
        <v>585</v>
      </c>
      <c r="I789" s="1"/>
      <c r="J789" s="1"/>
      <c r="K789" s="1"/>
      <c r="L789" s="1"/>
      <c r="M789" s="1"/>
      <c r="N789" s="1"/>
      <c r="O789" s="1"/>
      <c r="P789" s="1"/>
      <c r="Q789" s="1"/>
    </row>
    <row r="790" spans="1:17" x14ac:dyDescent="0.25">
      <c r="A790" s="1"/>
      <c r="B790" s="1"/>
      <c r="C790" s="1"/>
      <c r="D790" s="1"/>
      <c r="E790" s="1"/>
      <c r="F790" s="1"/>
      <c r="G790" s="1"/>
      <c r="H790" s="1" t="s">
        <v>585</v>
      </c>
      <c r="I790" s="1"/>
      <c r="J790" s="1"/>
      <c r="K790" s="1"/>
      <c r="L790" s="1"/>
      <c r="M790" s="1"/>
      <c r="N790" s="1"/>
      <c r="O790" s="1"/>
      <c r="P790" s="1"/>
      <c r="Q790" s="1"/>
    </row>
    <row r="791" spans="1:17" x14ac:dyDescent="0.25">
      <c r="A791" s="1"/>
      <c r="B791" s="1"/>
      <c r="C791" s="1"/>
      <c r="D791" s="1"/>
      <c r="E791" s="1"/>
      <c r="F791" s="1"/>
      <c r="G791" s="1"/>
      <c r="H791" s="1" t="s">
        <v>585</v>
      </c>
      <c r="I791" s="1"/>
      <c r="J791" s="1"/>
      <c r="K791" s="1"/>
      <c r="L791" s="1"/>
      <c r="M791" s="1"/>
      <c r="N791" s="1"/>
      <c r="O791" s="1"/>
      <c r="P791" s="1"/>
      <c r="Q791" s="1"/>
    </row>
    <row r="792" spans="1:17" x14ac:dyDescent="0.25">
      <c r="A792" s="1"/>
      <c r="B792" s="1"/>
      <c r="C792" s="1"/>
      <c r="D792" s="1"/>
      <c r="E792" s="1"/>
      <c r="F792" s="1"/>
      <c r="G792" s="1"/>
      <c r="H792" s="1" t="s">
        <v>585</v>
      </c>
      <c r="I792" s="1"/>
      <c r="J792" s="1"/>
      <c r="K792" s="1"/>
      <c r="L792" s="1"/>
      <c r="M792" s="1"/>
      <c r="N792" s="1"/>
      <c r="O792" s="1"/>
      <c r="P792" s="1"/>
      <c r="Q792" s="1"/>
    </row>
    <row r="793" spans="1:17" x14ac:dyDescent="0.25">
      <c r="A793" s="1"/>
      <c r="B793" s="1"/>
      <c r="C793" s="1"/>
      <c r="D793" s="1"/>
      <c r="E793" s="1"/>
      <c r="F793" s="1"/>
      <c r="G793" s="1"/>
      <c r="H793" s="1" t="s">
        <v>585</v>
      </c>
      <c r="I793" s="1"/>
      <c r="J793" s="1"/>
      <c r="K793" s="1"/>
      <c r="L793" s="1"/>
      <c r="M793" s="1"/>
      <c r="N793" s="1"/>
      <c r="O793" s="1"/>
      <c r="P793" s="1"/>
      <c r="Q793" s="1"/>
    </row>
    <row r="794" spans="1:17" x14ac:dyDescent="0.25">
      <c r="A794" s="1"/>
      <c r="B794" s="1"/>
      <c r="C794" s="1"/>
      <c r="D794" s="1"/>
      <c r="E794" s="1"/>
      <c r="F794" s="1"/>
      <c r="G794" s="1"/>
      <c r="H794" s="1" t="s">
        <v>585</v>
      </c>
      <c r="I794" s="1"/>
      <c r="J794" s="1"/>
      <c r="K794" s="1"/>
      <c r="L794" s="1"/>
      <c r="M794" s="1"/>
      <c r="N794" s="1"/>
      <c r="O794" s="1"/>
      <c r="P794" s="1"/>
      <c r="Q794" s="1"/>
    </row>
    <row r="795" spans="1:17" x14ac:dyDescent="0.25">
      <c r="A795" s="1"/>
      <c r="B795" s="1"/>
      <c r="C795" s="1"/>
      <c r="D795" s="1"/>
      <c r="E795" s="1"/>
      <c r="F795" s="1"/>
      <c r="G795" s="1"/>
      <c r="H795" s="1" t="s">
        <v>585</v>
      </c>
      <c r="I795" s="1"/>
      <c r="J795" s="1"/>
      <c r="K795" s="1"/>
      <c r="L795" s="1"/>
      <c r="M795" s="1"/>
      <c r="N795" s="1"/>
      <c r="O795" s="1"/>
      <c r="P795" s="1"/>
      <c r="Q795" s="1"/>
    </row>
    <row r="796" spans="1:17" x14ac:dyDescent="0.25">
      <c r="A796" s="1"/>
      <c r="B796" s="1"/>
      <c r="C796" s="1"/>
      <c r="D796" s="1"/>
      <c r="E796" s="1"/>
      <c r="F796" s="1"/>
      <c r="G796" s="1"/>
      <c r="H796" s="1" t="s">
        <v>585</v>
      </c>
      <c r="I796" s="1"/>
      <c r="J796" s="1"/>
      <c r="K796" s="1"/>
      <c r="L796" s="1"/>
      <c r="M796" s="1"/>
      <c r="N796" s="1"/>
      <c r="O796" s="1"/>
      <c r="P796" s="1"/>
      <c r="Q796" s="1"/>
    </row>
    <row r="797" spans="1:17" x14ac:dyDescent="0.25">
      <c r="A797" s="1"/>
      <c r="B797" s="1"/>
      <c r="C797" s="1"/>
      <c r="D797" s="1"/>
      <c r="E797" s="1"/>
      <c r="F797" s="1"/>
      <c r="G797" s="1"/>
      <c r="H797" s="1" t="s">
        <v>585</v>
      </c>
      <c r="I797" s="1"/>
      <c r="J797" s="1"/>
      <c r="K797" s="1"/>
      <c r="L797" s="1"/>
      <c r="M797" s="1"/>
      <c r="N797" s="1"/>
      <c r="O797" s="1"/>
      <c r="P797" s="1"/>
      <c r="Q797" s="1"/>
    </row>
    <row r="798" spans="1:17" x14ac:dyDescent="0.25">
      <c r="A798" s="1"/>
      <c r="B798" s="1"/>
      <c r="C798" s="1"/>
      <c r="D798" s="1"/>
      <c r="E798" s="1"/>
      <c r="F798" s="1"/>
      <c r="G798" s="1"/>
      <c r="H798" s="1" t="s">
        <v>585</v>
      </c>
      <c r="I798" s="1"/>
      <c r="J798" s="1"/>
      <c r="K798" s="1"/>
      <c r="L798" s="1"/>
      <c r="M798" s="1"/>
      <c r="N798" s="1"/>
      <c r="O798" s="1"/>
      <c r="P798" s="1"/>
      <c r="Q798" s="1"/>
    </row>
    <row r="799" spans="1:17" x14ac:dyDescent="0.25">
      <c r="A799" s="1"/>
      <c r="B799" s="1"/>
      <c r="C799" s="1"/>
      <c r="D799" s="1"/>
      <c r="E799" s="1"/>
      <c r="F799" s="1"/>
      <c r="G799" s="1"/>
      <c r="H799" s="1" t="s">
        <v>585</v>
      </c>
      <c r="I799" s="1"/>
      <c r="J799" s="1"/>
      <c r="K799" s="1"/>
      <c r="L799" s="1"/>
      <c r="M799" s="1"/>
      <c r="N799" s="1"/>
      <c r="O799" s="1"/>
      <c r="P799" s="1"/>
      <c r="Q799" s="1"/>
    </row>
    <row r="800" spans="1:17" x14ac:dyDescent="0.25">
      <c r="A800" s="1"/>
      <c r="B800" s="1"/>
      <c r="C800" s="1"/>
      <c r="D800" s="1"/>
      <c r="E800" s="1"/>
      <c r="F800" s="1"/>
      <c r="G800" s="1"/>
      <c r="H800" s="1" t="s">
        <v>585</v>
      </c>
      <c r="I800" s="1"/>
      <c r="J800" s="1"/>
      <c r="K800" s="1"/>
      <c r="L800" s="1"/>
      <c r="M800" s="1"/>
      <c r="N800" s="1"/>
      <c r="O800" s="1"/>
      <c r="P800" s="1"/>
      <c r="Q800" s="1"/>
    </row>
    <row r="801" spans="1:17" x14ac:dyDescent="0.25">
      <c r="A801" s="1"/>
      <c r="B801" s="1"/>
      <c r="C801" s="1"/>
      <c r="D801" s="1"/>
      <c r="E801" s="1"/>
      <c r="F801" s="1"/>
      <c r="G801" s="1"/>
      <c r="H801" s="1" t="s">
        <v>585</v>
      </c>
      <c r="I801" s="1"/>
      <c r="J801" s="1"/>
      <c r="K801" s="1"/>
      <c r="L801" s="1"/>
      <c r="M801" s="1"/>
      <c r="N801" s="1"/>
      <c r="O801" s="1"/>
      <c r="P801" s="1"/>
      <c r="Q801" s="1"/>
    </row>
    <row r="802" spans="1:17" x14ac:dyDescent="0.25">
      <c r="A802" s="1"/>
      <c r="B802" s="1"/>
      <c r="C802" s="1"/>
      <c r="D802" s="1"/>
      <c r="E802" s="1"/>
      <c r="F802" s="1"/>
      <c r="G802" s="1"/>
      <c r="H802" s="1" t="s">
        <v>585</v>
      </c>
      <c r="I802" s="1"/>
      <c r="J802" s="1"/>
      <c r="K802" s="1"/>
      <c r="L802" s="1"/>
      <c r="M802" s="1"/>
      <c r="N802" s="1"/>
      <c r="O802" s="1"/>
      <c r="P802" s="1"/>
      <c r="Q802" s="1"/>
    </row>
    <row r="803" spans="1:17" x14ac:dyDescent="0.25">
      <c r="A803" s="1"/>
      <c r="B803" s="1"/>
      <c r="C803" s="1"/>
      <c r="D803" s="1"/>
      <c r="E803" s="1"/>
      <c r="F803" s="1"/>
      <c r="G803" s="1"/>
      <c r="H803" s="1" t="s">
        <v>585</v>
      </c>
      <c r="I803" s="1"/>
      <c r="J803" s="1"/>
      <c r="K803" s="1"/>
      <c r="L803" s="1"/>
      <c r="M803" s="1"/>
      <c r="N803" s="1"/>
      <c r="O803" s="1"/>
      <c r="P803" s="1"/>
      <c r="Q803" s="1"/>
    </row>
    <row r="804" spans="1:17" x14ac:dyDescent="0.25">
      <c r="A804" s="1"/>
      <c r="B804" s="1"/>
      <c r="C804" s="1"/>
      <c r="D804" s="1"/>
      <c r="E804" s="1"/>
      <c r="F804" s="1"/>
      <c r="G804" s="1"/>
      <c r="H804" s="1" t="s">
        <v>585</v>
      </c>
      <c r="I804" s="1"/>
      <c r="J804" s="1"/>
      <c r="K804" s="1"/>
      <c r="L804" s="1"/>
      <c r="M804" s="1"/>
      <c r="N804" s="1"/>
      <c r="O804" s="1"/>
      <c r="P804" s="1"/>
      <c r="Q804" s="1"/>
    </row>
    <row r="805" spans="1:17" x14ac:dyDescent="0.25">
      <c r="A805" s="1"/>
      <c r="B805" s="1"/>
      <c r="C805" s="1"/>
      <c r="D805" s="1"/>
      <c r="E805" s="1"/>
      <c r="F805" s="1"/>
      <c r="G805" s="1"/>
      <c r="H805" s="1" t="s">
        <v>585</v>
      </c>
      <c r="I805" s="1"/>
      <c r="J805" s="1"/>
      <c r="K805" s="1"/>
      <c r="L805" s="1"/>
      <c r="M805" s="1"/>
      <c r="N805" s="1"/>
      <c r="O805" s="1"/>
      <c r="P805" s="1"/>
      <c r="Q805" s="1"/>
    </row>
    <row r="806" spans="1:17" x14ac:dyDescent="0.25">
      <c r="A806" s="1"/>
      <c r="B806" s="1"/>
      <c r="C806" s="1"/>
      <c r="D806" s="1"/>
      <c r="E806" s="1"/>
      <c r="F806" s="1"/>
      <c r="G806" s="1"/>
      <c r="H806" s="1" t="s">
        <v>585</v>
      </c>
      <c r="I806" s="1"/>
      <c r="J806" s="1"/>
      <c r="K806" s="1"/>
      <c r="L806" s="1"/>
      <c r="M806" s="1"/>
      <c r="N806" s="1"/>
      <c r="O806" s="1"/>
      <c r="P806" s="1"/>
      <c r="Q806" s="1"/>
    </row>
    <row r="807" spans="1:17" x14ac:dyDescent="0.25">
      <c r="A807" s="1"/>
      <c r="B807" s="1"/>
      <c r="C807" s="1"/>
      <c r="D807" s="1"/>
      <c r="E807" s="1"/>
      <c r="F807" s="1"/>
      <c r="G807" s="1"/>
      <c r="H807" s="1" t="s">
        <v>585</v>
      </c>
      <c r="I807" s="1"/>
      <c r="J807" s="1"/>
      <c r="K807" s="1"/>
      <c r="L807" s="1"/>
      <c r="M807" s="1"/>
      <c r="N807" s="1"/>
      <c r="O807" s="1"/>
      <c r="P807" s="1"/>
      <c r="Q807" s="1"/>
    </row>
    <row r="808" spans="1:17" x14ac:dyDescent="0.25">
      <c r="A808" s="1"/>
      <c r="B808" s="1"/>
      <c r="C808" s="1"/>
      <c r="D808" s="1"/>
      <c r="E808" s="1"/>
      <c r="F808" s="1"/>
      <c r="G808" s="1"/>
      <c r="H808" s="1" t="s">
        <v>585</v>
      </c>
      <c r="I808" s="1"/>
      <c r="J808" s="1"/>
      <c r="K808" s="1"/>
      <c r="L808" s="1"/>
      <c r="M808" s="1"/>
      <c r="N808" s="1"/>
      <c r="O808" s="1"/>
      <c r="P808" s="1"/>
      <c r="Q808" s="1"/>
    </row>
    <row r="809" spans="1:17" x14ac:dyDescent="0.25">
      <c r="A809" s="1"/>
      <c r="B809" s="1"/>
      <c r="C809" s="1"/>
      <c r="D809" s="1"/>
      <c r="E809" s="1"/>
      <c r="F809" s="1"/>
      <c r="G809" s="1"/>
      <c r="H809" s="1" t="s">
        <v>585</v>
      </c>
      <c r="I809" s="1"/>
      <c r="J809" s="1"/>
      <c r="K809" s="1"/>
      <c r="L809" s="1"/>
      <c r="M809" s="1"/>
      <c r="N809" s="1"/>
      <c r="O809" s="1"/>
      <c r="P809" s="1"/>
      <c r="Q809" s="1"/>
    </row>
    <row r="810" spans="1:17" x14ac:dyDescent="0.25">
      <c r="A810" s="1"/>
      <c r="B810" s="1"/>
      <c r="C810" s="1"/>
      <c r="D810" s="1"/>
      <c r="E810" s="1"/>
      <c r="F810" s="1"/>
      <c r="G810" s="1"/>
      <c r="H810" s="1" t="s">
        <v>585</v>
      </c>
      <c r="I810" s="1"/>
      <c r="J810" s="1"/>
      <c r="K810" s="1"/>
      <c r="L810" s="1"/>
      <c r="M810" s="1"/>
      <c r="N810" s="1"/>
      <c r="O810" s="1"/>
      <c r="P810" s="1"/>
      <c r="Q810" s="1"/>
    </row>
    <row r="811" spans="1:17" x14ac:dyDescent="0.25">
      <c r="A811" s="1"/>
      <c r="B811" s="1"/>
      <c r="C811" s="1"/>
      <c r="D811" s="1"/>
      <c r="E811" s="1"/>
      <c r="F811" s="1"/>
      <c r="G811" s="1"/>
      <c r="H811" s="1" t="s">
        <v>585</v>
      </c>
      <c r="I811" s="1"/>
      <c r="J811" s="1"/>
      <c r="K811" s="1"/>
      <c r="L811" s="1"/>
      <c r="M811" s="1"/>
      <c r="N811" s="1"/>
      <c r="O811" s="1"/>
      <c r="P811" s="1"/>
      <c r="Q811" s="1"/>
    </row>
    <row r="812" spans="1:17" x14ac:dyDescent="0.25">
      <c r="A812" s="1"/>
      <c r="B812" s="1"/>
      <c r="C812" s="1"/>
      <c r="D812" s="1"/>
      <c r="E812" s="1"/>
      <c r="F812" s="1"/>
      <c r="G812" s="1"/>
      <c r="H812" s="1" t="s">
        <v>585</v>
      </c>
      <c r="I812" s="1"/>
      <c r="J812" s="1"/>
      <c r="K812" s="1"/>
      <c r="L812" s="1"/>
      <c r="M812" s="1"/>
      <c r="N812" s="1"/>
      <c r="O812" s="1"/>
      <c r="P812" s="1"/>
      <c r="Q812" s="1"/>
    </row>
    <row r="813" spans="1:17" x14ac:dyDescent="0.25">
      <c r="A813" s="1"/>
      <c r="B813" s="1"/>
      <c r="C813" s="1"/>
      <c r="D813" s="1"/>
      <c r="E813" s="1"/>
      <c r="F813" s="1"/>
      <c r="G813" s="1"/>
      <c r="H813" s="1" t="s">
        <v>585</v>
      </c>
      <c r="I813" s="1"/>
      <c r="J813" s="1"/>
      <c r="K813" s="1"/>
      <c r="L813" s="1"/>
      <c r="M813" s="1"/>
      <c r="N813" s="1"/>
      <c r="O813" s="1"/>
      <c r="P813" s="1"/>
      <c r="Q813" s="1"/>
    </row>
    <row r="814" spans="1:17" x14ac:dyDescent="0.25">
      <c r="A814" s="1"/>
      <c r="B814" s="1"/>
      <c r="C814" s="1"/>
      <c r="D814" s="1"/>
      <c r="E814" s="1"/>
      <c r="F814" s="1"/>
      <c r="G814" s="1"/>
      <c r="H814" s="1" t="s">
        <v>585</v>
      </c>
      <c r="I814" s="1"/>
      <c r="J814" s="1"/>
      <c r="K814" s="1"/>
      <c r="L814" s="1"/>
      <c r="M814" s="1"/>
      <c r="N814" s="1"/>
      <c r="O814" s="1"/>
      <c r="P814" s="1"/>
      <c r="Q814" s="1"/>
    </row>
    <row r="815" spans="1:17" x14ac:dyDescent="0.25">
      <c r="A815" s="1"/>
      <c r="B815" s="1"/>
      <c r="C815" s="1"/>
      <c r="D815" s="1"/>
      <c r="E815" s="1"/>
      <c r="F815" s="1"/>
      <c r="G815" s="1"/>
      <c r="H815" s="1" t="s">
        <v>585</v>
      </c>
      <c r="I815" s="1"/>
      <c r="J815" s="1"/>
      <c r="K815" s="1"/>
      <c r="L815" s="1"/>
      <c r="M815" s="1"/>
      <c r="N815" s="1"/>
      <c r="O815" s="1"/>
      <c r="P815" s="1"/>
      <c r="Q815" s="1"/>
    </row>
    <row r="816" spans="1:17" x14ac:dyDescent="0.25">
      <c r="A816" s="1"/>
      <c r="B816" s="1"/>
      <c r="C816" s="1"/>
      <c r="D816" s="1"/>
      <c r="E816" s="1"/>
      <c r="F816" s="1"/>
      <c r="G816" s="1"/>
      <c r="H816" s="1" t="s">
        <v>585</v>
      </c>
      <c r="I816" s="1"/>
      <c r="J816" s="1"/>
      <c r="K816" s="1"/>
      <c r="L816" s="1"/>
      <c r="M816" s="1"/>
      <c r="N816" s="1"/>
      <c r="O816" s="1"/>
      <c r="P816" s="1"/>
      <c r="Q816" s="1"/>
    </row>
    <row r="817" spans="1:17" x14ac:dyDescent="0.25">
      <c r="A817" s="1"/>
      <c r="B817" s="1"/>
      <c r="C817" s="1"/>
      <c r="D817" s="1"/>
      <c r="E817" s="1"/>
      <c r="F817" s="1"/>
      <c r="G817" s="1"/>
      <c r="H817" s="1" t="s">
        <v>585</v>
      </c>
      <c r="I817" s="1"/>
      <c r="J817" s="1"/>
      <c r="K817" s="1"/>
      <c r="L817" s="1"/>
      <c r="M817" s="1"/>
      <c r="N817" s="1"/>
      <c r="O817" s="1"/>
      <c r="P817" s="1"/>
      <c r="Q817" s="1"/>
    </row>
    <row r="818" spans="1:17" x14ac:dyDescent="0.25">
      <c r="A818" s="1"/>
      <c r="B818" s="1"/>
      <c r="C818" s="1"/>
      <c r="D818" s="1"/>
      <c r="E818" s="1"/>
      <c r="F818" s="1"/>
      <c r="G818" s="1"/>
      <c r="H818" s="1" t="s">
        <v>585</v>
      </c>
      <c r="I818" s="1"/>
      <c r="J818" s="1"/>
      <c r="K818" s="1"/>
      <c r="L818" s="1"/>
      <c r="M818" s="1"/>
      <c r="N818" s="1"/>
      <c r="O818" s="1"/>
      <c r="P818" s="1"/>
      <c r="Q818" s="1"/>
    </row>
    <row r="819" spans="1:17" x14ac:dyDescent="0.25">
      <c r="A819" s="1"/>
      <c r="B819" s="1"/>
      <c r="C819" s="1"/>
      <c r="D819" s="1"/>
      <c r="E819" s="1"/>
      <c r="F819" s="1"/>
      <c r="G819" s="1"/>
      <c r="H819" s="1" t="s">
        <v>585</v>
      </c>
      <c r="I819" s="1"/>
      <c r="J819" s="1"/>
      <c r="K819" s="1"/>
      <c r="L819" s="1"/>
      <c r="M819" s="1"/>
      <c r="N819" s="1"/>
      <c r="O819" s="1"/>
      <c r="P819" s="1"/>
      <c r="Q819" s="1"/>
    </row>
    <row r="820" spans="1:17" x14ac:dyDescent="0.25">
      <c r="A820" s="1"/>
      <c r="B820" s="1"/>
      <c r="C820" s="1"/>
      <c r="D820" s="1"/>
      <c r="E820" s="1"/>
      <c r="F820" s="1"/>
      <c r="G820" s="1"/>
      <c r="H820" s="1" t="s">
        <v>585</v>
      </c>
      <c r="I820" s="1"/>
      <c r="J820" s="1"/>
      <c r="K820" s="1"/>
      <c r="L820" s="1"/>
      <c r="M820" s="1"/>
      <c r="N820" s="1"/>
      <c r="O820" s="1"/>
      <c r="P820" s="1"/>
      <c r="Q820" s="1"/>
    </row>
    <row r="821" spans="1:17" x14ac:dyDescent="0.25">
      <c r="A821" s="1"/>
      <c r="B821" s="1"/>
      <c r="C821" s="1"/>
      <c r="D821" s="1"/>
      <c r="E821" s="1"/>
      <c r="F821" s="1"/>
      <c r="G821" s="1"/>
      <c r="H821" s="1" t="s">
        <v>585</v>
      </c>
      <c r="I821" s="1"/>
      <c r="J821" s="1"/>
      <c r="K821" s="1"/>
      <c r="L821" s="1"/>
      <c r="M821" s="1"/>
      <c r="N821" s="1"/>
      <c r="O821" s="1"/>
      <c r="P821" s="1"/>
      <c r="Q821" s="1"/>
    </row>
    <row r="822" spans="1:17" x14ac:dyDescent="0.25">
      <c r="A822" s="1"/>
      <c r="B822" s="1"/>
      <c r="C822" s="1"/>
      <c r="D822" s="1"/>
      <c r="E822" s="1"/>
      <c r="F822" s="1"/>
      <c r="G822" s="1"/>
      <c r="H822" s="1" t="s">
        <v>585</v>
      </c>
      <c r="I822" s="1"/>
      <c r="J822" s="1"/>
      <c r="K822" s="1"/>
      <c r="L822" s="1"/>
      <c r="M822" s="1"/>
      <c r="N822" s="1"/>
      <c r="O822" s="1"/>
      <c r="P822" s="1"/>
      <c r="Q822" s="1"/>
    </row>
    <row r="823" spans="1:17" x14ac:dyDescent="0.25">
      <c r="A823" s="1"/>
      <c r="B823" s="1"/>
      <c r="C823" s="1"/>
      <c r="D823" s="1"/>
      <c r="E823" s="1"/>
      <c r="F823" s="1"/>
      <c r="G823" s="1"/>
      <c r="H823" s="1" t="s">
        <v>585</v>
      </c>
      <c r="I823" s="1"/>
      <c r="J823" s="1"/>
      <c r="K823" s="1"/>
      <c r="L823" s="1"/>
      <c r="M823" s="1"/>
      <c r="N823" s="1"/>
      <c r="O823" s="1"/>
      <c r="P823" s="1"/>
      <c r="Q823" s="1"/>
    </row>
    <row r="824" spans="1:17" x14ac:dyDescent="0.25">
      <c r="A824" s="1"/>
      <c r="B824" s="1"/>
      <c r="C824" s="1"/>
      <c r="D824" s="1"/>
      <c r="E824" s="1"/>
      <c r="F824" s="1"/>
      <c r="G824" s="1"/>
      <c r="H824" s="1" t="s">
        <v>585</v>
      </c>
      <c r="I824" s="1"/>
      <c r="J824" s="1"/>
      <c r="K824" s="1"/>
      <c r="L824" s="1"/>
      <c r="M824" s="1"/>
      <c r="N824" s="1"/>
      <c r="O824" s="1"/>
      <c r="P824" s="1"/>
      <c r="Q824" s="1"/>
    </row>
    <row r="825" spans="1:17" x14ac:dyDescent="0.25">
      <c r="A825" s="1"/>
      <c r="B825" s="1"/>
      <c r="C825" s="1"/>
      <c r="D825" s="1"/>
      <c r="E825" s="1"/>
      <c r="F825" s="1"/>
      <c r="G825" s="1"/>
      <c r="H825" s="1" t="s">
        <v>585</v>
      </c>
      <c r="I825" s="1"/>
      <c r="J825" s="1"/>
      <c r="K825" s="1"/>
      <c r="L825" s="1"/>
      <c r="M825" s="1"/>
      <c r="N825" s="1"/>
      <c r="O825" s="1"/>
      <c r="P825" s="1"/>
      <c r="Q825" s="1"/>
    </row>
    <row r="826" spans="1:17" x14ac:dyDescent="0.25">
      <c r="A826" s="1"/>
      <c r="B826" s="1"/>
      <c r="C826" s="1"/>
      <c r="D826" s="1"/>
      <c r="E826" s="1"/>
      <c r="F826" s="1"/>
      <c r="G826" s="1"/>
      <c r="H826" s="1" t="s">
        <v>585</v>
      </c>
      <c r="I826" s="1"/>
      <c r="J826" s="1"/>
      <c r="K826" s="1"/>
      <c r="L826" s="1"/>
      <c r="M826" s="1"/>
      <c r="N826" s="1"/>
      <c r="O826" s="1"/>
      <c r="P826" s="1"/>
      <c r="Q826" s="1"/>
    </row>
    <row r="827" spans="1:17" x14ac:dyDescent="0.25">
      <c r="A827" s="1"/>
      <c r="B827" s="1"/>
      <c r="C827" s="1"/>
      <c r="D827" s="1"/>
      <c r="E827" s="1"/>
      <c r="F827" s="1"/>
      <c r="G827" s="1"/>
      <c r="H827" s="1" t="s">
        <v>585</v>
      </c>
      <c r="I827" s="1"/>
      <c r="J827" s="1"/>
      <c r="K827" s="1"/>
      <c r="L827" s="1"/>
      <c r="M827" s="1"/>
      <c r="N827" s="1"/>
      <c r="O827" s="1"/>
      <c r="P827" s="1"/>
      <c r="Q827" s="1"/>
    </row>
    <row r="828" spans="1:17" x14ac:dyDescent="0.25">
      <c r="A828" s="1"/>
      <c r="B828" s="1"/>
      <c r="C828" s="1"/>
      <c r="D828" s="1"/>
      <c r="E828" s="1"/>
      <c r="F828" s="1"/>
      <c r="G828" s="1"/>
      <c r="H828" s="1" t="s">
        <v>585</v>
      </c>
      <c r="I828" s="1"/>
      <c r="J828" s="1"/>
      <c r="K828" s="1"/>
      <c r="L828" s="1"/>
      <c r="M828" s="1"/>
      <c r="N828" s="1"/>
      <c r="O828" s="1"/>
      <c r="P828" s="1"/>
      <c r="Q828" s="1"/>
    </row>
    <row r="829" spans="1:17" x14ac:dyDescent="0.25">
      <c r="A829" s="1"/>
      <c r="B829" s="1"/>
      <c r="C829" s="1"/>
      <c r="D829" s="1"/>
      <c r="E829" s="1"/>
      <c r="F829" s="1"/>
      <c r="G829" s="1"/>
      <c r="H829" s="1" t="s">
        <v>585</v>
      </c>
      <c r="I829" s="1"/>
      <c r="J829" s="1"/>
      <c r="K829" s="1"/>
      <c r="L829" s="1"/>
      <c r="M829" s="1"/>
      <c r="N829" s="1"/>
      <c r="O829" s="1"/>
      <c r="P829" s="1"/>
      <c r="Q829" s="1"/>
    </row>
    <row r="830" spans="1:17" x14ac:dyDescent="0.25">
      <c r="A830" s="1"/>
      <c r="B830" s="1"/>
      <c r="C830" s="1"/>
      <c r="D830" s="1"/>
      <c r="E830" s="1"/>
      <c r="F830" s="1"/>
      <c r="G830" s="1"/>
      <c r="H830" s="1" t="s">
        <v>585</v>
      </c>
      <c r="I830" s="1"/>
      <c r="J830" s="1"/>
      <c r="K830" s="1"/>
      <c r="L830" s="1"/>
      <c r="M830" s="1"/>
      <c r="N830" s="1"/>
      <c r="O830" s="1"/>
      <c r="P830" s="1"/>
      <c r="Q830" s="1"/>
    </row>
    <row r="831" spans="1:17" x14ac:dyDescent="0.25">
      <c r="A831" s="1"/>
      <c r="B831" s="1"/>
      <c r="C831" s="1"/>
      <c r="D831" s="1"/>
      <c r="E831" s="1"/>
      <c r="F831" s="1"/>
      <c r="G831" s="1"/>
      <c r="H831" s="1" t="s">
        <v>585</v>
      </c>
      <c r="I831" s="1"/>
      <c r="J831" s="1"/>
      <c r="K831" s="1"/>
      <c r="L831" s="1"/>
      <c r="M831" s="1"/>
      <c r="N831" s="1"/>
      <c r="O831" s="1"/>
      <c r="P831" s="1"/>
      <c r="Q831" s="1"/>
    </row>
    <row r="832" spans="1:17" x14ac:dyDescent="0.25">
      <c r="A832" s="1"/>
      <c r="B832" s="1"/>
      <c r="C832" s="1"/>
      <c r="D832" s="1"/>
      <c r="E832" s="1"/>
      <c r="F832" s="1"/>
      <c r="G832" s="1"/>
      <c r="H832" s="1" t="s">
        <v>585</v>
      </c>
      <c r="I832" s="1"/>
      <c r="J832" s="1"/>
      <c r="K832" s="1"/>
      <c r="L832" s="1"/>
      <c r="M832" s="1"/>
      <c r="N832" s="1"/>
      <c r="O832" s="1"/>
      <c r="P832" s="1"/>
      <c r="Q832" s="1"/>
    </row>
    <row r="833" spans="1:17" x14ac:dyDescent="0.25">
      <c r="A833" s="1"/>
      <c r="B833" s="1"/>
      <c r="C833" s="1"/>
      <c r="D833" s="1"/>
      <c r="E833" s="1"/>
      <c r="F833" s="1"/>
      <c r="G833" s="1"/>
      <c r="H833" s="1" t="s">
        <v>585</v>
      </c>
      <c r="I833" s="1"/>
      <c r="J833" s="1"/>
      <c r="K833" s="1"/>
      <c r="L833" s="1"/>
      <c r="M833" s="1"/>
      <c r="N833" s="1"/>
      <c r="O833" s="1"/>
      <c r="P833" s="1"/>
      <c r="Q833" s="1"/>
    </row>
    <row r="834" spans="1:17" x14ac:dyDescent="0.25">
      <c r="A834" s="1"/>
      <c r="B834" s="1"/>
      <c r="C834" s="1"/>
      <c r="D834" s="1"/>
      <c r="E834" s="1"/>
      <c r="F834" s="1"/>
      <c r="G834" s="1"/>
      <c r="H834" s="1" t="s">
        <v>585</v>
      </c>
      <c r="I834" s="1"/>
      <c r="J834" s="1"/>
      <c r="K834" s="1"/>
      <c r="L834" s="1"/>
      <c r="M834" s="1"/>
      <c r="N834" s="1"/>
      <c r="O834" s="1"/>
      <c r="P834" s="1"/>
      <c r="Q834" s="1"/>
    </row>
    <row r="835" spans="1:17" x14ac:dyDescent="0.25">
      <c r="A835" s="1"/>
      <c r="B835" s="1"/>
      <c r="C835" s="1"/>
      <c r="D835" s="1"/>
      <c r="E835" s="1"/>
      <c r="F835" s="1"/>
      <c r="G835" s="1"/>
      <c r="H835" s="1" t="s">
        <v>585</v>
      </c>
      <c r="I835" s="1"/>
      <c r="J835" s="1"/>
      <c r="K835" s="1"/>
      <c r="L835" s="1"/>
      <c r="M835" s="1"/>
      <c r="N835" s="1"/>
      <c r="O835" s="1"/>
      <c r="P835" s="1"/>
      <c r="Q835" s="1"/>
    </row>
    <row r="836" spans="1:17" x14ac:dyDescent="0.25">
      <c r="A836" s="1"/>
      <c r="B836" s="1"/>
      <c r="C836" s="1"/>
      <c r="D836" s="1"/>
      <c r="E836" s="1"/>
      <c r="F836" s="1"/>
      <c r="G836" s="1"/>
      <c r="H836" s="1" t="s">
        <v>585</v>
      </c>
      <c r="I836" s="1"/>
      <c r="J836" s="1"/>
      <c r="K836" s="1"/>
      <c r="L836" s="1"/>
      <c r="M836" s="1"/>
      <c r="N836" s="1"/>
      <c r="O836" s="1"/>
      <c r="P836" s="1"/>
      <c r="Q836" s="1"/>
    </row>
    <row r="837" spans="1:17" x14ac:dyDescent="0.25">
      <c r="A837" s="1"/>
      <c r="B837" s="1"/>
      <c r="C837" s="1"/>
      <c r="D837" s="1"/>
      <c r="E837" s="1"/>
      <c r="F837" s="1"/>
      <c r="G837" s="1"/>
      <c r="H837" s="1" t="s">
        <v>585</v>
      </c>
      <c r="I837" s="1"/>
      <c r="J837" s="1"/>
      <c r="K837" s="1"/>
      <c r="L837" s="1"/>
      <c r="M837" s="1"/>
      <c r="N837" s="1"/>
      <c r="O837" s="1"/>
      <c r="P837" s="1"/>
      <c r="Q837" s="1"/>
    </row>
    <row r="838" spans="1:17" x14ac:dyDescent="0.25">
      <c r="A838" s="1"/>
      <c r="B838" s="1"/>
      <c r="C838" s="1"/>
      <c r="D838" s="1"/>
      <c r="E838" s="1"/>
      <c r="F838" s="1"/>
      <c r="G838" s="1"/>
      <c r="H838" s="1" t="s">
        <v>585</v>
      </c>
      <c r="I838" s="1"/>
      <c r="J838" s="1"/>
      <c r="K838" s="1"/>
      <c r="L838" s="1"/>
      <c r="M838" s="1"/>
      <c r="N838" s="1"/>
      <c r="O838" s="1"/>
      <c r="P838" s="1"/>
      <c r="Q838" s="1"/>
    </row>
    <row r="839" spans="1:17" x14ac:dyDescent="0.25">
      <c r="A839" s="1"/>
      <c r="B839" s="1"/>
      <c r="C839" s="1"/>
      <c r="D839" s="1"/>
      <c r="E839" s="1"/>
      <c r="F839" s="1"/>
      <c r="G839" s="1"/>
      <c r="H839" s="1" t="s">
        <v>585</v>
      </c>
      <c r="I839" s="1"/>
      <c r="J839" s="1"/>
      <c r="K839" s="1"/>
      <c r="L839" s="1"/>
      <c r="M839" s="1"/>
      <c r="N839" s="1"/>
      <c r="O839" s="1"/>
      <c r="P839" s="1"/>
      <c r="Q839" s="1"/>
    </row>
    <row r="840" spans="1:17" x14ac:dyDescent="0.25">
      <c r="A840" s="1"/>
      <c r="B840" s="1"/>
      <c r="C840" s="1"/>
      <c r="D840" s="1"/>
      <c r="E840" s="1"/>
      <c r="F840" s="1"/>
      <c r="G840" s="1"/>
      <c r="H840" s="1" t="s">
        <v>585</v>
      </c>
      <c r="I840" s="1"/>
      <c r="J840" s="1"/>
      <c r="K840" s="1"/>
      <c r="L840" s="1"/>
      <c r="M840" s="1"/>
      <c r="N840" s="1"/>
      <c r="O840" s="1"/>
      <c r="P840" s="1"/>
      <c r="Q840" s="1"/>
    </row>
    <row r="841" spans="1:17" x14ac:dyDescent="0.25">
      <c r="A841" s="1"/>
      <c r="B841" s="1"/>
      <c r="C841" s="1"/>
      <c r="D841" s="1"/>
      <c r="E841" s="1"/>
      <c r="F841" s="1"/>
      <c r="G841" s="1"/>
      <c r="H841" s="1" t="s">
        <v>585</v>
      </c>
      <c r="I841" s="1"/>
      <c r="J841" s="1"/>
      <c r="K841" s="1"/>
      <c r="L841" s="1"/>
      <c r="M841" s="1"/>
      <c r="N841" s="1"/>
      <c r="O841" s="1"/>
      <c r="P841" s="1"/>
      <c r="Q841" s="1"/>
    </row>
    <row r="842" spans="1:17" x14ac:dyDescent="0.25">
      <c r="A842" s="1"/>
      <c r="B842" s="1"/>
      <c r="C842" s="1"/>
      <c r="D842" s="1"/>
      <c r="E842" s="1"/>
      <c r="F842" s="1"/>
      <c r="G842" s="1"/>
      <c r="H842" s="1" t="s">
        <v>585</v>
      </c>
      <c r="I842" s="1"/>
      <c r="J842" s="1"/>
      <c r="K842" s="1"/>
      <c r="L842" s="1"/>
      <c r="M842" s="1"/>
      <c r="N842" s="1"/>
      <c r="O842" s="1"/>
      <c r="P842" s="1"/>
      <c r="Q842" s="1"/>
    </row>
    <row r="843" spans="1:17" x14ac:dyDescent="0.25">
      <c r="A843" s="1"/>
      <c r="B843" s="1"/>
      <c r="C843" s="1"/>
      <c r="D843" s="1"/>
      <c r="E843" s="1"/>
      <c r="F843" s="1"/>
      <c r="G843" s="1"/>
      <c r="H843" s="1" t="s">
        <v>585</v>
      </c>
      <c r="I843" s="1"/>
      <c r="J843" s="1"/>
      <c r="K843" s="1"/>
      <c r="L843" s="1"/>
      <c r="M843" s="1"/>
      <c r="N843" s="1"/>
      <c r="O843" s="1"/>
      <c r="P843" s="1"/>
      <c r="Q843" s="1"/>
    </row>
    <row r="844" spans="1:17" x14ac:dyDescent="0.25">
      <c r="A844" s="1"/>
      <c r="B844" s="1"/>
      <c r="C844" s="1"/>
      <c r="D844" s="1"/>
      <c r="E844" s="1"/>
      <c r="F844" s="1"/>
      <c r="G844" s="1"/>
      <c r="H844" s="1" t="s">
        <v>585</v>
      </c>
      <c r="I844" s="1"/>
      <c r="J844" s="1"/>
      <c r="K844" s="1"/>
      <c r="L844" s="1"/>
      <c r="M844" s="1"/>
      <c r="N844" s="1"/>
      <c r="O844" s="1"/>
      <c r="P844" s="1"/>
      <c r="Q844" s="1"/>
    </row>
    <row r="845" spans="1:17" x14ac:dyDescent="0.25">
      <c r="A845" s="1"/>
      <c r="B845" s="1"/>
      <c r="C845" s="1"/>
      <c r="D845" s="1"/>
      <c r="E845" s="1"/>
      <c r="F845" s="1"/>
      <c r="G845" s="1"/>
      <c r="H845" s="1" t="s">
        <v>585</v>
      </c>
      <c r="I845" s="1"/>
      <c r="J845" s="1"/>
      <c r="K845" s="1"/>
      <c r="L845" s="1"/>
      <c r="M845" s="1"/>
      <c r="N845" s="1"/>
      <c r="O845" s="1"/>
      <c r="P845" s="1"/>
      <c r="Q845" s="1"/>
    </row>
    <row r="846" spans="1:17" x14ac:dyDescent="0.25">
      <c r="A846" s="1"/>
      <c r="B846" s="1"/>
      <c r="C846" s="1"/>
      <c r="D846" s="1"/>
      <c r="E846" s="1"/>
      <c r="F846" s="1"/>
      <c r="G846" s="1"/>
      <c r="H846" s="1" t="s">
        <v>585</v>
      </c>
      <c r="I846" s="1"/>
      <c r="J846" s="1"/>
      <c r="K846" s="1"/>
      <c r="L846" s="1"/>
      <c r="M846" s="1"/>
      <c r="N846" s="1"/>
      <c r="O846" s="1"/>
      <c r="P846" s="1"/>
      <c r="Q846" s="1"/>
    </row>
    <row r="847" spans="1:17" x14ac:dyDescent="0.25">
      <c r="A847" s="1"/>
      <c r="B847" s="1"/>
      <c r="C847" s="1"/>
      <c r="D847" s="1"/>
      <c r="E847" s="1"/>
      <c r="F847" s="1"/>
      <c r="G847" s="1"/>
      <c r="H847" s="1" t="s">
        <v>585</v>
      </c>
      <c r="I847" s="1"/>
      <c r="J847" s="1"/>
      <c r="K847" s="1"/>
      <c r="L847" s="1"/>
      <c r="M847" s="1"/>
      <c r="N847" s="1"/>
      <c r="O847" s="1"/>
      <c r="P847" s="1"/>
      <c r="Q847" s="1"/>
    </row>
    <row r="848" spans="1:17" x14ac:dyDescent="0.25">
      <c r="A848" s="1"/>
      <c r="B848" s="1"/>
      <c r="C848" s="1"/>
      <c r="D848" s="1"/>
      <c r="E848" s="1"/>
      <c r="F848" s="1"/>
      <c r="G848" s="1"/>
      <c r="H848" s="1" t="s">
        <v>585</v>
      </c>
      <c r="I848" s="1"/>
      <c r="J848" s="1"/>
      <c r="K848" s="1"/>
      <c r="L848" s="1"/>
      <c r="M848" s="1"/>
      <c r="N848" s="1"/>
      <c r="O848" s="1"/>
      <c r="P848" s="1"/>
      <c r="Q848" s="1"/>
    </row>
    <row r="849" spans="1:17" x14ac:dyDescent="0.25">
      <c r="A849" s="1"/>
      <c r="B849" s="1"/>
      <c r="C849" s="1"/>
      <c r="D849" s="1"/>
      <c r="E849" s="1"/>
      <c r="F849" s="1"/>
      <c r="G849" s="1"/>
      <c r="H849" s="1" t="s">
        <v>585</v>
      </c>
      <c r="I849" s="1"/>
      <c r="J849" s="1"/>
      <c r="K849" s="1"/>
      <c r="L849" s="1"/>
      <c r="M849" s="1"/>
      <c r="N849" s="1"/>
      <c r="O849" s="1"/>
      <c r="P849" s="1"/>
      <c r="Q849" s="1"/>
    </row>
    <row r="850" spans="1:17" x14ac:dyDescent="0.25">
      <c r="A850" s="1"/>
      <c r="B850" s="1"/>
      <c r="C850" s="1"/>
      <c r="D850" s="1"/>
      <c r="E850" s="1"/>
      <c r="F850" s="1"/>
      <c r="G850" s="1"/>
      <c r="H850" s="1" t="s">
        <v>585</v>
      </c>
      <c r="I850" s="1"/>
      <c r="J850" s="1"/>
      <c r="K850" s="1"/>
      <c r="L850" s="1"/>
      <c r="M850" s="1"/>
      <c r="N850" s="1"/>
      <c r="O850" s="1"/>
      <c r="P850" s="1"/>
      <c r="Q850" s="1"/>
    </row>
    <row r="851" spans="1:17" x14ac:dyDescent="0.25">
      <c r="A851" s="1"/>
      <c r="B851" s="1"/>
      <c r="C851" s="1"/>
      <c r="D851" s="1"/>
      <c r="E851" s="1"/>
      <c r="F851" s="1"/>
      <c r="G851" s="1"/>
      <c r="H851" s="1" t="s">
        <v>585</v>
      </c>
      <c r="I851" s="1"/>
      <c r="J851" s="1"/>
      <c r="K851" s="1"/>
      <c r="L851" s="1"/>
      <c r="M851" s="1"/>
      <c r="N851" s="1"/>
      <c r="O851" s="1"/>
      <c r="P851" s="1"/>
      <c r="Q851" s="1"/>
    </row>
    <row r="852" spans="1:17" x14ac:dyDescent="0.25">
      <c r="A852" s="1"/>
      <c r="B852" s="1"/>
      <c r="C852" s="1"/>
      <c r="D852" s="1"/>
      <c r="E852" s="1"/>
      <c r="F852" s="1"/>
      <c r="G852" s="1"/>
      <c r="H852" s="1" t="s">
        <v>585</v>
      </c>
      <c r="I852" s="1"/>
      <c r="J852" s="1"/>
      <c r="K852" s="1"/>
      <c r="L852" s="1"/>
      <c r="M852" s="1"/>
      <c r="N852" s="1"/>
      <c r="O852" s="1"/>
      <c r="P852" s="1"/>
      <c r="Q852" s="1"/>
    </row>
    <row r="853" spans="1:17" x14ac:dyDescent="0.25">
      <c r="A853" s="1"/>
      <c r="B853" s="1"/>
      <c r="C853" s="1"/>
      <c r="D853" s="1"/>
      <c r="E853" s="1"/>
      <c r="F853" s="1"/>
      <c r="G853" s="1"/>
      <c r="H853" s="1" t="s">
        <v>585</v>
      </c>
      <c r="I853" s="1"/>
      <c r="J853" s="1"/>
      <c r="K853" s="1"/>
      <c r="L853" s="1"/>
      <c r="M853" s="1"/>
      <c r="N853" s="1"/>
      <c r="O853" s="1"/>
      <c r="P853" s="1"/>
      <c r="Q853" s="1"/>
    </row>
    <row r="854" spans="1:17" x14ac:dyDescent="0.25">
      <c r="A854" s="1"/>
      <c r="B854" s="1"/>
      <c r="C854" s="1"/>
      <c r="D854" s="1"/>
      <c r="E854" s="1"/>
      <c r="F854" s="1"/>
      <c r="G854" s="1"/>
      <c r="H854" s="1" t="s">
        <v>585</v>
      </c>
      <c r="I854" s="1"/>
      <c r="J854" s="1"/>
      <c r="K854" s="1"/>
      <c r="L854" s="1"/>
      <c r="M854" s="1"/>
      <c r="N854" s="1"/>
      <c r="O854" s="1"/>
      <c r="P854" s="1"/>
      <c r="Q854" s="1"/>
    </row>
    <row r="855" spans="1:17" x14ac:dyDescent="0.25">
      <c r="A855" s="1"/>
      <c r="B855" s="1"/>
      <c r="C855" s="1"/>
      <c r="D855" s="1"/>
      <c r="E855" s="1"/>
      <c r="F855" s="1"/>
      <c r="G855" s="1"/>
      <c r="H855" s="1" t="s">
        <v>585</v>
      </c>
      <c r="I855" s="1"/>
      <c r="J855" s="1"/>
      <c r="K855" s="1"/>
      <c r="L855" s="1"/>
      <c r="M855" s="1"/>
      <c r="N855" s="1"/>
      <c r="O855" s="1"/>
      <c r="P855" s="1"/>
      <c r="Q855" s="1"/>
    </row>
    <row r="856" spans="1:17" x14ac:dyDescent="0.25">
      <c r="A856" s="1"/>
      <c r="B856" s="1"/>
      <c r="C856" s="1"/>
      <c r="D856" s="1"/>
      <c r="E856" s="1"/>
      <c r="F856" s="1"/>
      <c r="G856" s="1"/>
      <c r="H856" s="1" t="s">
        <v>585</v>
      </c>
      <c r="I856" s="1"/>
      <c r="J856" s="1"/>
      <c r="K856" s="1"/>
      <c r="L856" s="1"/>
      <c r="M856" s="1"/>
      <c r="N856" s="1"/>
      <c r="O856" s="1"/>
      <c r="P856" s="1"/>
      <c r="Q856" s="1"/>
    </row>
    <row r="857" spans="1:17" x14ac:dyDescent="0.25">
      <c r="A857" s="1"/>
      <c r="B857" s="1"/>
      <c r="C857" s="1"/>
      <c r="D857" s="1"/>
      <c r="E857" s="1"/>
      <c r="F857" s="1"/>
      <c r="G857" s="1"/>
      <c r="H857" s="1" t="s">
        <v>585</v>
      </c>
      <c r="I857" s="1"/>
      <c r="J857" s="1"/>
      <c r="K857" s="1"/>
      <c r="L857" s="1"/>
      <c r="M857" s="1"/>
      <c r="N857" s="1"/>
      <c r="O857" s="1"/>
      <c r="P857" s="1"/>
      <c r="Q857" s="1"/>
    </row>
    <row r="858" spans="1:17" x14ac:dyDescent="0.25">
      <c r="A858" s="1"/>
      <c r="B858" s="1"/>
      <c r="C858" s="1"/>
      <c r="D858" s="1"/>
      <c r="E858" s="1"/>
      <c r="F858" s="1"/>
      <c r="G858" s="1"/>
      <c r="H858" s="1" t="s">
        <v>585</v>
      </c>
      <c r="I858" s="1"/>
      <c r="J858" s="1"/>
      <c r="K858" s="1"/>
      <c r="L858" s="1"/>
      <c r="M858" s="1"/>
      <c r="N858" s="1"/>
      <c r="O858" s="1"/>
      <c r="P858" s="1"/>
      <c r="Q858" s="1"/>
    </row>
    <row r="859" spans="1:17" x14ac:dyDescent="0.25">
      <c r="A859" s="1"/>
      <c r="B859" s="1"/>
      <c r="C859" s="1"/>
      <c r="D859" s="1"/>
      <c r="E859" s="1"/>
      <c r="F859" s="1"/>
      <c r="G859" s="1"/>
      <c r="H859" s="1" t="s">
        <v>585</v>
      </c>
      <c r="I859" s="1"/>
      <c r="J859" s="1"/>
      <c r="K859" s="1"/>
      <c r="L859" s="1"/>
      <c r="M859" s="1"/>
      <c r="N859" s="1"/>
      <c r="O859" s="1"/>
      <c r="P859" s="1"/>
      <c r="Q859" s="1"/>
    </row>
    <row r="860" spans="1:17" x14ac:dyDescent="0.25">
      <c r="A860" s="1"/>
      <c r="B860" s="1"/>
      <c r="C860" s="1"/>
      <c r="D860" s="1"/>
      <c r="E860" s="1"/>
      <c r="F860" s="1"/>
      <c r="G860" s="1"/>
      <c r="H860" s="1" t="s">
        <v>585</v>
      </c>
      <c r="I860" s="1"/>
      <c r="J860" s="1"/>
      <c r="K860" s="1"/>
      <c r="L860" s="1"/>
      <c r="M860" s="1"/>
      <c r="N860" s="1"/>
      <c r="O860" s="1"/>
      <c r="P860" s="1"/>
      <c r="Q860" s="1"/>
    </row>
    <row r="861" spans="1:17" x14ac:dyDescent="0.25">
      <c r="A861" s="1"/>
      <c r="B861" s="1"/>
      <c r="C861" s="1"/>
      <c r="D861" s="1"/>
      <c r="E861" s="1"/>
      <c r="F861" s="1"/>
      <c r="G861" s="1"/>
      <c r="H861" s="1" t="s">
        <v>585</v>
      </c>
      <c r="I861" s="1"/>
      <c r="J861" s="1"/>
      <c r="K861" s="1"/>
      <c r="L861" s="1"/>
      <c r="M861" s="1"/>
      <c r="N861" s="1"/>
      <c r="O861" s="1"/>
      <c r="P861" s="1"/>
      <c r="Q861" s="1"/>
    </row>
    <row r="862" spans="1:17" x14ac:dyDescent="0.25">
      <c r="A862" s="1"/>
      <c r="B862" s="1"/>
      <c r="C862" s="1"/>
      <c r="D862" s="1"/>
      <c r="E862" s="1"/>
      <c r="F862" s="1"/>
      <c r="G862" s="1"/>
      <c r="H862" s="1" t="s">
        <v>585</v>
      </c>
      <c r="I862" s="1"/>
      <c r="J862" s="1"/>
      <c r="K862" s="1"/>
      <c r="L862" s="1"/>
      <c r="M862" s="1"/>
      <c r="N862" s="1"/>
      <c r="O862" s="1"/>
      <c r="P862" s="1"/>
      <c r="Q862" s="1"/>
    </row>
    <row r="863" spans="1:17" x14ac:dyDescent="0.25">
      <c r="A863" s="1"/>
      <c r="B863" s="1"/>
      <c r="C863" s="1"/>
      <c r="D863" s="1"/>
      <c r="E863" s="1"/>
      <c r="F863" s="1"/>
      <c r="G863" s="1"/>
      <c r="H863" s="1" t="s">
        <v>585</v>
      </c>
      <c r="I863" s="1"/>
      <c r="J863" s="1"/>
      <c r="K863" s="1"/>
      <c r="L863" s="1"/>
      <c r="M863" s="1"/>
      <c r="N863" s="1"/>
      <c r="O863" s="1"/>
      <c r="P863" s="1"/>
      <c r="Q863" s="1"/>
    </row>
    <row r="864" spans="1:17" x14ac:dyDescent="0.25">
      <c r="A864" s="1"/>
      <c r="B864" s="1"/>
      <c r="C864" s="1"/>
      <c r="D864" s="1"/>
      <c r="E864" s="1"/>
      <c r="F864" s="1"/>
      <c r="G864" s="1"/>
      <c r="H864" s="1" t="s">
        <v>585</v>
      </c>
      <c r="I864" s="1"/>
      <c r="J864" s="1"/>
      <c r="K864" s="1"/>
      <c r="L864" s="1"/>
      <c r="M864" s="1"/>
      <c r="N864" s="1"/>
      <c r="O864" s="1"/>
      <c r="P864" s="1"/>
      <c r="Q864" s="1"/>
    </row>
    <row r="865" spans="1:17" x14ac:dyDescent="0.25">
      <c r="A865" s="1"/>
      <c r="B865" s="1"/>
      <c r="C865" s="1"/>
      <c r="D865" s="1"/>
      <c r="E865" s="1"/>
      <c r="F865" s="1"/>
      <c r="G865" s="1"/>
      <c r="H865" s="1" t="s">
        <v>585</v>
      </c>
      <c r="I865" s="1"/>
      <c r="J865" s="1"/>
      <c r="K865" s="1"/>
      <c r="L865" s="1"/>
      <c r="M865" s="1"/>
      <c r="N865" s="1"/>
      <c r="O865" s="1"/>
      <c r="P865" s="1"/>
      <c r="Q865" s="1"/>
    </row>
    <row r="866" spans="1:17" x14ac:dyDescent="0.25">
      <c r="A866" s="1"/>
      <c r="B866" s="1"/>
      <c r="C866" s="1"/>
      <c r="D866" s="1"/>
      <c r="E866" s="1"/>
      <c r="F866" s="1"/>
      <c r="G866" s="1"/>
      <c r="H866" s="1" t="s">
        <v>585</v>
      </c>
      <c r="I866" s="1"/>
      <c r="J866" s="1"/>
      <c r="K866" s="1"/>
      <c r="L866" s="1"/>
      <c r="M866" s="1"/>
      <c r="N866" s="1"/>
      <c r="O866" s="1"/>
      <c r="P866" s="1"/>
      <c r="Q866" s="1"/>
    </row>
    <row r="867" spans="1:17" x14ac:dyDescent="0.25">
      <c r="A867" s="1"/>
      <c r="B867" s="1"/>
      <c r="C867" s="1"/>
      <c r="D867" s="1"/>
      <c r="E867" s="1"/>
      <c r="F867" s="1"/>
      <c r="G867" s="1"/>
      <c r="H867" s="1" t="s">
        <v>585</v>
      </c>
      <c r="I867" s="1"/>
      <c r="J867" s="1"/>
      <c r="K867" s="1"/>
      <c r="L867" s="1"/>
      <c r="M867" s="1"/>
      <c r="N867" s="1"/>
      <c r="O867" s="1"/>
      <c r="P867" s="1"/>
      <c r="Q867" s="1"/>
    </row>
    <row r="868" spans="1:17" x14ac:dyDescent="0.25">
      <c r="A868" s="1"/>
      <c r="B868" s="1"/>
      <c r="C868" s="1"/>
      <c r="D868" s="1"/>
      <c r="E868" s="1"/>
      <c r="F868" s="1"/>
      <c r="G868" s="1"/>
      <c r="H868" s="1" t="s">
        <v>585</v>
      </c>
      <c r="I868" s="1"/>
      <c r="J868" s="1"/>
      <c r="K868" s="1"/>
      <c r="L868" s="1"/>
      <c r="M868" s="1"/>
      <c r="N868" s="1"/>
      <c r="O868" s="1"/>
      <c r="P868" s="1"/>
      <c r="Q868" s="1"/>
    </row>
    <row r="869" spans="1:17" x14ac:dyDescent="0.25">
      <c r="A869" s="1"/>
      <c r="B869" s="1"/>
      <c r="C869" s="1"/>
      <c r="D869" s="1"/>
      <c r="E869" s="1"/>
      <c r="F869" s="1"/>
      <c r="G869" s="1"/>
      <c r="H869" s="1" t="s">
        <v>585</v>
      </c>
      <c r="I869" s="1"/>
      <c r="J869" s="1"/>
      <c r="K869" s="1"/>
      <c r="L869" s="1"/>
      <c r="M869" s="1"/>
      <c r="N869" s="1"/>
      <c r="O869" s="1"/>
      <c r="P869" s="1"/>
      <c r="Q869" s="1"/>
    </row>
    <row r="870" spans="1:17" x14ac:dyDescent="0.25">
      <c r="A870" s="1"/>
      <c r="B870" s="1"/>
      <c r="C870" s="1"/>
      <c r="D870" s="1"/>
      <c r="E870" s="1"/>
      <c r="F870" s="1"/>
      <c r="G870" s="1"/>
      <c r="H870" s="1" t="s">
        <v>585</v>
      </c>
      <c r="I870" s="1"/>
      <c r="J870" s="1"/>
      <c r="K870" s="1"/>
      <c r="L870" s="1"/>
      <c r="M870" s="1"/>
      <c r="N870" s="1"/>
      <c r="O870" s="1"/>
      <c r="P870" s="1"/>
      <c r="Q870" s="1"/>
    </row>
    <row r="871" spans="1:17" x14ac:dyDescent="0.25">
      <c r="A871" s="1"/>
      <c r="B871" s="1"/>
      <c r="C871" s="1"/>
      <c r="D871" s="1"/>
      <c r="E871" s="1"/>
      <c r="F871" s="1"/>
      <c r="G871" s="1"/>
      <c r="H871" s="1" t="s">
        <v>585</v>
      </c>
      <c r="I871" s="1"/>
      <c r="J871" s="1"/>
      <c r="K871" s="1"/>
      <c r="L871" s="1"/>
      <c r="M871" s="1"/>
      <c r="N871" s="1"/>
      <c r="O871" s="1"/>
      <c r="P871" s="1"/>
      <c r="Q871" s="1"/>
    </row>
    <row r="872" spans="1:17" x14ac:dyDescent="0.25">
      <c r="A872" s="1"/>
      <c r="B872" s="1"/>
      <c r="C872" s="1"/>
      <c r="D872" s="1"/>
      <c r="E872" s="1"/>
      <c r="F872" s="1"/>
      <c r="G872" s="1"/>
      <c r="H872" s="1" t="s">
        <v>585</v>
      </c>
      <c r="I872" s="1"/>
      <c r="J872" s="1"/>
      <c r="K872" s="1"/>
      <c r="L872" s="1"/>
      <c r="M872" s="1"/>
      <c r="N872" s="1"/>
      <c r="O872" s="1"/>
      <c r="P872" s="1"/>
      <c r="Q872" s="1"/>
    </row>
    <row r="873" spans="1:17" x14ac:dyDescent="0.25">
      <c r="A873" s="1"/>
      <c r="B873" s="1"/>
      <c r="C873" s="1"/>
      <c r="D873" s="1"/>
      <c r="E873" s="1"/>
      <c r="F873" s="1"/>
      <c r="G873" s="1"/>
      <c r="H873" s="1" t="s">
        <v>585</v>
      </c>
      <c r="I873" s="1"/>
      <c r="J873" s="1"/>
      <c r="K873" s="1"/>
      <c r="L873" s="1"/>
      <c r="M873" s="1"/>
      <c r="N873" s="1"/>
      <c r="O873" s="1"/>
      <c r="P873" s="1"/>
      <c r="Q873" s="1"/>
    </row>
    <row r="874" spans="1:17" x14ac:dyDescent="0.25">
      <c r="A874" s="1"/>
      <c r="B874" s="1"/>
      <c r="C874" s="1"/>
      <c r="D874" s="1"/>
      <c r="E874" s="1"/>
      <c r="F874" s="1"/>
      <c r="G874" s="1"/>
      <c r="H874" s="1" t="s">
        <v>585</v>
      </c>
      <c r="I874" s="1"/>
      <c r="J874" s="1"/>
      <c r="K874" s="1"/>
      <c r="L874" s="1"/>
      <c r="M874" s="1"/>
      <c r="N874" s="1"/>
      <c r="O874" s="1"/>
      <c r="P874" s="1"/>
      <c r="Q874" s="1"/>
    </row>
    <row r="875" spans="1:17" x14ac:dyDescent="0.25">
      <c r="A875" s="1"/>
      <c r="B875" s="1"/>
      <c r="C875" s="1"/>
      <c r="D875" s="1"/>
      <c r="E875" s="1"/>
      <c r="F875" s="1"/>
      <c r="G875" s="1"/>
      <c r="H875" s="1" t="s">
        <v>585</v>
      </c>
      <c r="I875" s="1"/>
      <c r="J875" s="1"/>
      <c r="K875" s="1"/>
      <c r="L875" s="1"/>
      <c r="M875" s="1"/>
      <c r="N875" s="1"/>
      <c r="O875" s="1"/>
      <c r="P875" s="1"/>
      <c r="Q875" s="1"/>
    </row>
    <row r="876" spans="1:17" x14ac:dyDescent="0.25">
      <c r="A876" s="1"/>
      <c r="B876" s="1"/>
      <c r="C876" s="1"/>
      <c r="D876" s="1"/>
      <c r="E876" s="1"/>
      <c r="F876" s="1"/>
      <c r="G876" s="1"/>
      <c r="H876" s="1" t="s">
        <v>585</v>
      </c>
      <c r="I876" s="1"/>
      <c r="J876" s="1"/>
      <c r="K876" s="1"/>
      <c r="L876" s="1"/>
      <c r="M876" s="1"/>
      <c r="N876" s="1"/>
      <c r="O876" s="1"/>
      <c r="P876" s="1"/>
      <c r="Q876" s="1"/>
    </row>
    <row r="877" spans="1:17" x14ac:dyDescent="0.25">
      <c r="A877" s="1"/>
      <c r="B877" s="1"/>
      <c r="C877" s="1"/>
      <c r="D877" s="1"/>
      <c r="E877" s="1"/>
      <c r="F877" s="1"/>
      <c r="G877" s="1"/>
      <c r="H877" s="1" t="s">
        <v>585</v>
      </c>
      <c r="I877" s="1"/>
      <c r="J877" s="1"/>
      <c r="K877" s="1"/>
      <c r="L877" s="1"/>
      <c r="M877" s="1"/>
      <c r="N877" s="1"/>
      <c r="O877" s="1"/>
      <c r="P877" s="1"/>
      <c r="Q877" s="1"/>
    </row>
    <row r="878" spans="1:17" x14ac:dyDescent="0.25">
      <c r="A878" s="1"/>
      <c r="B878" s="1"/>
      <c r="C878" s="1"/>
      <c r="D878" s="1"/>
      <c r="E878" s="1"/>
      <c r="F878" s="1"/>
      <c r="G878" s="1"/>
      <c r="H878" s="1" t="s">
        <v>585</v>
      </c>
      <c r="I878" s="1"/>
      <c r="J878" s="1"/>
      <c r="K878" s="1"/>
      <c r="L878" s="1"/>
      <c r="M878" s="1"/>
      <c r="N878" s="1"/>
      <c r="O878" s="1"/>
      <c r="P878" s="1"/>
      <c r="Q878" s="1"/>
    </row>
    <row r="879" spans="1:17" x14ac:dyDescent="0.25">
      <c r="A879" s="1"/>
      <c r="B879" s="1"/>
      <c r="C879" s="1"/>
      <c r="D879" s="1"/>
      <c r="E879" s="1"/>
      <c r="F879" s="1"/>
      <c r="G879" s="1"/>
      <c r="H879" s="1" t="s">
        <v>585</v>
      </c>
      <c r="I879" s="1"/>
      <c r="J879" s="1"/>
      <c r="K879" s="1"/>
      <c r="L879" s="1"/>
      <c r="M879" s="1"/>
      <c r="N879" s="1"/>
      <c r="O879" s="1"/>
      <c r="P879" s="1"/>
      <c r="Q879" s="1"/>
    </row>
    <row r="880" spans="1:17" x14ac:dyDescent="0.25">
      <c r="A880" s="1"/>
      <c r="B880" s="1"/>
      <c r="C880" s="1"/>
      <c r="D880" s="1"/>
      <c r="E880" s="1"/>
      <c r="F880" s="1"/>
      <c r="G880" s="1"/>
      <c r="H880" s="1" t="s">
        <v>585</v>
      </c>
      <c r="I880" s="1"/>
      <c r="J880" s="1"/>
      <c r="K880" s="1"/>
      <c r="L880" s="1"/>
      <c r="M880" s="1"/>
      <c r="N880" s="1"/>
      <c r="O880" s="1"/>
      <c r="P880" s="1"/>
      <c r="Q880" s="1"/>
    </row>
    <row r="881" spans="1:17" x14ac:dyDescent="0.25">
      <c r="A881" s="1"/>
      <c r="B881" s="1"/>
      <c r="C881" s="1"/>
      <c r="D881" s="1"/>
      <c r="E881" s="1"/>
      <c r="F881" s="1"/>
      <c r="G881" s="1"/>
      <c r="H881" s="1" t="s">
        <v>585</v>
      </c>
      <c r="I881" s="1"/>
      <c r="J881" s="1"/>
      <c r="K881" s="1"/>
      <c r="L881" s="1"/>
      <c r="M881" s="1"/>
      <c r="N881" s="1"/>
      <c r="O881" s="1"/>
      <c r="P881" s="1"/>
      <c r="Q881" s="1"/>
    </row>
    <row r="882" spans="1:17" x14ac:dyDescent="0.25">
      <c r="A882" s="1"/>
      <c r="B882" s="1"/>
      <c r="C882" s="1"/>
      <c r="D882" s="1"/>
      <c r="E882" s="1"/>
      <c r="F882" s="1"/>
      <c r="G882" s="1"/>
      <c r="H882" s="1" t="s">
        <v>585</v>
      </c>
      <c r="I882" s="1"/>
      <c r="J882" s="1"/>
      <c r="K882" s="1"/>
      <c r="L882" s="1"/>
      <c r="M882" s="1"/>
      <c r="N882" s="1"/>
      <c r="O882" s="1"/>
      <c r="P882" s="1"/>
      <c r="Q882" s="1"/>
    </row>
    <row r="883" spans="1:17" x14ac:dyDescent="0.25">
      <c r="A883" s="1"/>
      <c r="B883" s="1"/>
      <c r="C883" s="1"/>
      <c r="D883" s="1"/>
      <c r="E883" s="1"/>
      <c r="F883" s="1"/>
      <c r="G883" s="1"/>
      <c r="H883" s="1" t="s">
        <v>585</v>
      </c>
      <c r="I883" s="1"/>
      <c r="J883" s="1"/>
      <c r="K883" s="1"/>
      <c r="L883" s="1"/>
      <c r="M883" s="1"/>
      <c r="N883" s="1"/>
      <c r="O883" s="1"/>
      <c r="P883" s="1"/>
      <c r="Q883" s="1"/>
    </row>
    <row r="884" spans="1:17" x14ac:dyDescent="0.25">
      <c r="A884" s="1"/>
      <c r="B884" s="1"/>
      <c r="C884" s="1"/>
      <c r="D884" s="1"/>
      <c r="E884" s="1"/>
      <c r="F884" s="1"/>
      <c r="G884" s="1"/>
      <c r="H884" s="1" t="s">
        <v>585</v>
      </c>
      <c r="I884" s="1"/>
      <c r="J884" s="1"/>
      <c r="K884" s="1"/>
      <c r="L884" s="1"/>
      <c r="M884" s="1"/>
      <c r="N884" s="1"/>
      <c r="O884" s="1"/>
      <c r="P884" s="1"/>
      <c r="Q884" s="1"/>
    </row>
    <row r="885" spans="1:17" x14ac:dyDescent="0.25">
      <c r="A885" s="1"/>
      <c r="B885" s="1"/>
      <c r="C885" s="1"/>
      <c r="D885" s="1"/>
      <c r="E885" s="1"/>
      <c r="F885" s="1"/>
      <c r="G885" s="1"/>
      <c r="H885" s="1" t="s">
        <v>585</v>
      </c>
      <c r="I885" s="1"/>
      <c r="J885" s="1"/>
      <c r="K885" s="1"/>
      <c r="L885" s="1"/>
      <c r="M885" s="1"/>
      <c r="N885" s="1"/>
      <c r="O885" s="1"/>
      <c r="P885" s="1"/>
      <c r="Q885" s="1"/>
    </row>
    <row r="886" spans="1:17" x14ac:dyDescent="0.25">
      <c r="A886" s="1"/>
      <c r="B886" s="1"/>
      <c r="C886" s="1"/>
      <c r="D886" s="1"/>
      <c r="E886" s="1"/>
      <c r="F886" s="1"/>
      <c r="G886" s="1"/>
      <c r="H886" s="1" t="s">
        <v>585</v>
      </c>
      <c r="I886" s="1"/>
      <c r="J886" s="1"/>
      <c r="K886" s="1"/>
      <c r="L886" s="1"/>
      <c r="M886" s="1"/>
      <c r="N886" s="1"/>
      <c r="O886" s="1"/>
      <c r="P886" s="1"/>
      <c r="Q886" s="1"/>
    </row>
    <row r="887" spans="1:17" x14ac:dyDescent="0.25">
      <c r="A887" s="1"/>
      <c r="B887" s="1"/>
      <c r="C887" s="1"/>
      <c r="D887" s="1"/>
      <c r="E887" s="1"/>
      <c r="F887" s="1"/>
      <c r="G887" s="1"/>
      <c r="H887" s="1" t="s">
        <v>585</v>
      </c>
      <c r="I887" s="1"/>
      <c r="J887" s="1"/>
      <c r="K887" s="1"/>
      <c r="L887" s="1"/>
      <c r="M887" s="1"/>
      <c r="N887" s="1"/>
      <c r="O887" s="1"/>
      <c r="P887" s="1"/>
      <c r="Q887" s="1"/>
    </row>
    <row r="888" spans="1:17" x14ac:dyDescent="0.25">
      <c r="A888" s="1"/>
      <c r="B888" s="1"/>
      <c r="C888" s="1"/>
      <c r="D888" s="1"/>
      <c r="E888" s="1"/>
      <c r="F888" s="1"/>
      <c r="G888" s="1"/>
      <c r="H888" s="1" t="s">
        <v>585</v>
      </c>
      <c r="I888" s="1"/>
      <c r="J888" s="1"/>
      <c r="K888" s="1"/>
      <c r="L888" s="1"/>
      <c r="M888" s="1"/>
      <c r="N888" s="1"/>
      <c r="O888" s="1"/>
      <c r="P888" s="1"/>
      <c r="Q888" s="1"/>
    </row>
    <row r="889" spans="1:17" x14ac:dyDescent="0.25">
      <c r="A889" s="1"/>
      <c r="B889" s="1"/>
      <c r="C889" s="1"/>
      <c r="D889" s="1"/>
      <c r="E889" s="1"/>
      <c r="F889" s="1"/>
      <c r="G889" s="1"/>
      <c r="H889" s="1" t="s">
        <v>585</v>
      </c>
      <c r="I889" s="1"/>
      <c r="J889" s="1"/>
      <c r="K889" s="1"/>
      <c r="L889" s="1"/>
      <c r="M889" s="1"/>
      <c r="N889" s="1"/>
      <c r="O889" s="1"/>
      <c r="P889" s="1"/>
      <c r="Q889" s="1"/>
    </row>
    <row r="890" spans="1:17" x14ac:dyDescent="0.25">
      <c r="A890" s="1"/>
      <c r="B890" s="1"/>
      <c r="C890" s="1"/>
      <c r="D890" s="1"/>
      <c r="E890" s="1"/>
      <c r="F890" s="1"/>
      <c r="G890" s="1"/>
      <c r="H890" s="1" t="s">
        <v>585</v>
      </c>
      <c r="I890" s="1"/>
      <c r="J890" s="1"/>
      <c r="K890" s="1"/>
      <c r="L890" s="1"/>
      <c r="M890" s="1"/>
      <c r="N890" s="1"/>
      <c r="O890" s="1"/>
      <c r="P890" s="1"/>
      <c r="Q890" s="1"/>
    </row>
    <row r="891" spans="1:17" x14ac:dyDescent="0.25">
      <c r="A891" s="1"/>
      <c r="B891" s="1"/>
      <c r="C891" s="1"/>
      <c r="D891" s="1"/>
      <c r="E891" s="1"/>
      <c r="F891" s="1"/>
      <c r="G891" s="1"/>
      <c r="H891" s="1" t="s">
        <v>585</v>
      </c>
      <c r="I891" s="1"/>
      <c r="J891" s="1"/>
      <c r="K891" s="1"/>
      <c r="L891" s="1"/>
      <c r="M891" s="1"/>
      <c r="N891" s="1"/>
      <c r="O891" s="1"/>
      <c r="P891" s="1"/>
      <c r="Q891" s="1"/>
    </row>
    <row r="892" spans="1:17" x14ac:dyDescent="0.25">
      <c r="A892" s="1"/>
      <c r="B892" s="1"/>
      <c r="C892" s="1"/>
      <c r="D892" s="1"/>
      <c r="E892" s="1"/>
      <c r="F892" s="1"/>
      <c r="G892" s="1"/>
      <c r="H892" s="1" t="s">
        <v>585</v>
      </c>
      <c r="I892" s="1"/>
      <c r="J892" s="1"/>
      <c r="K892" s="1"/>
      <c r="L892" s="1"/>
      <c r="M892" s="1"/>
      <c r="N892" s="1"/>
      <c r="O892" s="1"/>
      <c r="P892" s="1"/>
      <c r="Q892" s="1"/>
    </row>
    <row r="893" spans="1:17" x14ac:dyDescent="0.25">
      <c r="A893" s="1"/>
      <c r="B893" s="1"/>
      <c r="C893" s="1"/>
      <c r="D893" s="1"/>
      <c r="E893" s="1"/>
      <c r="F893" s="1"/>
      <c r="G893" s="1"/>
      <c r="H893" s="1" t="s">
        <v>585</v>
      </c>
      <c r="I893" s="1"/>
      <c r="J893" s="1"/>
      <c r="K893" s="1"/>
      <c r="L893" s="1"/>
      <c r="M893" s="1"/>
      <c r="N893" s="1"/>
      <c r="O893" s="1"/>
      <c r="P893" s="1"/>
      <c r="Q893" s="1"/>
    </row>
    <row r="894" spans="1:17" x14ac:dyDescent="0.25">
      <c r="A894" s="1"/>
      <c r="B894" s="1"/>
      <c r="C894" s="1"/>
      <c r="D894" s="1"/>
      <c r="E894" s="1"/>
      <c r="F894" s="1"/>
      <c r="G894" s="1"/>
      <c r="H894" s="1" t="s">
        <v>585</v>
      </c>
      <c r="I894" s="1"/>
      <c r="J894" s="1"/>
      <c r="K894" s="1"/>
      <c r="L894" s="1"/>
      <c r="M894" s="1"/>
      <c r="N894" s="1"/>
      <c r="O894" s="1"/>
      <c r="P894" s="1"/>
      <c r="Q894" s="1"/>
    </row>
    <row r="895" spans="1:17" x14ac:dyDescent="0.25">
      <c r="A895" s="1"/>
      <c r="B895" s="1"/>
      <c r="C895" s="1"/>
      <c r="D895" s="1"/>
      <c r="E895" s="1"/>
      <c r="F895" s="1"/>
      <c r="G895" s="1"/>
      <c r="H895" s="1" t="s">
        <v>585</v>
      </c>
      <c r="I895" s="1"/>
      <c r="J895" s="1"/>
      <c r="K895" s="1"/>
      <c r="L895" s="1"/>
      <c r="M895" s="1"/>
      <c r="N895" s="1"/>
      <c r="O895" s="1"/>
      <c r="P895" s="1"/>
      <c r="Q895" s="1"/>
    </row>
    <row r="896" spans="1:17" x14ac:dyDescent="0.25">
      <c r="A896" s="1"/>
      <c r="B896" s="1"/>
      <c r="C896" s="1"/>
      <c r="D896" s="1"/>
      <c r="E896" s="1"/>
      <c r="F896" s="1"/>
      <c r="G896" s="1"/>
      <c r="H896" s="1" t="s">
        <v>585</v>
      </c>
      <c r="I896" s="1"/>
      <c r="J896" s="1"/>
      <c r="K896" s="1"/>
      <c r="L896" s="1"/>
      <c r="M896" s="1"/>
      <c r="N896" s="1"/>
      <c r="O896" s="1"/>
      <c r="P896" s="1"/>
      <c r="Q896" s="1"/>
    </row>
    <row r="897" spans="1:17" x14ac:dyDescent="0.25">
      <c r="A897" s="1"/>
      <c r="B897" s="1"/>
      <c r="C897" s="1"/>
      <c r="D897" s="1"/>
      <c r="E897" s="1"/>
      <c r="F897" s="1"/>
      <c r="G897" s="1"/>
      <c r="H897" s="1" t="s">
        <v>585</v>
      </c>
      <c r="I897" s="1"/>
      <c r="J897" s="1"/>
      <c r="K897" s="1"/>
      <c r="L897" s="1"/>
      <c r="M897" s="1"/>
      <c r="N897" s="1"/>
      <c r="O897" s="1"/>
      <c r="P897" s="1"/>
      <c r="Q897" s="1"/>
    </row>
    <row r="898" spans="1:17" x14ac:dyDescent="0.25">
      <c r="A898" s="1"/>
      <c r="B898" s="1"/>
      <c r="C898" s="1"/>
      <c r="D898" s="1"/>
      <c r="E898" s="1"/>
      <c r="F898" s="1"/>
      <c r="G898" s="1"/>
      <c r="H898" s="1" t="s">
        <v>585</v>
      </c>
      <c r="I898" s="1"/>
      <c r="J898" s="1"/>
      <c r="K898" s="1"/>
      <c r="L898" s="1"/>
      <c r="M898" s="1"/>
      <c r="N898" s="1"/>
      <c r="O898" s="1"/>
      <c r="P898" s="1"/>
      <c r="Q898" s="1"/>
    </row>
    <row r="899" spans="1:17" x14ac:dyDescent="0.25">
      <c r="A899" s="1"/>
      <c r="B899" s="1"/>
      <c r="C899" s="1"/>
      <c r="D899" s="1"/>
      <c r="E899" s="1"/>
      <c r="F899" s="1"/>
      <c r="G899" s="1"/>
      <c r="H899" s="1" t="s">
        <v>585</v>
      </c>
      <c r="I899" s="1"/>
      <c r="J899" s="1"/>
      <c r="K899" s="1"/>
      <c r="L899" s="1"/>
      <c r="M899" s="1"/>
      <c r="N899" s="1"/>
      <c r="O899" s="1"/>
      <c r="P899" s="1"/>
      <c r="Q899" s="1"/>
    </row>
    <row r="900" spans="1:17" x14ac:dyDescent="0.25">
      <c r="A900" s="1"/>
      <c r="B900" s="1"/>
      <c r="C900" s="1"/>
      <c r="D900" s="1"/>
      <c r="E900" s="1"/>
      <c r="F900" s="1"/>
      <c r="G900" s="1"/>
      <c r="H900" s="1" t="s">
        <v>585</v>
      </c>
      <c r="I900" s="1"/>
      <c r="J900" s="1"/>
      <c r="K900" s="1"/>
      <c r="L900" s="1"/>
      <c r="M900" s="1"/>
      <c r="N900" s="1"/>
      <c r="O900" s="1"/>
      <c r="P900" s="1"/>
      <c r="Q900" s="1"/>
    </row>
    <row r="901" spans="1:17" x14ac:dyDescent="0.25">
      <c r="A901" s="1"/>
      <c r="B901" s="1"/>
      <c r="C901" s="1"/>
      <c r="D901" s="1"/>
      <c r="E901" s="1"/>
      <c r="F901" s="1"/>
      <c r="G901" s="1"/>
      <c r="H901" s="1" t="s">
        <v>585</v>
      </c>
      <c r="I901" s="1"/>
      <c r="J901" s="1"/>
      <c r="K901" s="1"/>
      <c r="L901" s="1"/>
      <c r="M901" s="1"/>
      <c r="N901" s="1"/>
      <c r="O901" s="1"/>
      <c r="P901" s="1"/>
      <c r="Q901" s="1"/>
    </row>
    <row r="902" spans="1:17" x14ac:dyDescent="0.25">
      <c r="A902" s="1"/>
      <c r="B902" s="1"/>
      <c r="C902" s="1"/>
      <c r="D902" s="1"/>
      <c r="E902" s="1"/>
      <c r="F902" s="1"/>
      <c r="G902" s="1"/>
      <c r="H902" s="1" t="s">
        <v>585</v>
      </c>
      <c r="I902" s="1"/>
      <c r="J902" s="1"/>
      <c r="K902" s="1"/>
      <c r="L902" s="1"/>
      <c r="M902" s="1"/>
      <c r="N902" s="1"/>
      <c r="O902" s="1"/>
      <c r="P902" s="1"/>
      <c r="Q902" s="1"/>
    </row>
    <row r="903" spans="1:17" x14ac:dyDescent="0.25">
      <c r="A903" s="1"/>
      <c r="B903" s="1"/>
      <c r="C903" s="1"/>
      <c r="D903" s="1"/>
      <c r="E903" s="1"/>
      <c r="F903" s="1"/>
      <c r="G903" s="1"/>
      <c r="H903" s="1" t="s">
        <v>585</v>
      </c>
      <c r="I903" s="1"/>
      <c r="J903" s="1"/>
      <c r="K903" s="1"/>
      <c r="L903" s="1"/>
      <c r="M903" s="1"/>
      <c r="N903" s="1"/>
      <c r="O903" s="1"/>
      <c r="P903" s="1"/>
      <c r="Q903" s="1"/>
    </row>
    <row r="904" spans="1:17" x14ac:dyDescent="0.25">
      <c r="A904" s="1"/>
      <c r="B904" s="1"/>
      <c r="C904" s="1"/>
      <c r="D904" s="1"/>
      <c r="E904" s="1"/>
      <c r="F904" s="1"/>
      <c r="G904" s="1"/>
      <c r="H904" s="1" t="s">
        <v>585</v>
      </c>
      <c r="I904" s="1"/>
      <c r="J904" s="1"/>
      <c r="K904" s="1"/>
      <c r="L904" s="1"/>
      <c r="M904" s="1"/>
      <c r="N904" s="1"/>
      <c r="O904" s="1"/>
      <c r="P904" s="1"/>
      <c r="Q904" s="1"/>
    </row>
    <row r="905" spans="1:17" x14ac:dyDescent="0.25">
      <c r="A905" s="1"/>
      <c r="B905" s="1"/>
      <c r="C905" s="1"/>
      <c r="D905" s="1"/>
      <c r="E905" s="1"/>
      <c r="F905" s="1"/>
      <c r="G905" s="1"/>
      <c r="H905" s="1" t="s">
        <v>585</v>
      </c>
      <c r="I905" s="1"/>
      <c r="J905" s="1"/>
      <c r="K905" s="1"/>
      <c r="L905" s="1"/>
      <c r="M905" s="1"/>
      <c r="N905" s="1"/>
      <c r="O905" s="1"/>
      <c r="P905" s="1"/>
      <c r="Q905" s="1"/>
    </row>
    <row r="906" spans="1:17" x14ac:dyDescent="0.25">
      <c r="A906" s="1"/>
      <c r="B906" s="1"/>
      <c r="C906" s="1"/>
      <c r="D906" s="1"/>
      <c r="E906" s="1"/>
      <c r="F906" s="1"/>
      <c r="G906" s="1"/>
      <c r="H906" s="1" t="s">
        <v>585</v>
      </c>
      <c r="I906" s="1"/>
      <c r="J906" s="1"/>
      <c r="K906" s="1"/>
      <c r="L906" s="1"/>
      <c r="M906" s="1"/>
      <c r="N906" s="1"/>
      <c r="O906" s="1"/>
      <c r="P906" s="1"/>
      <c r="Q906" s="1"/>
    </row>
    <row r="907" spans="1:17" x14ac:dyDescent="0.25">
      <c r="A907" s="1"/>
      <c r="B907" s="1"/>
      <c r="C907" s="1"/>
      <c r="D907" s="1"/>
      <c r="E907" s="1"/>
      <c r="F907" s="1"/>
      <c r="G907" s="1"/>
      <c r="H907" s="1" t="s">
        <v>585</v>
      </c>
      <c r="I907" s="1"/>
      <c r="J907" s="1"/>
      <c r="K907" s="1"/>
      <c r="L907" s="1"/>
      <c r="M907" s="1"/>
      <c r="N907" s="1"/>
      <c r="O907" s="1"/>
      <c r="P907" s="1"/>
      <c r="Q907" s="1"/>
    </row>
    <row r="908" spans="1:17" x14ac:dyDescent="0.25">
      <c r="A908" s="1"/>
      <c r="B908" s="1"/>
      <c r="C908" s="1"/>
      <c r="D908" s="1"/>
      <c r="E908" s="1"/>
      <c r="F908" s="1"/>
      <c r="G908" s="1"/>
      <c r="H908" s="1" t="s">
        <v>585</v>
      </c>
      <c r="I908" s="1"/>
      <c r="J908" s="1"/>
      <c r="K908" s="1"/>
      <c r="L908" s="1"/>
      <c r="M908" s="1"/>
      <c r="N908" s="1"/>
      <c r="O908" s="1"/>
      <c r="P908" s="1"/>
      <c r="Q908" s="1"/>
    </row>
    <row r="909" spans="1:17" x14ac:dyDescent="0.25">
      <c r="A909" s="1"/>
      <c r="B909" s="1"/>
      <c r="C909" s="1"/>
      <c r="D909" s="1"/>
      <c r="E909" s="1"/>
      <c r="F909" s="1"/>
      <c r="G909" s="1"/>
      <c r="H909" s="1" t="s">
        <v>585</v>
      </c>
      <c r="I909" s="1"/>
      <c r="J909" s="1"/>
      <c r="K909" s="1"/>
      <c r="L909" s="1"/>
      <c r="M909" s="1"/>
      <c r="N909" s="1"/>
      <c r="O909" s="1"/>
      <c r="P909" s="1"/>
      <c r="Q909" s="1"/>
    </row>
    <row r="910" spans="1:17" x14ac:dyDescent="0.25">
      <c r="A910" s="1"/>
      <c r="B910" s="1"/>
      <c r="C910" s="1"/>
      <c r="D910" s="1"/>
      <c r="E910" s="1"/>
      <c r="F910" s="1"/>
      <c r="G910" s="1"/>
      <c r="H910" s="1" t="s">
        <v>585</v>
      </c>
      <c r="I910" s="1"/>
      <c r="J910" s="1"/>
      <c r="K910" s="1"/>
      <c r="L910" s="1"/>
      <c r="M910" s="1"/>
      <c r="N910" s="1"/>
      <c r="O910" s="1"/>
      <c r="P910" s="1"/>
      <c r="Q910" s="1"/>
    </row>
    <row r="911" spans="1:17" x14ac:dyDescent="0.25">
      <c r="A911" s="1"/>
      <c r="B911" s="1"/>
      <c r="C911" s="1"/>
      <c r="D911" s="1"/>
      <c r="E911" s="1"/>
      <c r="F911" s="1"/>
      <c r="G911" s="1"/>
      <c r="H911" s="1" t="s">
        <v>585</v>
      </c>
      <c r="I911" s="1"/>
      <c r="J911" s="1"/>
      <c r="K911" s="1"/>
      <c r="L911" s="1"/>
      <c r="M911" s="1"/>
      <c r="N911" s="1"/>
      <c r="O911" s="1"/>
      <c r="P911" s="1"/>
      <c r="Q911" s="1"/>
    </row>
    <row r="912" spans="1:17" x14ac:dyDescent="0.25">
      <c r="A912" s="1"/>
      <c r="B912" s="1"/>
      <c r="C912" s="1"/>
      <c r="D912" s="1"/>
      <c r="E912" s="1"/>
      <c r="F912" s="1"/>
      <c r="G912" s="1"/>
      <c r="H912" s="1" t="s">
        <v>585</v>
      </c>
      <c r="I912" s="1"/>
      <c r="J912" s="1"/>
      <c r="K912" s="1"/>
      <c r="L912" s="1"/>
      <c r="M912" s="1"/>
      <c r="N912" s="1"/>
      <c r="O912" s="1"/>
      <c r="P912" s="1"/>
      <c r="Q912" s="1"/>
    </row>
    <row r="913" spans="1:17" x14ac:dyDescent="0.25">
      <c r="A913" s="1"/>
      <c r="B913" s="1"/>
      <c r="C913" s="1"/>
      <c r="D913" s="1"/>
      <c r="E913" s="1"/>
      <c r="F913" s="1"/>
      <c r="G913" s="1"/>
      <c r="H913" s="1" t="s">
        <v>585</v>
      </c>
      <c r="I913" s="1"/>
      <c r="J913" s="1"/>
      <c r="K913" s="1"/>
      <c r="L913" s="1"/>
      <c r="M913" s="1"/>
      <c r="N913" s="1"/>
      <c r="O913" s="1"/>
      <c r="P913" s="1"/>
      <c r="Q913" s="1"/>
    </row>
    <row r="914" spans="1:17" x14ac:dyDescent="0.25">
      <c r="A914" s="1"/>
      <c r="B914" s="1"/>
      <c r="C914" s="1"/>
      <c r="D914" s="1"/>
      <c r="E914" s="1"/>
      <c r="F914" s="1"/>
      <c r="G914" s="1"/>
      <c r="H914" s="1" t="s">
        <v>585</v>
      </c>
      <c r="I914" s="1"/>
      <c r="J914" s="1"/>
      <c r="K914" s="1"/>
      <c r="L914" s="1"/>
      <c r="M914" s="1"/>
      <c r="N914" s="1"/>
      <c r="O914" s="1"/>
      <c r="P914" s="1"/>
      <c r="Q914" s="1"/>
    </row>
    <row r="915" spans="1:17" x14ac:dyDescent="0.25">
      <c r="A915" s="1"/>
      <c r="B915" s="1"/>
      <c r="C915" s="1"/>
      <c r="D915" s="1"/>
      <c r="E915" s="1"/>
      <c r="F915" s="1"/>
      <c r="G915" s="1"/>
      <c r="H915" s="1" t="s">
        <v>585</v>
      </c>
      <c r="I915" s="1"/>
      <c r="J915" s="1"/>
      <c r="K915" s="1"/>
      <c r="L915" s="1"/>
      <c r="M915" s="1"/>
      <c r="N915" s="1"/>
      <c r="O915" s="1"/>
      <c r="P915" s="1"/>
      <c r="Q915" s="1"/>
    </row>
    <row r="916" spans="1:17" x14ac:dyDescent="0.25">
      <c r="A916" s="1"/>
      <c r="B916" s="1"/>
      <c r="C916" s="1"/>
      <c r="D916" s="1"/>
      <c r="E916" s="1"/>
      <c r="F916" s="1"/>
      <c r="G916" s="1"/>
      <c r="H916" s="1" t="s">
        <v>585</v>
      </c>
      <c r="I916" s="1"/>
      <c r="J916" s="1"/>
      <c r="K916" s="1"/>
      <c r="L916" s="1"/>
      <c r="M916" s="1"/>
      <c r="N916" s="1"/>
      <c r="O916" s="1"/>
      <c r="P916" s="1"/>
      <c r="Q916" s="1"/>
    </row>
    <row r="917" spans="1:17" x14ac:dyDescent="0.25">
      <c r="A917" s="1"/>
      <c r="B917" s="1"/>
      <c r="C917" s="1"/>
      <c r="D917" s="1"/>
      <c r="E917" s="1"/>
      <c r="F917" s="1"/>
      <c r="G917" s="1"/>
      <c r="H917" s="1" t="s">
        <v>585</v>
      </c>
      <c r="I917" s="1"/>
      <c r="J917" s="1"/>
      <c r="K917" s="1"/>
      <c r="L917" s="1"/>
      <c r="M917" s="1"/>
      <c r="N917" s="1"/>
      <c r="O917" s="1"/>
      <c r="P917" s="1"/>
      <c r="Q917" s="1"/>
    </row>
    <row r="918" spans="1:17" x14ac:dyDescent="0.25">
      <c r="A918" s="1"/>
      <c r="B918" s="1"/>
      <c r="C918" s="1"/>
      <c r="D918" s="1"/>
      <c r="E918" s="1"/>
      <c r="F918" s="1"/>
      <c r="G918" s="1"/>
      <c r="H918" s="1" t="s">
        <v>585</v>
      </c>
      <c r="I918" s="1"/>
      <c r="J918" s="1"/>
      <c r="K918" s="1"/>
      <c r="L918" s="1"/>
      <c r="M918" s="1"/>
      <c r="N918" s="1"/>
      <c r="O918" s="1"/>
      <c r="P918" s="1"/>
      <c r="Q918" s="1"/>
    </row>
    <row r="919" spans="1:17" x14ac:dyDescent="0.25">
      <c r="A919" s="1"/>
      <c r="B919" s="1"/>
      <c r="C919" s="1"/>
      <c r="D919" s="1"/>
      <c r="E919" s="1"/>
      <c r="F919" s="1"/>
      <c r="G919" s="1"/>
      <c r="H919" s="1" t="s">
        <v>585</v>
      </c>
      <c r="I919" s="1"/>
      <c r="J919" s="1"/>
      <c r="K919" s="1"/>
      <c r="L919" s="1"/>
      <c r="M919" s="1"/>
      <c r="N919" s="1"/>
      <c r="O919" s="1"/>
      <c r="P919" s="1"/>
      <c r="Q919" s="1"/>
    </row>
    <row r="920" spans="1:17" x14ac:dyDescent="0.25">
      <c r="A920" s="1"/>
      <c r="B920" s="1"/>
      <c r="C920" s="1"/>
      <c r="D920" s="1"/>
      <c r="E920" s="1"/>
      <c r="F920" s="1"/>
      <c r="G920" s="1"/>
      <c r="H920" s="1" t="s">
        <v>585</v>
      </c>
      <c r="I920" s="1"/>
      <c r="J920" s="1"/>
      <c r="K920" s="1"/>
      <c r="L920" s="1"/>
      <c r="M920" s="1"/>
      <c r="N920" s="1"/>
      <c r="O920" s="1"/>
      <c r="P920" s="1"/>
      <c r="Q920" s="1"/>
    </row>
    <row r="921" spans="1:17" x14ac:dyDescent="0.25">
      <c r="A921" s="1"/>
      <c r="B921" s="1"/>
      <c r="C921" s="1"/>
      <c r="D921" s="1"/>
      <c r="E921" s="1"/>
      <c r="F921" s="1"/>
      <c r="G921" s="1"/>
      <c r="H921" s="1" t="s">
        <v>585</v>
      </c>
      <c r="I921" s="1"/>
      <c r="J921" s="1"/>
      <c r="K921" s="1"/>
      <c r="L921" s="1"/>
      <c r="M921" s="1"/>
      <c r="N921" s="1"/>
      <c r="O921" s="1"/>
      <c r="P921" s="1"/>
      <c r="Q921" s="1"/>
    </row>
    <row r="922" spans="1:17" x14ac:dyDescent="0.25">
      <c r="A922" s="1"/>
      <c r="B922" s="1"/>
      <c r="C922" s="1"/>
      <c r="D922" s="1"/>
      <c r="E922" s="1"/>
      <c r="F922" s="1"/>
      <c r="G922" s="1"/>
      <c r="H922" s="1" t="s">
        <v>585</v>
      </c>
      <c r="I922" s="1"/>
      <c r="J922" s="1"/>
      <c r="K922" s="1"/>
      <c r="L922" s="1"/>
      <c r="M922" s="1"/>
      <c r="N922" s="1"/>
      <c r="O922" s="1"/>
      <c r="P922" s="1"/>
      <c r="Q922" s="1"/>
    </row>
    <row r="923" spans="1:17" x14ac:dyDescent="0.25">
      <c r="A923" s="1"/>
      <c r="B923" s="1"/>
      <c r="C923" s="1"/>
      <c r="D923" s="1"/>
      <c r="E923" s="1"/>
      <c r="F923" s="1"/>
      <c r="G923" s="1"/>
      <c r="H923" s="1" t="s">
        <v>585</v>
      </c>
      <c r="I923" s="1"/>
      <c r="J923" s="1"/>
      <c r="K923" s="1"/>
      <c r="L923" s="1"/>
      <c r="M923" s="1"/>
      <c r="N923" s="1"/>
      <c r="O923" s="1"/>
      <c r="P923" s="1"/>
      <c r="Q923" s="1"/>
    </row>
    <row r="924" spans="1:17" x14ac:dyDescent="0.25">
      <c r="A924" s="1"/>
      <c r="B924" s="1"/>
      <c r="C924" s="1"/>
      <c r="D924" s="1"/>
      <c r="E924" s="1"/>
      <c r="F924" s="1"/>
      <c r="G924" s="1"/>
      <c r="H924" s="1" t="s">
        <v>585</v>
      </c>
      <c r="I924" s="1"/>
      <c r="J924" s="1"/>
      <c r="K924" s="1"/>
      <c r="L924" s="1"/>
      <c r="M924" s="1"/>
      <c r="N924" s="1"/>
      <c r="O924" s="1"/>
      <c r="P924" s="1"/>
      <c r="Q924" s="1"/>
    </row>
    <row r="925" spans="1:17" x14ac:dyDescent="0.25">
      <c r="A925" s="1"/>
      <c r="B925" s="1"/>
      <c r="C925" s="1"/>
      <c r="D925" s="1"/>
      <c r="E925" s="1"/>
      <c r="F925" s="1"/>
      <c r="G925" s="1"/>
      <c r="H925" s="1" t="s">
        <v>585</v>
      </c>
      <c r="I925" s="1"/>
      <c r="J925" s="1"/>
      <c r="K925" s="1"/>
      <c r="L925" s="1"/>
      <c r="M925" s="1"/>
      <c r="N925" s="1"/>
      <c r="O925" s="1"/>
      <c r="P925" s="1"/>
      <c r="Q925" s="1"/>
    </row>
    <row r="926" spans="1:17" x14ac:dyDescent="0.25">
      <c r="A926" s="1"/>
      <c r="B926" s="1"/>
      <c r="C926" s="1"/>
      <c r="D926" s="1"/>
      <c r="E926" s="1"/>
      <c r="F926" s="1"/>
      <c r="G926" s="1"/>
      <c r="H926" s="1" t="s">
        <v>585</v>
      </c>
      <c r="I926" s="1"/>
      <c r="J926" s="1"/>
      <c r="K926" s="1"/>
      <c r="L926" s="1"/>
      <c r="M926" s="1"/>
      <c r="N926" s="1"/>
      <c r="O926" s="1"/>
      <c r="P926" s="1"/>
      <c r="Q926" s="1"/>
    </row>
    <row r="927" spans="1:17" x14ac:dyDescent="0.25">
      <c r="A927" s="1"/>
      <c r="B927" s="1"/>
      <c r="C927" s="1"/>
      <c r="D927" s="1"/>
      <c r="E927" s="1"/>
      <c r="F927" s="1"/>
      <c r="G927" s="1"/>
      <c r="H927" s="1" t="s">
        <v>585</v>
      </c>
      <c r="I927" s="1"/>
      <c r="J927" s="1"/>
      <c r="K927" s="1"/>
      <c r="L927" s="1"/>
      <c r="M927" s="1"/>
      <c r="N927" s="1"/>
      <c r="O927" s="1"/>
      <c r="P927" s="1"/>
      <c r="Q927" s="1"/>
    </row>
    <row r="928" spans="1:17" x14ac:dyDescent="0.25">
      <c r="A928" s="1"/>
      <c r="B928" s="1"/>
      <c r="C928" s="1"/>
      <c r="D928" s="1"/>
      <c r="E928" s="1"/>
      <c r="F928" s="1"/>
      <c r="G928" s="1"/>
      <c r="H928" s="1" t="s">
        <v>585</v>
      </c>
      <c r="I928" s="1"/>
      <c r="J928" s="1"/>
      <c r="K928" s="1"/>
      <c r="L928" s="1"/>
      <c r="M928" s="1"/>
      <c r="N928" s="1"/>
      <c r="O928" s="1"/>
      <c r="P928" s="1"/>
      <c r="Q928" s="1"/>
    </row>
    <row r="929" spans="1:17" x14ac:dyDescent="0.25">
      <c r="A929" s="1"/>
      <c r="B929" s="1"/>
      <c r="C929" s="1"/>
      <c r="D929" s="1"/>
      <c r="E929" s="1"/>
      <c r="F929" s="1"/>
      <c r="G929" s="1"/>
      <c r="H929" s="1" t="s">
        <v>585</v>
      </c>
      <c r="I929" s="1"/>
      <c r="J929" s="1"/>
      <c r="K929" s="1"/>
      <c r="L929" s="1"/>
      <c r="M929" s="1"/>
      <c r="N929" s="1"/>
      <c r="O929" s="1"/>
      <c r="P929" s="1"/>
      <c r="Q929" s="1"/>
    </row>
    <row r="930" spans="1:17" x14ac:dyDescent="0.25">
      <c r="A930" s="1"/>
      <c r="B930" s="1"/>
      <c r="C930" s="1"/>
      <c r="D930" s="1"/>
      <c r="E930" s="1"/>
      <c r="F930" s="1"/>
      <c r="G930" s="1"/>
      <c r="H930" s="1" t="s">
        <v>585</v>
      </c>
      <c r="I930" s="1"/>
      <c r="J930" s="1"/>
      <c r="K930" s="1"/>
      <c r="L930" s="1"/>
      <c r="M930" s="1"/>
      <c r="N930" s="1"/>
      <c r="O930" s="1"/>
      <c r="P930" s="1"/>
      <c r="Q930" s="1"/>
    </row>
    <row r="931" spans="1:17" x14ac:dyDescent="0.25">
      <c r="A931" s="1"/>
      <c r="B931" s="1"/>
      <c r="C931" s="1"/>
      <c r="D931" s="1"/>
      <c r="E931" s="1"/>
      <c r="F931" s="1"/>
      <c r="G931" s="1"/>
      <c r="H931" s="1" t="s">
        <v>585</v>
      </c>
      <c r="I931" s="1"/>
      <c r="J931" s="1"/>
      <c r="K931" s="1"/>
      <c r="L931" s="1"/>
      <c r="M931" s="1"/>
      <c r="N931" s="1"/>
      <c r="O931" s="1"/>
      <c r="P931" s="1"/>
      <c r="Q931" s="1"/>
    </row>
    <row r="932" spans="1:17" x14ac:dyDescent="0.25">
      <c r="A932" s="1"/>
      <c r="B932" s="1"/>
      <c r="C932" s="1"/>
      <c r="D932" s="1"/>
      <c r="E932" s="1"/>
      <c r="F932" s="1"/>
      <c r="G932" s="1"/>
      <c r="H932" s="1" t="s">
        <v>585</v>
      </c>
      <c r="I932" s="1"/>
      <c r="J932" s="1"/>
      <c r="K932" s="1"/>
      <c r="L932" s="1"/>
      <c r="M932" s="1"/>
      <c r="N932" s="1"/>
      <c r="O932" s="1"/>
      <c r="P932" s="1"/>
      <c r="Q932" s="1"/>
    </row>
    <row r="933" spans="1:17" x14ac:dyDescent="0.25">
      <c r="A933" s="1"/>
      <c r="B933" s="1"/>
      <c r="C933" s="1"/>
      <c r="D933" s="1"/>
      <c r="E933" s="1"/>
      <c r="F933" s="1"/>
      <c r="G933" s="1"/>
      <c r="H933" s="1" t="s">
        <v>585</v>
      </c>
      <c r="I933" s="1"/>
      <c r="J933" s="1"/>
      <c r="K933" s="1"/>
      <c r="L933" s="1"/>
      <c r="M933" s="1"/>
      <c r="N933" s="1"/>
      <c r="O933" s="1"/>
      <c r="P933" s="1"/>
      <c r="Q933" s="1"/>
    </row>
    <row r="934" spans="1:17" x14ac:dyDescent="0.25">
      <c r="A934" s="1"/>
      <c r="B934" s="1"/>
      <c r="C934" s="1"/>
      <c r="D934" s="1"/>
      <c r="E934" s="1"/>
      <c r="F934" s="1"/>
      <c r="G934" s="1"/>
      <c r="H934" s="1" t="s">
        <v>585</v>
      </c>
      <c r="I934" s="1"/>
      <c r="J934" s="1"/>
      <c r="K934" s="1"/>
      <c r="L934" s="1"/>
      <c r="M934" s="1"/>
      <c r="N934" s="1"/>
      <c r="O934" s="1"/>
      <c r="P934" s="1"/>
      <c r="Q934" s="1"/>
    </row>
    <row r="935" spans="1:17" x14ac:dyDescent="0.25">
      <c r="A935" s="1"/>
      <c r="B935" s="1"/>
      <c r="C935" s="1"/>
      <c r="D935" s="1"/>
      <c r="E935" s="1"/>
      <c r="F935" s="1"/>
      <c r="G935" s="1"/>
      <c r="H935" s="1" t="s">
        <v>585</v>
      </c>
      <c r="I935" s="1"/>
      <c r="J935" s="1"/>
      <c r="K935" s="1"/>
      <c r="L935" s="1"/>
      <c r="M935" s="1"/>
      <c r="N935" s="1"/>
      <c r="O935" s="1"/>
      <c r="P935" s="1"/>
      <c r="Q935" s="1"/>
    </row>
    <row r="936" spans="1:17" x14ac:dyDescent="0.25">
      <c r="A936" s="1"/>
      <c r="B936" s="1"/>
      <c r="C936" s="1"/>
      <c r="D936" s="1"/>
      <c r="E936" s="1"/>
      <c r="F936" s="1"/>
      <c r="G936" s="1"/>
      <c r="H936" s="1" t="s">
        <v>585</v>
      </c>
      <c r="I936" s="1"/>
      <c r="J936" s="1"/>
      <c r="K936" s="1"/>
      <c r="L936" s="1"/>
      <c r="M936" s="1"/>
      <c r="N936" s="1"/>
      <c r="O936" s="1"/>
      <c r="P936" s="1"/>
      <c r="Q936" s="1"/>
    </row>
    <row r="937" spans="1:17" x14ac:dyDescent="0.25">
      <c r="A937" s="1"/>
      <c r="B937" s="1"/>
      <c r="C937" s="1"/>
      <c r="D937" s="1"/>
      <c r="E937" s="1"/>
      <c r="F937" s="1"/>
      <c r="G937" s="1"/>
      <c r="H937" s="1" t="s">
        <v>585</v>
      </c>
      <c r="I937" s="1"/>
      <c r="J937" s="1"/>
      <c r="K937" s="1"/>
      <c r="L937" s="1"/>
      <c r="M937" s="1"/>
      <c r="N937" s="1"/>
      <c r="O937" s="1"/>
      <c r="P937" s="1"/>
      <c r="Q937" s="1"/>
    </row>
    <row r="938" spans="1:17" x14ac:dyDescent="0.25">
      <c r="A938" s="1"/>
      <c r="B938" s="1"/>
      <c r="C938" s="1"/>
      <c r="D938" s="1"/>
      <c r="E938" s="1"/>
      <c r="F938" s="1"/>
      <c r="G938" s="1"/>
      <c r="H938" s="1" t="s">
        <v>585</v>
      </c>
      <c r="I938" s="1"/>
      <c r="J938" s="1"/>
      <c r="K938" s="1"/>
      <c r="L938" s="1"/>
      <c r="M938" s="1"/>
      <c r="N938" s="1"/>
      <c r="O938" s="1"/>
      <c r="P938" s="1"/>
      <c r="Q938" s="1"/>
    </row>
    <row r="939" spans="1:17" x14ac:dyDescent="0.25">
      <c r="A939" s="1"/>
      <c r="B939" s="1"/>
      <c r="C939" s="1"/>
      <c r="D939" s="1"/>
      <c r="E939" s="1"/>
      <c r="F939" s="1"/>
      <c r="G939" s="1"/>
      <c r="H939" s="1" t="s">
        <v>585</v>
      </c>
      <c r="I939" s="1"/>
      <c r="J939" s="1"/>
      <c r="K939" s="1"/>
      <c r="L939" s="1"/>
      <c r="M939" s="1"/>
      <c r="N939" s="1"/>
      <c r="O939" s="1"/>
      <c r="P939" s="1"/>
      <c r="Q939" s="1"/>
    </row>
    <row r="940" spans="1:17" x14ac:dyDescent="0.25">
      <c r="A940" s="1"/>
      <c r="B940" s="1"/>
      <c r="C940" s="1"/>
      <c r="D940" s="1"/>
      <c r="E940" s="1"/>
      <c r="F940" s="1"/>
      <c r="G940" s="1"/>
      <c r="H940" s="1" t="s">
        <v>585</v>
      </c>
      <c r="I940" s="1"/>
      <c r="J940" s="1"/>
      <c r="K940" s="1"/>
      <c r="L940" s="1"/>
      <c r="M940" s="1"/>
      <c r="N940" s="1"/>
      <c r="O940" s="1"/>
      <c r="P940" s="1"/>
      <c r="Q940" s="1"/>
    </row>
    <row r="941" spans="1:17" x14ac:dyDescent="0.25">
      <c r="A941" s="1"/>
      <c r="B941" s="1"/>
      <c r="C941" s="1"/>
      <c r="D941" s="1"/>
      <c r="E941" s="1"/>
      <c r="F941" s="1"/>
      <c r="G941" s="1"/>
      <c r="H941" s="1" t="s">
        <v>585</v>
      </c>
      <c r="I941" s="1"/>
      <c r="J941" s="1"/>
      <c r="K941" s="1"/>
      <c r="L941" s="1"/>
      <c r="M941" s="1"/>
      <c r="N941" s="1"/>
      <c r="O941" s="1"/>
      <c r="P941" s="1"/>
      <c r="Q941" s="1"/>
    </row>
    <row r="942" spans="1:17" x14ac:dyDescent="0.25">
      <c r="A942" s="1"/>
      <c r="B942" s="1"/>
      <c r="C942" s="1"/>
      <c r="D942" s="1"/>
      <c r="E942" s="1"/>
      <c r="F942" s="1"/>
      <c r="G942" s="1"/>
      <c r="H942" s="1" t="s">
        <v>585</v>
      </c>
      <c r="I942" s="1"/>
      <c r="J942" s="1"/>
      <c r="K942" s="1"/>
      <c r="L942" s="1"/>
      <c r="M942" s="1"/>
      <c r="N942" s="1"/>
      <c r="O942" s="1"/>
      <c r="P942" s="1"/>
      <c r="Q942" s="1"/>
    </row>
    <row r="943" spans="1:17" x14ac:dyDescent="0.25">
      <c r="A943" s="1"/>
      <c r="B943" s="1"/>
      <c r="C943" s="1"/>
      <c r="D943" s="1"/>
      <c r="E943" s="1"/>
      <c r="F943" s="1"/>
      <c r="G943" s="1"/>
      <c r="H943" s="1" t="s">
        <v>585</v>
      </c>
      <c r="I943" s="1"/>
      <c r="J943" s="1"/>
      <c r="K943" s="1"/>
      <c r="L943" s="1"/>
      <c r="M943" s="1"/>
      <c r="N943" s="1"/>
      <c r="O943" s="1"/>
      <c r="P943" s="1"/>
      <c r="Q943" s="1"/>
    </row>
    <row r="944" spans="1:17" x14ac:dyDescent="0.25">
      <c r="A944" s="1"/>
      <c r="B944" s="1"/>
      <c r="C944" s="1"/>
      <c r="D944" s="1"/>
      <c r="E944" s="1"/>
      <c r="F944" s="1"/>
      <c r="G944" s="1"/>
      <c r="H944" s="1" t="s">
        <v>585</v>
      </c>
      <c r="I944" s="1"/>
      <c r="J944" s="1"/>
      <c r="K944" s="1"/>
      <c r="L944" s="1"/>
      <c r="M944" s="1"/>
      <c r="N944" s="1"/>
      <c r="O944" s="1"/>
      <c r="P944" s="1"/>
      <c r="Q944" s="1"/>
    </row>
    <row r="945" spans="1:17" x14ac:dyDescent="0.25">
      <c r="A945" s="1"/>
      <c r="B945" s="1"/>
      <c r="C945" s="1"/>
      <c r="D945" s="1"/>
      <c r="E945" s="1"/>
      <c r="F945" s="1"/>
      <c r="G945" s="1"/>
      <c r="H945" s="1" t="s">
        <v>585</v>
      </c>
      <c r="I945" s="1"/>
      <c r="J945" s="1"/>
      <c r="K945" s="1"/>
      <c r="L945" s="1"/>
      <c r="M945" s="1"/>
      <c r="N945" s="1"/>
      <c r="O945" s="1"/>
      <c r="P945" s="1"/>
      <c r="Q945" s="1"/>
    </row>
    <row r="946" spans="1:17" x14ac:dyDescent="0.25">
      <c r="A946" s="1"/>
      <c r="B946" s="1"/>
      <c r="C946" s="1"/>
      <c r="D946" s="1"/>
      <c r="E946" s="1"/>
      <c r="F946" s="1"/>
      <c r="G946" s="1"/>
      <c r="H946" s="1" t="s">
        <v>585</v>
      </c>
      <c r="I946" s="1"/>
      <c r="J946" s="1"/>
      <c r="K946" s="1"/>
      <c r="L946" s="1"/>
      <c r="M946" s="1"/>
      <c r="N946" s="1"/>
      <c r="O946" s="1"/>
      <c r="P946" s="1"/>
      <c r="Q946" s="1"/>
    </row>
    <row r="947" spans="1:17" x14ac:dyDescent="0.25">
      <c r="A947" s="1"/>
      <c r="B947" s="1"/>
      <c r="C947" s="1"/>
      <c r="D947" s="1"/>
      <c r="E947" s="1"/>
      <c r="F947" s="1"/>
      <c r="G947" s="1"/>
      <c r="H947" s="1" t="s">
        <v>585</v>
      </c>
      <c r="I947" s="1"/>
      <c r="J947" s="1"/>
      <c r="K947" s="1"/>
      <c r="L947" s="1"/>
      <c r="M947" s="1"/>
      <c r="N947" s="1"/>
      <c r="O947" s="1"/>
      <c r="P947" s="1"/>
      <c r="Q947" s="1"/>
    </row>
    <row r="948" spans="1:17" x14ac:dyDescent="0.25">
      <c r="A948" s="1"/>
      <c r="B948" s="1"/>
      <c r="C948" s="1"/>
      <c r="D948" s="1"/>
      <c r="E948" s="1"/>
      <c r="F948" s="1"/>
      <c r="G948" s="1"/>
      <c r="H948" s="1" t="s">
        <v>585</v>
      </c>
      <c r="I948" s="1"/>
      <c r="J948" s="1"/>
      <c r="K948" s="1"/>
      <c r="L948" s="1"/>
      <c r="M948" s="1"/>
      <c r="N948" s="1"/>
      <c r="O948" s="1"/>
      <c r="P948" s="1"/>
      <c r="Q948" s="1"/>
    </row>
    <row r="949" spans="1:17" x14ac:dyDescent="0.25">
      <c r="A949" s="1"/>
      <c r="B949" s="1"/>
      <c r="C949" s="1"/>
      <c r="D949" s="1"/>
      <c r="E949" s="1"/>
      <c r="F949" s="1"/>
      <c r="G949" s="1"/>
      <c r="H949" s="1" t="s">
        <v>585</v>
      </c>
      <c r="I949" s="1"/>
      <c r="J949" s="1"/>
      <c r="K949" s="1"/>
      <c r="L949" s="1"/>
      <c r="M949" s="1"/>
      <c r="N949" s="1"/>
      <c r="O949" s="1"/>
      <c r="P949" s="1"/>
      <c r="Q949" s="1"/>
    </row>
    <row r="950" spans="1:17" x14ac:dyDescent="0.25">
      <c r="A950" s="1"/>
      <c r="B950" s="1"/>
      <c r="C950" s="1"/>
      <c r="D950" s="1"/>
      <c r="E950" s="1"/>
      <c r="F950" s="1"/>
      <c r="G950" s="1"/>
      <c r="H950" s="1" t="s">
        <v>585</v>
      </c>
      <c r="I950" s="1"/>
      <c r="J950" s="1"/>
      <c r="K950" s="1"/>
      <c r="L950" s="1"/>
      <c r="M950" s="1"/>
      <c r="N950" s="1"/>
      <c r="O950" s="1"/>
      <c r="P950" s="1"/>
      <c r="Q950" s="1"/>
    </row>
    <row r="951" spans="1:17" x14ac:dyDescent="0.25">
      <c r="A951" s="1"/>
      <c r="B951" s="1"/>
      <c r="C951" s="1"/>
      <c r="D951" s="1"/>
      <c r="E951" s="1"/>
      <c r="F951" s="1"/>
      <c r="G951" s="1"/>
      <c r="H951" s="1" t="s">
        <v>585</v>
      </c>
      <c r="I951" s="1"/>
      <c r="J951" s="1"/>
      <c r="K951" s="1"/>
      <c r="L951" s="1"/>
      <c r="M951" s="1"/>
      <c r="N951" s="1"/>
      <c r="O951" s="1"/>
      <c r="P951" s="1"/>
      <c r="Q951" s="1"/>
    </row>
    <row r="952" spans="1:17" x14ac:dyDescent="0.25">
      <c r="A952" s="1"/>
      <c r="B952" s="1"/>
      <c r="C952" s="1"/>
      <c r="D952" s="1"/>
      <c r="E952" s="1"/>
      <c r="F952" s="1"/>
      <c r="G952" s="1"/>
      <c r="H952" s="1" t="s">
        <v>585</v>
      </c>
      <c r="I952" s="1"/>
      <c r="J952" s="1"/>
      <c r="K952" s="1"/>
      <c r="L952" s="1"/>
      <c r="M952" s="1"/>
      <c r="N952" s="1"/>
      <c r="O952" s="1"/>
      <c r="P952" s="1"/>
      <c r="Q952" s="1"/>
    </row>
    <row r="953" spans="1:17" x14ac:dyDescent="0.25">
      <c r="A953" s="1"/>
      <c r="B953" s="1"/>
      <c r="C953" s="1"/>
      <c r="D953" s="1"/>
      <c r="E953" s="1"/>
      <c r="F953" s="1"/>
      <c r="G953" s="1"/>
      <c r="H953" s="1" t="s">
        <v>585</v>
      </c>
      <c r="I953" s="1"/>
      <c r="J953" s="1"/>
      <c r="K953" s="1"/>
      <c r="L953" s="1"/>
      <c r="M953" s="1"/>
      <c r="N953" s="1"/>
      <c r="O953" s="1"/>
      <c r="P953" s="1"/>
      <c r="Q953" s="1"/>
    </row>
    <row r="954" spans="1:17" x14ac:dyDescent="0.25">
      <c r="A954" s="1"/>
      <c r="B954" s="1"/>
      <c r="C954" s="1"/>
      <c r="D954" s="1"/>
      <c r="E954" s="1"/>
      <c r="F954" s="1"/>
      <c r="G954" s="1"/>
      <c r="H954" s="1" t="s">
        <v>585</v>
      </c>
      <c r="I954" s="1"/>
      <c r="J954" s="1"/>
      <c r="K954" s="1"/>
      <c r="L954" s="1"/>
      <c r="M954" s="1"/>
      <c r="N954" s="1"/>
      <c r="O954" s="1"/>
      <c r="P954" s="1"/>
      <c r="Q954" s="1"/>
    </row>
    <row r="955" spans="1:17" x14ac:dyDescent="0.25">
      <c r="A955" s="1"/>
      <c r="B955" s="1"/>
      <c r="C955" s="1"/>
      <c r="D955" s="1"/>
      <c r="E955" s="1"/>
      <c r="F955" s="1"/>
      <c r="G955" s="1"/>
      <c r="H955" s="1" t="s">
        <v>585</v>
      </c>
      <c r="I955" s="1"/>
      <c r="J955" s="1"/>
      <c r="K955" s="1"/>
      <c r="L955" s="1"/>
      <c r="M955" s="1"/>
      <c r="N955" s="1"/>
      <c r="O955" s="1"/>
      <c r="P955" s="1"/>
      <c r="Q955" s="1"/>
    </row>
    <row r="956" spans="1:17" x14ac:dyDescent="0.25">
      <c r="A956" s="1"/>
      <c r="B956" s="1"/>
      <c r="C956" s="1"/>
      <c r="D956" s="1"/>
      <c r="E956" s="1"/>
      <c r="F956" s="1"/>
      <c r="G956" s="1"/>
      <c r="H956" s="1" t="s">
        <v>585</v>
      </c>
      <c r="I956" s="1"/>
      <c r="J956" s="1"/>
      <c r="K956" s="1"/>
      <c r="L956" s="1"/>
      <c r="M956" s="1"/>
      <c r="N956" s="1"/>
      <c r="O956" s="1"/>
      <c r="P956" s="1"/>
      <c r="Q956" s="1"/>
    </row>
    <row r="957" spans="1:17" x14ac:dyDescent="0.25">
      <c r="A957" s="1"/>
      <c r="B957" s="1"/>
      <c r="C957" s="1"/>
      <c r="D957" s="1"/>
      <c r="E957" s="1"/>
      <c r="F957" s="1"/>
      <c r="G957" s="1"/>
      <c r="H957" s="1" t="s">
        <v>585</v>
      </c>
      <c r="I957" s="1"/>
      <c r="J957" s="1"/>
      <c r="K957" s="1"/>
      <c r="L957" s="1"/>
      <c r="M957" s="1"/>
      <c r="N957" s="1"/>
      <c r="O957" s="1"/>
      <c r="P957" s="1"/>
      <c r="Q957" s="1"/>
    </row>
    <row r="958" spans="1:17" x14ac:dyDescent="0.25">
      <c r="A958" s="1"/>
      <c r="B958" s="1"/>
      <c r="C958" s="1"/>
      <c r="D958" s="1"/>
      <c r="E958" s="1"/>
      <c r="F958" s="1"/>
      <c r="G958" s="1"/>
      <c r="H958" s="1" t="s">
        <v>585</v>
      </c>
      <c r="I958" s="1"/>
      <c r="J958" s="1"/>
      <c r="K958" s="1"/>
      <c r="L958" s="1"/>
      <c r="M958" s="1"/>
      <c r="N958" s="1"/>
      <c r="O958" s="1"/>
      <c r="P958" s="1"/>
      <c r="Q958" s="1"/>
    </row>
    <row r="959" spans="1:17" x14ac:dyDescent="0.25">
      <c r="A959" s="1"/>
      <c r="B959" s="1"/>
      <c r="C959" s="1"/>
      <c r="D959" s="1"/>
      <c r="E959" s="1"/>
      <c r="F959" s="1"/>
      <c r="G959" s="1"/>
      <c r="H959" s="1" t="s">
        <v>585</v>
      </c>
      <c r="I959" s="1"/>
      <c r="J959" s="1"/>
      <c r="K959" s="1"/>
      <c r="L959" s="1"/>
      <c r="M959" s="1"/>
      <c r="N959" s="1"/>
      <c r="O959" s="1"/>
      <c r="P959" s="1"/>
      <c r="Q959" s="1"/>
    </row>
    <row r="960" spans="1:17" x14ac:dyDescent="0.25">
      <c r="A960" s="1"/>
      <c r="B960" s="1"/>
      <c r="C960" s="1"/>
      <c r="D960" s="1"/>
      <c r="E960" s="1"/>
      <c r="F960" s="1"/>
      <c r="G960" s="1"/>
      <c r="H960" s="1" t="s">
        <v>585</v>
      </c>
      <c r="I960" s="1"/>
      <c r="J960" s="1"/>
      <c r="K960" s="1"/>
      <c r="L960" s="1"/>
      <c r="M960" s="1"/>
      <c r="N960" s="1"/>
      <c r="O960" s="1"/>
      <c r="P960" s="1"/>
      <c r="Q960" s="1"/>
    </row>
    <row r="961" spans="1:17" x14ac:dyDescent="0.25">
      <c r="A961" s="1"/>
      <c r="B961" s="1"/>
      <c r="C961" s="1"/>
      <c r="D961" s="1"/>
      <c r="E961" s="1"/>
      <c r="F961" s="1"/>
      <c r="G961" s="1"/>
      <c r="H961" s="1" t="s">
        <v>585</v>
      </c>
      <c r="I961" s="1"/>
      <c r="J961" s="1"/>
      <c r="K961" s="1"/>
      <c r="L961" s="1"/>
      <c r="M961" s="1"/>
      <c r="N961" s="1"/>
      <c r="O961" s="1"/>
      <c r="P961" s="1"/>
      <c r="Q961" s="1"/>
    </row>
    <row r="962" spans="1:17" x14ac:dyDescent="0.25">
      <c r="A962" s="1"/>
      <c r="B962" s="1"/>
      <c r="C962" s="1"/>
      <c r="D962" s="1"/>
      <c r="E962" s="1"/>
      <c r="F962" s="1"/>
      <c r="G962" s="1"/>
      <c r="H962" s="1" t="s">
        <v>585</v>
      </c>
      <c r="I962" s="1"/>
      <c r="J962" s="1"/>
      <c r="K962" s="1"/>
      <c r="L962" s="1"/>
      <c r="M962" s="1"/>
      <c r="N962" s="1"/>
      <c r="O962" s="1"/>
      <c r="P962" s="1"/>
      <c r="Q962" s="1"/>
    </row>
    <row r="963" spans="1:17" x14ac:dyDescent="0.25">
      <c r="A963" s="1"/>
      <c r="B963" s="1"/>
      <c r="C963" s="1"/>
      <c r="D963" s="1"/>
      <c r="E963" s="1"/>
      <c r="F963" s="1"/>
      <c r="G963" s="1"/>
      <c r="H963" s="1" t="s">
        <v>585</v>
      </c>
      <c r="I963" s="1"/>
      <c r="J963" s="1"/>
      <c r="K963" s="1"/>
      <c r="L963" s="1"/>
      <c r="M963" s="1"/>
      <c r="N963" s="1"/>
      <c r="O963" s="1"/>
      <c r="P963" s="1"/>
      <c r="Q963" s="1"/>
    </row>
    <row r="964" spans="1:17" x14ac:dyDescent="0.25">
      <c r="A964" s="1"/>
      <c r="B964" s="1"/>
      <c r="C964" s="1"/>
      <c r="D964" s="1"/>
      <c r="E964" s="1"/>
      <c r="F964" s="1"/>
      <c r="G964" s="1"/>
      <c r="H964" s="1" t="s">
        <v>585</v>
      </c>
      <c r="I964" s="1"/>
      <c r="J964" s="1"/>
      <c r="K964" s="1"/>
      <c r="L964" s="1"/>
      <c r="M964" s="1"/>
      <c r="N964" s="1"/>
      <c r="O964" s="1"/>
      <c r="P964" s="1"/>
      <c r="Q964" s="1"/>
    </row>
    <row r="965" spans="1:17" x14ac:dyDescent="0.25">
      <c r="A965" s="1"/>
      <c r="B965" s="1"/>
      <c r="C965" s="1"/>
      <c r="D965" s="1"/>
      <c r="E965" s="1"/>
      <c r="F965" s="1"/>
      <c r="G965" s="1"/>
      <c r="H965" s="1" t="s">
        <v>585</v>
      </c>
      <c r="I965" s="1"/>
      <c r="J965" s="1"/>
      <c r="K965" s="1"/>
      <c r="L965" s="1"/>
      <c r="M965" s="1"/>
      <c r="N965" s="1"/>
      <c r="O965" s="1"/>
      <c r="P965" s="1"/>
      <c r="Q965" s="1"/>
    </row>
    <row r="966" spans="1:17" x14ac:dyDescent="0.25">
      <c r="A966" s="1"/>
      <c r="B966" s="1"/>
      <c r="C966" s="1"/>
      <c r="D966" s="1"/>
      <c r="E966" s="1"/>
      <c r="F966" s="1"/>
      <c r="G966" s="1"/>
      <c r="H966" s="1" t="s">
        <v>585</v>
      </c>
      <c r="I966" s="1"/>
      <c r="J966" s="1"/>
      <c r="K966" s="1"/>
      <c r="L966" s="1"/>
      <c r="M966" s="1"/>
      <c r="N966" s="1"/>
      <c r="O966" s="1"/>
      <c r="P966" s="1"/>
      <c r="Q966" s="1"/>
    </row>
    <row r="967" spans="1:17" x14ac:dyDescent="0.25">
      <c r="A967" s="1"/>
      <c r="B967" s="1"/>
      <c r="C967" s="1"/>
      <c r="D967" s="1"/>
      <c r="E967" s="1"/>
      <c r="F967" s="1"/>
      <c r="G967" s="1"/>
      <c r="H967" s="1" t="s">
        <v>585</v>
      </c>
      <c r="I967" s="1"/>
      <c r="J967" s="1"/>
      <c r="K967" s="1"/>
      <c r="L967" s="1"/>
      <c r="M967" s="1"/>
      <c r="N967" s="1"/>
      <c r="O967" s="1"/>
      <c r="P967" s="1"/>
      <c r="Q967" s="1"/>
    </row>
    <row r="968" spans="1:17" x14ac:dyDescent="0.25">
      <c r="A968" s="1"/>
      <c r="B968" s="1"/>
      <c r="C968" s="1"/>
      <c r="D968" s="1"/>
      <c r="E968" s="1"/>
      <c r="F968" s="1"/>
      <c r="G968" s="1"/>
      <c r="H968" s="1" t="s">
        <v>585</v>
      </c>
      <c r="I968" s="1"/>
      <c r="J968" s="1"/>
      <c r="K968" s="1"/>
      <c r="L968" s="1"/>
      <c r="M968" s="1"/>
      <c r="N968" s="1"/>
      <c r="O968" s="1"/>
      <c r="P968" s="1"/>
      <c r="Q968" s="1"/>
    </row>
    <row r="969" spans="1:17" x14ac:dyDescent="0.25">
      <c r="A969" s="1"/>
      <c r="B969" s="1"/>
      <c r="C969" s="1"/>
      <c r="D969" s="1"/>
      <c r="E969" s="1"/>
      <c r="F969" s="1"/>
      <c r="G969" s="1"/>
      <c r="H969" s="1" t="s">
        <v>585</v>
      </c>
      <c r="I969" s="1"/>
      <c r="J969" s="1"/>
      <c r="K969" s="1"/>
      <c r="L969" s="1"/>
      <c r="M969" s="1"/>
      <c r="N969" s="1"/>
      <c r="O969" s="1"/>
      <c r="P969" s="1"/>
      <c r="Q969" s="1"/>
    </row>
    <row r="970" spans="1:17" x14ac:dyDescent="0.25">
      <c r="A970" s="1"/>
      <c r="B970" s="1"/>
      <c r="C970" s="1"/>
      <c r="D970" s="1"/>
      <c r="E970" s="1"/>
      <c r="F970" s="1"/>
      <c r="G970" s="1"/>
      <c r="H970" s="1" t="s">
        <v>585</v>
      </c>
      <c r="I970" s="1"/>
      <c r="J970" s="1"/>
      <c r="K970" s="1"/>
      <c r="L970" s="1"/>
      <c r="M970" s="1"/>
      <c r="N970" s="1"/>
      <c r="O970" s="1"/>
      <c r="P970" s="1"/>
      <c r="Q970" s="1"/>
    </row>
    <row r="971" spans="1:17" x14ac:dyDescent="0.25">
      <c r="A971" s="1"/>
      <c r="B971" s="1"/>
      <c r="C971" s="1"/>
      <c r="D971" s="1"/>
      <c r="E971" s="1"/>
      <c r="F971" s="1"/>
      <c r="G971" s="1"/>
      <c r="H971" s="1" t="s">
        <v>585</v>
      </c>
      <c r="I971" s="1"/>
      <c r="J971" s="1"/>
      <c r="K971" s="1"/>
      <c r="L971" s="1"/>
      <c r="M971" s="1"/>
      <c r="N971" s="1"/>
      <c r="O971" s="1"/>
      <c r="P971" s="1"/>
      <c r="Q971" s="1"/>
    </row>
    <row r="972" spans="1:17" x14ac:dyDescent="0.25">
      <c r="A972" s="1"/>
      <c r="B972" s="1"/>
      <c r="C972" s="1"/>
      <c r="D972" s="1"/>
      <c r="E972" s="1"/>
      <c r="F972" s="1"/>
      <c r="G972" s="1"/>
      <c r="H972" s="1" t="s">
        <v>585</v>
      </c>
      <c r="I972" s="1"/>
      <c r="J972" s="1"/>
      <c r="K972" s="1"/>
      <c r="L972" s="1"/>
      <c r="M972" s="1"/>
      <c r="N972" s="1"/>
      <c r="O972" s="1"/>
      <c r="P972" s="1"/>
      <c r="Q972" s="1"/>
    </row>
    <row r="973" spans="1:17" x14ac:dyDescent="0.25">
      <c r="A973" s="1"/>
      <c r="B973" s="1"/>
      <c r="C973" s="1"/>
      <c r="D973" s="1"/>
      <c r="E973" s="1"/>
      <c r="F973" s="1"/>
      <c r="G973" s="1"/>
      <c r="H973" s="1" t="s">
        <v>585</v>
      </c>
      <c r="I973" s="1"/>
      <c r="J973" s="1"/>
      <c r="K973" s="1"/>
      <c r="L973" s="1"/>
      <c r="M973" s="1"/>
      <c r="N973" s="1"/>
      <c r="O973" s="1"/>
      <c r="P973" s="1"/>
      <c r="Q973" s="1"/>
    </row>
    <row r="974" spans="1:17" x14ac:dyDescent="0.25">
      <c r="A974" s="1"/>
      <c r="B974" s="1"/>
      <c r="C974" s="1"/>
      <c r="D974" s="1"/>
      <c r="E974" s="1"/>
      <c r="F974" s="1"/>
      <c r="G974" s="1"/>
      <c r="H974" s="1" t="s">
        <v>585</v>
      </c>
      <c r="I974" s="1"/>
      <c r="J974" s="1"/>
      <c r="K974" s="1"/>
      <c r="L974" s="1"/>
      <c r="M974" s="1"/>
      <c r="N974" s="1"/>
      <c r="O974" s="1"/>
      <c r="P974" s="1"/>
      <c r="Q974" s="1"/>
    </row>
    <row r="975" spans="1:17" x14ac:dyDescent="0.25">
      <c r="A975" s="1"/>
      <c r="B975" s="1"/>
      <c r="C975" s="1"/>
      <c r="D975" s="1"/>
      <c r="E975" s="1"/>
      <c r="F975" s="1"/>
      <c r="G975" s="1"/>
      <c r="H975" s="1" t="s">
        <v>585</v>
      </c>
      <c r="I975" s="1"/>
      <c r="J975" s="1"/>
      <c r="K975" s="1"/>
      <c r="L975" s="1"/>
      <c r="M975" s="1"/>
      <c r="N975" s="1"/>
      <c r="O975" s="1"/>
      <c r="P975" s="1"/>
      <c r="Q975" s="1"/>
    </row>
    <row r="976" spans="1:17" x14ac:dyDescent="0.25">
      <c r="A976" s="1"/>
      <c r="B976" s="1"/>
      <c r="C976" s="1"/>
      <c r="D976" s="1"/>
      <c r="E976" s="1"/>
      <c r="F976" s="1"/>
      <c r="G976" s="1"/>
      <c r="H976" s="1" t="s">
        <v>585</v>
      </c>
      <c r="I976" s="1"/>
      <c r="J976" s="1"/>
      <c r="K976" s="1"/>
      <c r="L976" s="1"/>
      <c r="M976" s="1"/>
      <c r="N976" s="1"/>
      <c r="O976" s="1"/>
      <c r="P976" s="1"/>
      <c r="Q976" s="1"/>
    </row>
    <row r="977" spans="1:17" x14ac:dyDescent="0.25">
      <c r="A977" s="1"/>
      <c r="B977" s="1"/>
      <c r="C977" s="1"/>
      <c r="D977" s="1"/>
      <c r="E977" s="1"/>
      <c r="F977" s="1"/>
      <c r="G977" s="1"/>
      <c r="H977" s="1" t="s">
        <v>585</v>
      </c>
      <c r="I977" s="1"/>
      <c r="J977" s="1"/>
      <c r="K977" s="1"/>
      <c r="L977" s="1"/>
      <c r="M977" s="1"/>
      <c r="N977" s="1"/>
      <c r="O977" s="1"/>
      <c r="P977" s="1"/>
      <c r="Q977" s="1"/>
    </row>
    <row r="978" spans="1:17" x14ac:dyDescent="0.25">
      <c r="A978" s="1"/>
      <c r="B978" s="1"/>
      <c r="C978" s="1"/>
      <c r="D978" s="1"/>
      <c r="E978" s="1"/>
      <c r="F978" s="1"/>
      <c r="G978" s="1"/>
      <c r="H978" s="1" t="s">
        <v>585</v>
      </c>
      <c r="I978" s="1"/>
      <c r="J978" s="1"/>
      <c r="K978" s="1"/>
      <c r="L978" s="1"/>
      <c r="M978" s="1"/>
      <c r="N978" s="1"/>
      <c r="O978" s="1"/>
      <c r="P978" s="1"/>
      <c r="Q978" s="1"/>
    </row>
    <row r="979" spans="1:17" x14ac:dyDescent="0.25">
      <c r="A979" s="1"/>
      <c r="B979" s="1"/>
      <c r="C979" s="1"/>
      <c r="D979" s="1"/>
      <c r="E979" s="1"/>
      <c r="F979" s="1"/>
      <c r="G979" s="1"/>
      <c r="H979" s="1" t="s">
        <v>585</v>
      </c>
      <c r="I979" s="1"/>
      <c r="J979" s="1"/>
      <c r="K979" s="1"/>
      <c r="L979" s="1"/>
      <c r="M979" s="1"/>
      <c r="N979" s="1"/>
      <c r="O979" s="1"/>
      <c r="P979" s="1"/>
      <c r="Q979" s="1"/>
    </row>
    <row r="980" spans="1:17" x14ac:dyDescent="0.25">
      <c r="A980" s="1"/>
      <c r="B980" s="1"/>
      <c r="C980" s="1"/>
      <c r="D980" s="1"/>
      <c r="E980" s="1"/>
      <c r="F980" s="1"/>
      <c r="G980" s="1"/>
      <c r="H980" s="1" t="s">
        <v>585</v>
      </c>
      <c r="I980" s="1"/>
      <c r="J980" s="1"/>
      <c r="K980" s="1"/>
      <c r="L980" s="1"/>
      <c r="M980" s="1"/>
      <c r="N980" s="1"/>
      <c r="O980" s="1"/>
      <c r="P980" s="1"/>
      <c r="Q980" s="1"/>
    </row>
    <row r="981" spans="1:17" x14ac:dyDescent="0.25">
      <c r="A981" s="1"/>
      <c r="B981" s="1"/>
      <c r="C981" s="1"/>
      <c r="D981" s="1"/>
      <c r="E981" s="1"/>
      <c r="F981" s="1"/>
      <c r="G981" s="1"/>
      <c r="H981" s="1" t="s">
        <v>585</v>
      </c>
      <c r="I981" s="1"/>
      <c r="J981" s="1"/>
      <c r="K981" s="1"/>
      <c r="L981" s="1"/>
      <c r="M981" s="1"/>
      <c r="N981" s="1"/>
      <c r="O981" s="1"/>
      <c r="P981" s="1"/>
      <c r="Q981" s="1"/>
    </row>
    <row r="982" spans="1:17" x14ac:dyDescent="0.25">
      <c r="A982" s="1"/>
      <c r="B982" s="1"/>
      <c r="C982" s="1"/>
      <c r="D982" s="1"/>
      <c r="E982" s="1"/>
      <c r="F982" s="1"/>
      <c r="G982" s="1"/>
      <c r="H982" s="1" t="s">
        <v>585</v>
      </c>
      <c r="I982" s="1"/>
      <c r="J982" s="1"/>
      <c r="K982" s="1"/>
      <c r="L982" s="1"/>
      <c r="M982" s="1"/>
      <c r="N982" s="1"/>
      <c r="O982" s="1"/>
      <c r="P982" s="1"/>
      <c r="Q982" s="1"/>
    </row>
    <row r="983" spans="1:17" x14ac:dyDescent="0.25">
      <c r="A983" s="1"/>
      <c r="B983" s="1"/>
      <c r="C983" s="1"/>
      <c r="D983" s="1"/>
      <c r="E983" s="1"/>
      <c r="F983" s="1"/>
      <c r="G983" s="1"/>
      <c r="H983" s="1" t="s">
        <v>585</v>
      </c>
      <c r="I983" s="1"/>
      <c r="J983" s="1"/>
      <c r="K983" s="1"/>
      <c r="L983" s="1"/>
      <c r="M983" s="1"/>
      <c r="N983" s="1"/>
      <c r="O983" s="1"/>
      <c r="P983" s="1"/>
      <c r="Q983" s="1"/>
    </row>
    <row r="984" spans="1:17" x14ac:dyDescent="0.25">
      <c r="A984" s="1"/>
      <c r="B984" s="1"/>
      <c r="C984" s="1"/>
      <c r="D984" s="1"/>
      <c r="E984" s="1"/>
      <c r="F984" s="1"/>
      <c r="G984" s="1"/>
      <c r="H984" s="1" t="s">
        <v>585</v>
      </c>
      <c r="I984" s="1"/>
      <c r="J984" s="1"/>
      <c r="K984" s="1"/>
      <c r="L984" s="1"/>
      <c r="M984" s="1"/>
      <c r="N984" s="1"/>
      <c r="O984" s="1"/>
      <c r="P984" s="1"/>
      <c r="Q984" s="1"/>
    </row>
    <row r="985" spans="1:17" x14ac:dyDescent="0.25">
      <c r="A985" s="1"/>
      <c r="B985" s="1"/>
      <c r="C985" s="1"/>
      <c r="D985" s="1"/>
      <c r="E985" s="1"/>
      <c r="F985" s="1"/>
      <c r="G985" s="1"/>
      <c r="H985" s="1" t="s">
        <v>585</v>
      </c>
      <c r="I985" s="1"/>
      <c r="J985" s="1"/>
      <c r="K985" s="1"/>
      <c r="L985" s="1"/>
      <c r="M985" s="1"/>
      <c r="N985" s="1"/>
      <c r="O985" s="1"/>
      <c r="P985" s="1"/>
      <c r="Q985" s="1"/>
    </row>
    <row r="986" spans="1:17" x14ac:dyDescent="0.25">
      <c r="A986" s="1"/>
      <c r="B986" s="1"/>
      <c r="C986" s="1"/>
      <c r="D986" s="1"/>
      <c r="E986" s="1"/>
      <c r="F986" s="1"/>
      <c r="G986" s="1"/>
      <c r="H986" s="1" t="s">
        <v>585</v>
      </c>
      <c r="I986" s="1"/>
      <c r="J986" s="1"/>
      <c r="K986" s="1"/>
      <c r="L986" s="1"/>
      <c r="M986" s="1"/>
      <c r="N986" s="1"/>
      <c r="O986" s="1"/>
      <c r="P986" s="1"/>
      <c r="Q986" s="1"/>
    </row>
    <row r="987" spans="1:17" x14ac:dyDescent="0.25">
      <c r="A987" s="1"/>
      <c r="B987" s="1"/>
      <c r="C987" s="1"/>
      <c r="D987" s="1"/>
      <c r="E987" s="1"/>
      <c r="F987" s="1"/>
      <c r="G987" s="1"/>
      <c r="H987" s="1" t="s">
        <v>585</v>
      </c>
      <c r="I987" s="1"/>
      <c r="J987" s="1"/>
      <c r="K987" s="1"/>
      <c r="L987" s="1"/>
      <c r="M987" s="1"/>
      <c r="N987" s="1"/>
      <c r="O987" s="1"/>
      <c r="P987" s="1"/>
      <c r="Q987" s="1"/>
    </row>
    <row r="988" spans="1:17" x14ac:dyDescent="0.25">
      <c r="A988" s="1"/>
      <c r="B988" s="1"/>
      <c r="C988" s="1"/>
      <c r="D988" s="1"/>
      <c r="E988" s="1"/>
      <c r="F988" s="1"/>
      <c r="G988" s="1"/>
      <c r="H988" s="1" t="s">
        <v>585</v>
      </c>
      <c r="I988" s="1"/>
      <c r="J988" s="1"/>
      <c r="K988" s="1"/>
      <c r="L988" s="1"/>
      <c r="M988" s="1"/>
      <c r="N988" s="1"/>
      <c r="O988" s="1"/>
      <c r="P988" s="1"/>
      <c r="Q988" s="1"/>
    </row>
    <row r="989" spans="1:17" x14ac:dyDescent="0.25">
      <c r="A989" s="1"/>
      <c r="B989" s="1"/>
      <c r="C989" s="1"/>
      <c r="D989" s="1"/>
      <c r="E989" s="1"/>
      <c r="F989" s="1"/>
      <c r="G989" s="1"/>
      <c r="H989" s="1" t="s">
        <v>585</v>
      </c>
      <c r="I989" s="1"/>
      <c r="J989" s="1"/>
      <c r="K989" s="1"/>
      <c r="L989" s="1"/>
      <c r="M989" s="1"/>
      <c r="N989" s="1"/>
      <c r="O989" s="1"/>
      <c r="P989" s="1"/>
      <c r="Q989" s="1"/>
    </row>
    <row r="990" spans="1:17" x14ac:dyDescent="0.25">
      <c r="A990" s="1"/>
      <c r="B990" s="1"/>
      <c r="C990" s="1"/>
      <c r="D990" s="1"/>
      <c r="E990" s="1"/>
      <c r="F990" s="1"/>
      <c r="G990" s="1"/>
      <c r="H990" s="1" t="s">
        <v>585</v>
      </c>
      <c r="I990" s="1"/>
      <c r="J990" s="1"/>
      <c r="K990" s="1"/>
      <c r="L990" s="1"/>
      <c r="M990" s="1"/>
      <c r="N990" s="1"/>
      <c r="O990" s="1"/>
      <c r="P990" s="1"/>
      <c r="Q990" s="1"/>
    </row>
    <row r="991" spans="1:17" x14ac:dyDescent="0.25">
      <c r="A991" s="1"/>
      <c r="B991" s="1"/>
      <c r="C991" s="1"/>
      <c r="D991" s="1"/>
      <c r="E991" s="1"/>
      <c r="F991" s="1"/>
      <c r="G991" s="1"/>
      <c r="H991" s="1" t="s">
        <v>585</v>
      </c>
      <c r="I991" s="1"/>
      <c r="J991" s="1"/>
      <c r="K991" s="1"/>
      <c r="L991" s="1"/>
      <c r="M991" s="1"/>
      <c r="N991" s="1"/>
      <c r="O991" s="1"/>
      <c r="P991" s="1"/>
      <c r="Q991" s="1"/>
    </row>
    <row r="992" spans="1:17" x14ac:dyDescent="0.25">
      <c r="A992" s="1"/>
      <c r="B992" s="1"/>
      <c r="C992" s="1"/>
      <c r="D992" s="1"/>
      <c r="E992" s="1"/>
      <c r="F992" s="1"/>
      <c r="G992" s="1"/>
      <c r="H992" s="1" t="s">
        <v>585</v>
      </c>
      <c r="I992" s="1"/>
      <c r="J992" s="1"/>
      <c r="K992" s="1"/>
      <c r="L992" s="1"/>
      <c r="M992" s="1"/>
      <c r="N992" s="1"/>
      <c r="O992" s="1"/>
      <c r="P992" s="1"/>
      <c r="Q992" s="1"/>
    </row>
    <row r="993" spans="1:17" x14ac:dyDescent="0.25">
      <c r="A993" s="1"/>
      <c r="B993" s="1"/>
      <c r="C993" s="1"/>
      <c r="D993" s="1"/>
      <c r="E993" s="1"/>
      <c r="F993" s="1"/>
      <c r="G993" s="1"/>
      <c r="H993" s="1" t="s">
        <v>585</v>
      </c>
      <c r="I993" s="1"/>
      <c r="J993" s="1"/>
      <c r="K993" s="1"/>
      <c r="L993" s="1"/>
      <c r="M993" s="1"/>
      <c r="N993" s="1"/>
      <c r="O993" s="1"/>
      <c r="P993" s="1"/>
      <c r="Q993" s="1"/>
    </row>
    <row r="994" spans="1:17" x14ac:dyDescent="0.25">
      <c r="A994" s="1"/>
      <c r="B994" s="1"/>
      <c r="C994" s="1"/>
      <c r="D994" s="1"/>
      <c r="E994" s="1"/>
      <c r="F994" s="1"/>
      <c r="G994" s="1"/>
      <c r="H994" s="1" t="s">
        <v>585</v>
      </c>
      <c r="I994" s="1"/>
      <c r="J994" s="1"/>
      <c r="K994" s="1"/>
      <c r="L994" s="1"/>
      <c r="M994" s="1"/>
      <c r="N994" s="1"/>
      <c r="O994" s="1"/>
      <c r="P994" s="1"/>
      <c r="Q994" s="1"/>
    </row>
    <row r="995" spans="1:17" x14ac:dyDescent="0.25">
      <c r="A995" s="1"/>
      <c r="B995" s="1"/>
      <c r="C995" s="1"/>
      <c r="D995" s="1"/>
      <c r="E995" s="1"/>
      <c r="F995" s="1"/>
      <c r="G995" s="1"/>
      <c r="H995" s="1" t="s">
        <v>585</v>
      </c>
      <c r="I995" s="1"/>
      <c r="J995" s="1"/>
      <c r="K995" s="1"/>
      <c r="L995" s="1"/>
      <c r="M995" s="1"/>
      <c r="N995" s="1"/>
      <c r="O995" s="1"/>
      <c r="P995" s="1"/>
      <c r="Q995" s="1"/>
    </row>
    <row r="996" spans="1:17" x14ac:dyDescent="0.25">
      <c r="A996" s="1"/>
      <c r="B996" s="1"/>
      <c r="C996" s="1"/>
      <c r="D996" s="1"/>
      <c r="E996" s="1"/>
      <c r="F996" s="1"/>
      <c r="G996" s="1"/>
      <c r="H996" s="1" t="s">
        <v>585</v>
      </c>
      <c r="I996" s="1"/>
      <c r="J996" s="1"/>
      <c r="K996" s="1"/>
      <c r="L996" s="1"/>
      <c r="M996" s="1"/>
      <c r="N996" s="1"/>
      <c r="O996" s="1"/>
      <c r="P996" s="1"/>
      <c r="Q996" s="1"/>
    </row>
    <row r="997" spans="1:17" x14ac:dyDescent="0.25">
      <c r="A997" s="1"/>
      <c r="B997" s="1"/>
      <c r="C997" s="1"/>
      <c r="D997" s="1"/>
      <c r="E997" s="1"/>
      <c r="F997" s="1"/>
      <c r="G997" s="1"/>
      <c r="H997" s="1" t="s">
        <v>585</v>
      </c>
      <c r="I997" s="1"/>
      <c r="J997" s="1"/>
      <c r="K997" s="1"/>
      <c r="L997" s="1"/>
      <c r="M997" s="1"/>
      <c r="N997" s="1"/>
      <c r="O997" s="1"/>
      <c r="P997" s="1"/>
      <c r="Q997" s="1"/>
    </row>
    <row r="998" spans="1:17" x14ac:dyDescent="0.25">
      <c r="A998" s="1"/>
      <c r="B998" s="1"/>
      <c r="C998" s="1"/>
      <c r="D998" s="1"/>
      <c r="E998" s="1"/>
      <c r="F998" s="1"/>
      <c r="G998" s="1"/>
      <c r="H998" s="1" t="s">
        <v>585</v>
      </c>
      <c r="I998" s="1"/>
      <c r="J998" s="1"/>
      <c r="K998" s="1"/>
      <c r="L998" s="1"/>
      <c r="M998" s="1"/>
      <c r="N998" s="1"/>
      <c r="O998" s="1"/>
      <c r="P998" s="1"/>
      <c r="Q998" s="1"/>
    </row>
    <row r="999" spans="1:17" x14ac:dyDescent="0.25">
      <c r="A999" s="1"/>
      <c r="B999" s="1"/>
      <c r="C999" s="1"/>
      <c r="D999" s="1"/>
      <c r="E999" s="1"/>
      <c r="F999" s="1"/>
      <c r="G999" s="1"/>
      <c r="H999" s="1" t="s">
        <v>585</v>
      </c>
      <c r="I999" s="1"/>
      <c r="J999" s="1"/>
      <c r="K999" s="1"/>
      <c r="L999" s="1"/>
      <c r="M999" s="1"/>
      <c r="N999" s="1"/>
      <c r="O999" s="1"/>
      <c r="P999" s="1"/>
      <c r="Q999" s="1"/>
    </row>
    <row r="1000" spans="1:17" x14ac:dyDescent="0.25">
      <c r="A1000" s="1"/>
      <c r="B1000" s="1"/>
      <c r="C1000" s="1"/>
      <c r="D1000" s="1"/>
      <c r="E1000" s="1"/>
      <c r="F1000" s="1"/>
      <c r="G1000" s="1"/>
      <c r="H1000" s="1" t="s">
        <v>585</v>
      </c>
      <c r="I1000" s="1"/>
      <c r="J1000" s="1"/>
      <c r="K1000" s="1"/>
      <c r="L1000" s="1"/>
      <c r="M1000" s="1"/>
      <c r="N1000" s="1"/>
      <c r="O1000" s="1"/>
      <c r="P1000" s="1"/>
      <c r="Q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AC64C-71A5-4C24-AA29-CA39FDD3D784}">
  <dimension ref="A1:K201"/>
  <sheetViews>
    <sheetView tabSelected="1" workbookViewId="0">
      <selection activeCell="B17" sqref="B17"/>
    </sheetView>
  </sheetViews>
  <sheetFormatPr defaultRowHeight="12.5" x14ac:dyDescent="0.25"/>
  <cols>
    <col min="1" max="1" width="32.453125" bestFit="1" customWidth="1"/>
    <col min="2" max="2" width="37.1796875" bestFit="1" customWidth="1"/>
    <col min="3" max="3" width="44.6328125" bestFit="1" customWidth="1"/>
    <col min="4" max="4" width="26" bestFit="1" customWidth="1"/>
    <col min="5" max="5" width="36.81640625" bestFit="1" customWidth="1"/>
    <col min="6" max="6" width="10.6328125" bestFit="1" customWidth="1"/>
    <col min="7" max="7" width="15.1796875" bestFit="1" customWidth="1"/>
    <col min="8" max="8" width="17.453125" bestFit="1" customWidth="1"/>
    <col min="9" max="9" width="10.54296875" bestFit="1" customWidth="1"/>
    <col min="10" max="10" width="10" bestFit="1" customWidth="1"/>
    <col min="11" max="11" width="11.1796875" bestFit="1" customWidth="1"/>
  </cols>
  <sheetData>
    <row r="1" spans="1:11" x14ac:dyDescent="0.25">
      <c r="A1" s="26" t="s">
        <v>587</v>
      </c>
      <c r="B1" s="9" t="s">
        <v>11</v>
      </c>
      <c r="C1" s="9" t="s">
        <v>12</v>
      </c>
      <c r="D1" s="9" t="s">
        <v>13</v>
      </c>
      <c r="E1" s="9" t="s">
        <v>14</v>
      </c>
      <c r="F1" s="9" t="s">
        <v>15</v>
      </c>
      <c r="G1" s="9" t="s">
        <v>16</v>
      </c>
      <c r="H1" s="16" t="s">
        <v>17</v>
      </c>
      <c r="I1" s="9" t="s">
        <v>18</v>
      </c>
      <c r="J1" s="9" t="s">
        <v>19</v>
      </c>
      <c r="K1" s="9" t="s">
        <v>20</v>
      </c>
    </row>
    <row r="2" spans="1:11" x14ac:dyDescent="0.25">
      <c r="A2" s="5">
        <v>1</v>
      </c>
      <c r="B2" s="3" t="s">
        <v>42</v>
      </c>
      <c r="C2" s="3" t="s">
        <v>43</v>
      </c>
      <c r="D2" s="3">
        <v>723967007577001</v>
      </c>
      <c r="E2" s="3" t="s">
        <v>44</v>
      </c>
      <c r="F2" s="4">
        <v>45017</v>
      </c>
      <c r="G2" s="3" t="s">
        <v>45</v>
      </c>
      <c r="H2" s="6">
        <v>3605.9</v>
      </c>
      <c r="I2" s="3"/>
      <c r="J2" s="3"/>
      <c r="K2" s="3" t="s">
        <v>46</v>
      </c>
    </row>
    <row r="3" spans="1:11" x14ac:dyDescent="0.25">
      <c r="A3" s="5">
        <v>2</v>
      </c>
      <c r="B3" s="3" t="s">
        <v>42</v>
      </c>
      <c r="C3" s="3" t="s">
        <v>43</v>
      </c>
      <c r="D3" s="3">
        <v>723967007577002</v>
      </c>
      <c r="E3" s="3" t="s">
        <v>44</v>
      </c>
      <c r="F3" s="4">
        <v>45017</v>
      </c>
      <c r="G3" s="3" t="s">
        <v>47</v>
      </c>
      <c r="H3" s="6">
        <v>3605.9</v>
      </c>
      <c r="I3" s="3"/>
      <c r="J3" s="3"/>
      <c r="K3" s="3" t="s">
        <v>46</v>
      </c>
    </row>
    <row r="4" spans="1:11" x14ac:dyDescent="0.25">
      <c r="A4" s="5">
        <v>3</v>
      </c>
      <c r="B4" s="3" t="s">
        <v>42</v>
      </c>
      <c r="C4" s="3" t="s">
        <v>43</v>
      </c>
      <c r="D4" s="3">
        <v>723967007577003</v>
      </c>
      <c r="E4" s="3" t="s">
        <v>44</v>
      </c>
      <c r="F4" s="4">
        <v>45017</v>
      </c>
      <c r="G4" s="3" t="s">
        <v>48</v>
      </c>
      <c r="H4" s="6">
        <v>3605.9</v>
      </c>
      <c r="I4" s="3"/>
      <c r="J4" s="3"/>
      <c r="K4" s="3" t="s">
        <v>46</v>
      </c>
    </row>
    <row r="5" spans="1:11" x14ac:dyDescent="0.25">
      <c r="A5" s="5">
        <v>4</v>
      </c>
      <c r="B5" s="3" t="s">
        <v>42</v>
      </c>
      <c r="C5" s="3" t="s">
        <v>43</v>
      </c>
      <c r="D5" s="3">
        <v>723967007577001</v>
      </c>
      <c r="E5" s="3" t="s">
        <v>44</v>
      </c>
      <c r="F5" s="4">
        <v>45053</v>
      </c>
      <c r="G5" s="3" t="s">
        <v>49</v>
      </c>
      <c r="H5" s="6">
        <v>7203.67</v>
      </c>
      <c r="I5" s="3"/>
      <c r="J5" s="3"/>
      <c r="K5" s="3" t="s">
        <v>46</v>
      </c>
    </row>
    <row r="6" spans="1:11" x14ac:dyDescent="0.25">
      <c r="A6" s="5">
        <v>5</v>
      </c>
      <c r="B6" s="3" t="s">
        <v>50</v>
      </c>
      <c r="C6" s="3" t="s">
        <v>51</v>
      </c>
      <c r="D6" s="3" t="s">
        <v>52</v>
      </c>
      <c r="E6" s="3" t="s">
        <v>53</v>
      </c>
      <c r="F6" s="4">
        <v>45015</v>
      </c>
      <c r="G6" s="3" t="s">
        <v>54</v>
      </c>
      <c r="H6" s="6">
        <v>20500</v>
      </c>
      <c r="I6" s="3">
        <v>7</v>
      </c>
      <c r="J6" s="3">
        <v>1.05</v>
      </c>
      <c r="K6" s="3" t="s">
        <v>55</v>
      </c>
    </row>
    <row r="7" spans="1:11" x14ac:dyDescent="0.25">
      <c r="A7" s="5">
        <v>6</v>
      </c>
      <c r="B7" s="3" t="s">
        <v>56</v>
      </c>
      <c r="C7" s="3" t="s">
        <v>57</v>
      </c>
      <c r="D7" s="3" t="s">
        <v>58</v>
      </c>
      <c r="E7" s="3" t="s">
        <v>59</v>
      </c>
      <c r="F7" s="4">
        <v>44942</v>
      </c>
      <c r="G7" s="3" t="s">
        <v>60</v>
      </c>
      <c r="H7" s="6">
        <v>5750</v>
      </c>
      <c r="I7" s="3">
        <v>1</v>
      </c>
      <c r="J7" s="3">
        <v>0.15</v>
      </c>
      <c r="K7" s="3" t="s">
        <v>55</v>
      </c>
    </row>
    <row r="8" spans="1:11" x14ac:dyDescent="0.25">
      <c r="A8" s="5">
        <v>7</v>
      </c>
      <c r="B8" s="3" t="s">
        <v>56</v>
      </c>
      <c r="C8" s="3" t="s">
        <v>57</v>
      </c>
      <c r="D8" s="3" t="s">
        <v>58</v>
      </c>
      <c r="E8" s="3" t="s">
        <v>59</v>
      </c>
      <c r="F8" s="4">
        <v>44942</v>
      </c>
      <c r="G8" s="3" t="s">
        <v>61</v>
      </c>
      <c r="H8" s="6">
        <v>5750</v>
      </c>
      <c r="I8" s="3">
        <v>1</v>
      </c>
      <c r="J8" s="3">
        <v>0.15</v>
      </c>
      <c r="K8" s="3" t="s">
        <v>55</v>
      </c>
    </row>
    <row r="9" spans="1:11" x14ac:dyDescent="0.25">
      <c r="A9" s="5">
        <v>8</v>
      </c>
      <c r="B9" s="3" t="s">
        <v>56</v>
      </c>
      <c r="C9" s="3" t="s">
        <v>57</v>
      </c>
      <c r="D9" s="3" t="s">
        <v>58</v>
      </c>
      <c r="E9" s="3" t="s">
        <v>59</v>
      </c>
      <c r="F9" s="4">
        <v>44963</v>
      </c>
      <c r="G9" s="3" t="s">
        <v>62</v>
      </c>
      <c r="H9" s="6">
        <v>11500</v>
      </c>
      <c r="I9" s="3">
        <v>1</v>
      </c>
      <c r="J9" s="3">
        <v>0.15</v>
      </c>
      <c r="K9" s="3" t="s">
        <v>55</v>
      </c>
    </row>
    <row r="10" spans="1:11" x14ac:dyDescent="0.25">
      <c r="A10" s="5">
        <v>9</v>
      </c>
      <c r="B10" s="3" t="s">
        <v>56</v>
      </c>
      <c r="C10" s="3" t="s">
        <v>57</v>
      </c>
      <c r="D10" s="3" t="s">
        <v>58</v>
      </c>
      <c r="E10" s="3" t="s">
        <v>59</v>
      </c>
      <c r="F10" s="4">
        <v>44965</v>
      </c>
      <c r="G10" s="3" t="s">
        <v>63</v>
      </c>
      <c r="H10" s="6">
        <v>5750</v>
      </c>
      <c r="I10" s="3">
        <v>1</v>
      </c>
      <c r="J10" s="3">
        <v>0.15</v>
      </c>
      <c r="K10" s="3" t="s">
        <v>55</v>
      </c>
    </row>
    <row r="11" spans="1:11" x14ac:dyDescent="0.25">
      <c r="A11" s="5">
        <v>10</v>
      </c>
      <c r="B11" s="3" t="s">
        <v>56</v>
      </c>
      <c r="C11" s="3" t="s">
        <v>57</v>
      </c>
      <c r="D11" s="3" t="s">
        <v>58</v>
      </c>
      <c r="E11" s="3" t="s">
        <v>59</v>
      </c>
      <c r="F11" s="4">
        <v>44965</v>
      </c>
      <c r="G11" s="3" t="s">
        <v>64</v>
      </c>
      <c r="H11" s="6">
        <v>5750</v>
      </c>
      <c r="I11" s="3">
        <v>1</v>
      </c>
      <c r="J11" s="3">
        <v>0.15</v>
      </c>
      <c r="K11" s="3" t="s">
        <v>55</v>
      </c>
    </row>
    <row r="12" spans="1:11" x14ac:dyDescent="0.25">
      <c r="A12" s="5">
        <v>11</v>
      </c>
      <c r="B12" s="3" t="s">
        <v>56</v>
      </c>
      <c r="C12" s="3" t="s">
        <v>57</v>
      </c>
      <c r="D12" s="3" t="s">
        <v>58</v>
      </c>
      <c r="E12" s="3" t="s">
        <v>59</v>
      </c>
      <c r="F12" s="4">
        <v>45008</v>
      </c>
      <c r="G12" s="3" t="s">
        <v>65</v>
      </c>
      <c r="H12" s="6">
        <v>11500</v>
      </c>
      <c r="I12" s="3">
        <v>1</v>
      </c>
      <c r="J12" s="3">
        <v>0.15</v>
      </c>
      <c r="K12" s="3" t="s">
        <v>55</v>
      </c>
    </row>
    <row r="13" spans="1:11" x14ac:dyDescent="0.25">
      <c r="A13" s="5">
        <v>12</v>
      </c>
      <c r="B13" s="3" t="s">
        <v>56</v>
      </c>
      <c r="C13" s="3" t="s">
        <v>66</v>
      </c>
      <c r="D13" s="3" t="s">
        <v>67</v>
      </c>
      <c r="E13" s="3" t="s">
        <v>59</v>
      </c>
      <c r="F13" s="4">
        <v>45049</v>
      </c>
      <c r="G13" s="3" t="s">
        <v>68</v>
      </c>
      <c r="H13" s="6">
        <v>248</v>
      </c>
      <c r="I13" s="3">
        <v>0.5</v>
      </c>
      <c r="J13" s="3">
        <v>0.08</v>
      </c>
      <c r="K13" s="3" t="s">
        <v>55</v>
      </c>
    </row>
    <row r="14" spans="1:11" x14ac:dyDescent="0.25">
      <c r="A14" s="5">
        <v>13</v>
      </c>
      <c r="B14" s="3" t="s">
        <v>56</v>
      </c>
      <c r="C14" s="3" t="s">
        <v>66</v>
      </c>
      <c r="D14" s="3" t="s">
        <v>67</v>
      </c>
      <c r="E14" s="3" t="s">
        <v>59</v>
      </c>
      <c r="F14" s="4">
        <v>45082</v>
      </c>
      <c r="G14" s="3" t="s">
        <v>69</v>
      </c>
      <c r="H14" s="6">
        <v>278</v>
      </c>
      <c r="I14" s="3">
        <v>0.5</v>
      </c>
      <c r="J14" s="3">
        <v>0.08</v>
      </c>
      <c r="K14" s="3" t="s">
        <v>55</v>
      </c>
    </row>
    <row r="15" spans="1:11" x14ac:dyDescent="0.25">
      <c r="A15" s="5">
        <v>14</v>
      </c>
      <c r="B15" s="3" t="s">
        <v>56</v>
      </c>
      <c r="C15" s="3" t="s">
        <v>70</v>
      </c>
      <c r="D15" s="3" t="s">
        <v>71</v>
      </c>
      <c r="E15" s="3" t="s">
        <v>72</v>
      </c>
      <c r="F15" s="4">
        <v>44999</v>
      </c>
      <c r="G15" s="3" t="s">
        <v>73</v>
      </c>
      <c r="H15" s="6">
        <v>1674.4</v>
      </c>
      <c r="I15" s="3"/>
      <c r="J15" s="3"/>
      <c r="K15" s="3" t="s">
        <v>55</v>
      </c>
    </row>
    <row r="16" spans="1:11" x14ac:dyDescent="0.25">
      <c r="A16" s="5">
        <v>15</v>
      </c>
      <c r="B16" s="3" t="s">
        <v>56</v>
      </c>
      <c r="C16" s="3" t="s">
        <v>74</v>
      </c>
      <c r="D16" s="3" t="s">
        <v>75</v>
      </c>
      <c r="E16" s="3" t="s">
        <v>53</v>
      </c>
      <c r="F16" s="4">
        <v>44958</v>
      </c>
      <c r="G16" s="3" t="s">
        <v>76</v>
      </c>
      <c r="H16" s="6">
        <v>2923.07</v>
      </c>
      <c r="I16" s="3">
        <v>1</v>
      </c>
      <c r="J16" s="3"/>
      <c r="K16" s="3" t="s">
        <v>55</v>
      </c>
    </row>
    <row r="17" spans="1:11" x14ac:dyDescent="0.25">
      <c r="A17" s="5">
        <v>16</v>
      </c>
      <c r="B17" s="3" t="s">
        <v>56</v>
      </c>
      <c r="C17" s="3" t="s">
        <v>74</v>
      </c>
      <c r="D17" s="3" t="s">
        <v>75</v>
      </c>
      <c r="E17" s="3" t="s">
        <v>53</v>
      </c>
      <c r="F17" s="4">
        <v>45074</v>
      </c>
      <c r="G17" s="3" t="s">
        <v>77</v>
      </c>
      <c r="H17" s="6">
        <v>11696.65</v>
      </c>
      <c r="I17" s="3">
        <v>1</v>
      </c>
      <c r="J17" s="3"/>
      <c r="K17" s="3" t="s">
        <v>55</v>
      </c>
    </row>
    <row r="18" spans="1:11" x14ac:dyDescent="0.25">
      <c r="A18" s="5">
        <v>17</v>
      </c>
      <c r="B18" s="3" t="s">
        <v>56</v>
      </c>
      <c r="C18" s="3" t="s">
        <v>78</v>
      </c>
      <c r="D18" s="3" t="s">
        <v>79</v>
      </c>
      <c r="E18" s="3" t="s">
        <v>53</v>
      </c>
      <c r="F18" s="4">
        <v>45004</v>
      </c>
      <c r="G18" s="3" t="s">
        <v>80</v>
      </c>
      <c r="H18" s="6">
        <v>7246.15</v>
      </c>
      <c r="I18" s="3">
        <v>1</v>
      </c>
      <c r="J18" s="3">
        <v>0.15</v>
      </c>
      <c r="K18" s="3" t="s">
        <v>55</v>
      </c>
    </row>
    <row r="19" spans="1:11" x14ac:dyDescent="0.25">
      <c r="A19" s="5">
        <v>18</v>
      </c>
      <c r="B19" s="3" t="s">
        <v>56</v>
      </c>
      <c r="C19" s="3" t="s">
        <v>78</v>
      </c>
      <c r="D19" s="3" t="s">
        <v>79</v>
      </c>
      <c r="E19" s="3" t="s">
        <v>53</v>
      </c>
      <c r="F19" s="4">
        <v>45074</v>
      </c>
      <c r="G19" s="3" t="s">
        <v>81</v>
      </c>
      <c r="H19" s="6">
        <v>9661.15</v>
      </c>
      <c r="I19" s="3">
        <v>1</v>
      </c>
      <c r="J19" s="3">
        <v>0.15</v>
      </c>
      <c r="K19" s="3" t="s">
        <v>55</v>
      </c>
    </row>
    <row r="20" spans="1:11" x14ac:dyDescent="0.25">
      <c r="A20" s="5">
        <v>19</v>
      </c>
      <c r="B20" s="3" t="s">
        <v>50</v>
      </c>
      <c r="C20" s="3" t="s">
        <v>82</v>
      </c>
      <c r="D20" s="3" t="s">
        <v>83</v>
      </c>
      <c r="E20" s="3" t="s">
        <v>72</v>
      </c>
      <c r="F20" s="4">
        <v>44938</v>
      </c>
      <c r="G20" s="3" t="s">
        <v>84</v>
      </c>
      <c r="H20" s="6">
        <v>29714.19</v>
      </c>
      <c r="I20" s="3">
        <v>7</v>
      </c>
      <c r="J20" s="3">
        <v>1.05</v>
      </c>
      <c r="K20" s="3" t="s">
        <v>55</v>
      </c>
    </row>
    <row r="21" spans="1:11" x14ac:dyDescent="0.25">
      <c r="A21" s="5">
        <v>20</v>
      </c>
      <c r="B21" s="3" t="s">
        <v>50</v>
      </c>
      <c r="C21" s="3" t="s">
        <v>85</v>
      </c>
      <c r="D21" s="3" t="s">
        <v>86</v>
      </c>
      <c r="E21" s="3" t="s">
        <v>53</v>
      </c>
      <c r="F21" s="4">
        <v>45096</v>
      </c>
      <c r="G21" s="3" t="s">
        <v>87</v>
      </c>
      <c r="H21" s="6">
        <v>31397</v>
      </c>
      <c r="I21" s="3">
        <v>7</v>
      </c>
      <c r="J21" s="3">
        <v>1.05</v>
      </c>
      <c r="K21" s="3" t="s">
        <v>55</v>
      </c>
    </row>
    <row r="22" spans="1:11" x14ac:dyDescent="0.25">
      <c r="A22" s="5">
        <v>21</v>
      </c>
      <c r="B22" s="3" t="s">
        <v>56</v>
      </c>
      <c r="C22" s="3" t="s">
        <v>85</v>
      </c>
      <c r="D22" s="3" t="s">
        <v>86</v>
      </c>
      <c r="E22" s="3" t="s">
        <v>53</v>
      </c>
      <c r="F22" s="4">
        <v>45101</v>
      </c>
      <c r="G22" s="3" t="s">
        <v>88</v>
      </c>
      <c r="H22" s="6">
        <v>11208.53</v>
      </c>
      <c r="I22" s="3">
        <v>1</v>
      </c>
      <c r="J22" s="3">
        <v>0.15</v>
      </c>
      <c r="K22" s="3" t="s">
        <v>55</v>
      </c>
    </row>
    <row r="23" spans="1:11" x14ac:dyDescent="0.25">
      <c r="A23" s="5">
        <v>22</v>
      </c>
      <c r="B23" s="3" t="s">
        <v>89</v>
      </c>
      <c r="C23" s="3" t="s">
        <v>85</v>
      </c>
      <c r="D23" s="3" t="s">
        <v>86</v>
      </c>
      <c r="E23" s="3" t="s">
        <v>53</v>
      </c>
      <c r="F23" s="4">
        <v>45103</v>
      </c>
      <c r="G23" s="3" t="s">
        <v>90</v>
      </c>
      <c r="H23" s="6">
        <v>418</v>
      </c>
      <c r="I23" s="3">
        <v>0.5</v>
      </c>
      <c r="J23" s="3">
        <v>0.08</v>
      </c>
      <c r="K23" s="3" t="s">
        <v>55</v>
      </c>
    </row>
    <row r="24" spans="1:11" x14ac:dyDescent="0.25">
      <c r="A24" s="5">
        <v>23</v>
      </c>
      <c r="B24" s="3" t="s">
        <v>56</v>
      </c>
      <c r="C24" s="3" t="s">
        <v>91</v>
      </c>
      <c r="D24" s="3" t="s">
        <v>92</v>
      </c>
      <c r="E24" s="3" t="s">
        <v>93</v>
      </c>
      <c r="F24" s="4">
        <v>44930</v>
      </c>
      <c r="G24" s="3" t="s">
        <v>94</v>
      </c>
      <c r="H24" s="6">
        <v>10850</v>
      </c>
      <c r="I24" s="3">
        <v>1</v>
      </c>
      <c r="J24" s="3">
        <v>0.15</v>
      </c>
      <c r="K24" s="3" t="s">
        <v>55</v>
      </c>
    </row>
    <row r="25" spans="1:11" x14ac:dyDescent="0.25">
      <c r="A25" s="5">
        <v>24</v>
      </c>
      <c r="B25" s="3" t="s">
        <v>95</v>
      </c>
      <c r="C25" s="3" t="s">
        <v>96</v>
      </c>
      <c r="D25" s="3">
        <v>3501844</v>
      </c>
      <c r="E25" s="3" t="s">
        <v>44</v>
      </c>
      <c r="F25" s="4">
        <v>45033</v>
      </c>
      <c r="G25" s="3" t="s">
        <v>97</v>
      </c>
      <c r="H25" s="6">
        <v>104120.03</v>
      </c>
      <c r="I25" s="3"/>
      <c r="J25" s="3"/>
      <c r="K25" s="3" t="s">
        <v>46</v>
      </c>
    </row>
    <row r="26" spans="1:11" x14ac:dyDescent="0.25">
      <c r="A26" s="5">
        <v>25</v>
      </c>
      <c r="B26" s="3" t="s">
        <v>50</v>
      </c>
      <c r="C26" s="3" t="s">
        <v>98</v>
      </c>
      <c r="D26" s="3" t="s">
        <v>99</v>
      </c>
      <c r="E26" s="3" t="s">
        <v>59</v>
      </c>
      <c r="F26" s="4">
        <v>44928</v>
      </c>
      <c r="G26" s="3" t="s">
        <v>100</v>
      </c>
      <c r="H26" s="6">
        <v>25000</v>
      </c>
      <c r="I26" s="3">
        <v>7</v>
      </c>
      <c r="J26" s="3">
        <v>1.05</v>
      </c>
      <c r="K26" s="3" t="s">
        <v>55</v>
      </c>
    </row>
    <row r="27" spans="1:11" x14ac:dyDescent="0.25">
      <c r="A27" s="5">
        <v>26</v>
      </c>
      <c r="B27" s="3" t="s">
        <v>50</v>
      </c>
      <c r="C27" s="3" t="s">
        <v>98</v>
      </c>
      <c r="D27" s="3" t="s">
        <v>99</v>
      </c>
      <c r="E27" s="3" t="s">
        <v>59</v>
      </c>
      <c r="F27" s="4">
        <v>44931</v>
      </c>
      <c r="G27" s="3" t="s">
        <v>101</v>
      </c>
      <c r="H27" s="6">
        <v>25000</v>
      </c>
      <c r="I27" s="3">
        <v>7</v>
      </c>
      <c r="J27" s="3">
        <v>1.05</v>
      </c>
      <c r="K27" s="3" t="s">
        <v>55</v>
      </c>
    </row>
    <row r="28" spans="1:11" x14ac:dyDescent="0.25">
      <c r="A28" s="5">
        <v>27</v>
      </c>
      <c r="B28" s="3" t="s">
        <v>102</v>
      </c>
      <c r="C28" s="3" t="s">
        <v>103</v>
      </c>
      <c r="D28" s="3">
        <v>3104449615223010</v>
      </c>
      <c r="E28" s="3" t="s">
        <v>44</v>
      </c>
      <c r="F28" s="4">
        <v>44956</v>
      </c>
      <c r="G28" s="3" t="s">
        <v>104</v>
      </c>
      <c r="H28" s="6">
        <v>145.59</v>
      </c>
      <c r="I28" s="3"/>
      <c r="J28" s="3"/>
      <c r="K28" s="3" t="s">
        <v>46</v>
      </c>
    </row>
    <row r="29" spans="1:11" x14ac:dyDescent="0.25">
      <c r="A29" s="5">
        <v>28</v>
      </c>
      <c r="B29" s="3" t="s">
        <v>102</v>
      </c>
      <c r="C29" s="3" t="s">
        <v>103</v>
      </c>
      <c r="D29" s="3">
        <v>3112199126224000</v>
      </c>
      <c r="E29" s="3" t="s">
        <v>44</v>
      </c>
      <c r="F29" s="4">
        <v>44965</v>
      </c>
      <c r="G29" s="3" t="s">
        <v>105</v>
      </c>
      <c r="H29" s="6">
        <v>520.66</v>
      </c>
      <c r="I29" s="3"/>
      <c r="J29" s="3"/>
      <c r="K29" s="3" t="s">
        <v>46</v>
      </c>
    </row>
    <row r="30" spans="1:11" x14ac:dyDescent="0.25">
      <c r="A30" s="5">
        <v>29</v>
      </c>
      <c r="B30" s="3" t="s">
        <v>102</v>
      </c>
      <c r="C30" s="3" t="s">
        <v>103</v>
      </c>
      <c r="D30" s="3">
        <v>3104449615233000</v>
      </c>
      <c r="E30" s="3" t="s">
        <v>44</v>
      </c>
      <c r="F30" s="4">
        <v>44985</v>
      </c>
      <c r="G30" s="3" t="s">
        <v>106</v>
      </c>
      <c r="H30" s="6">
        <v>148.57</v>
      </c>
      <c r="I30" s="3"/>
      <c r="J30" s="3"/>
      <c r="K30" s="3" t="s">
        <v>46</v>
      </c>
    </row>
    <row r="31" spans="1:11" x14ac:dyDescent="0.25">
      <c r="A31" s="5">
        <v>30</v>
      </c>
      <c r="B31" s="3" t="s">
        <v>102</v>
      </c>
      <c r="C31" s="3" t="s">
        <v>103</v>
      </c>
      <c r="D31" s="3">
        <v>3104449615233000</v>
      </c>
      <c r="E31" s="3" t="s">
        <v>44</v>
      </c>
      <c r="F31" s="4">
        <v>45017</v>
      </c>
      <c r="G31" s="3" t="s">
        <v>107</v>
      </c>
      <c r="H31" s="6">
        <v>180.46</v>
      </c>
      <c r="I31" s="3"/>
      <c r="J31" s="3"/>
      <c r="K31" s="3" t="s">
        <v>46</v>
      </c>
    </row>
    <row r="32" spans="1:11" x14ac:dyDescent="0.25">
      <c r="A32" s="5">
        <v>31</v>
      </c>
      <c r="B32" s="3" t="s">
        <v>56</v>
      </c>
      <c r="C32" s="3" t="s">
        <v>108</v>
      </c>
      <c r="D32" s="3" t="s">
        <v>109</v>
      </c>
      <c r="E32" s="3" t="s">
        <v>93</v>
      </c>
      <c r="F32" s="4">
        <v>45001</v>
      </c>
      <c r="G32" s="3" t="s">
        <v>110</v>
      </c>
      <c r="H32" s="6">
        <v>10000</v>
      </c>
      <c r="I32" s="3">
        <v>1</v>
      </c>
      <c r="J32" s="3">
        <v>0.15</v>
      </c>
      <c r="K32" s="3" t="s">
        <v>55</v>
      </c>
    </row>
    <row r="33" spans="1:11" x14ac:dyDescent="0.25">
      <c r="A33" s="5">
        <v>32</v>
      </c>
      <c r="B33" s="3" t="s">
        <v>56</v>
      </c>
      <c r="C33" s="3" t="s">
        <v>108</v>
      </c>
      <c r="D33" s="3" t="s">
        <v>109</v>
      </c>
      <c r="E33" s="3" t="s">
        <v>93</v>
      </c>
      <c r="F33" s="4">
        <v>45067</v>
      </c>
      <c r="G33" s="3" t="s">
        <v>111</v>
      </c>
      <c r="H33" s="6">
        <v>3535</v>
      </c>
      <c r="I33" s="3">
        <v>1</v>
      </c>
      <c r="J33" s="3">
        <v>0.15</v>
      </c>
      <c r="K33" s="3" t="s">
        <v>55</v>
      </c>
    </row>
    <row r="34" spans="1:11" x14ac:dyDescent="0.25">
      <c r="A34" s="5">
        <v>33</v>
      </c>
      <c r="B34" s="3" t="s">
        <v>56</v>
      </c>
      <c r="C34" s="3" t="s">
        <v>112</v>
      </c>
      <c r="D34" s="3" t="s">
        <v>113</v>
      </c>
      <c r="E34" s="3" t="s">
        <v>114</v>
      </c>
      <c r="F34" s="4">
        <v>45022</v>
      </c>
      <c r="G34" s="3" t="s">
        <v>115</v>
      </c>
      <c r="H34" s="6">
        <v>5000</v>
      </c>
      <c r="I34" s="3">
        <v>1</v>
      </c>
      <c r="J34" s="3">
        <v>0.15</v>
      </c>
      <c r="K34" s="3" t="s">
        <v>55</v>
      </c>
    </row>
    <row r="35" spans="1:11" x14ac:dyDescent="0.25">
      <c r="A35" s="5">
        <v>34</v>
      </c>
      <c r="B35" s="3" t="s">
        <v>117</v>
      </c>
      <c r="C35" s="3" t="s">
        <v>118</v>
      </c>
      <c r="D35" s="3" t="s">
        <v>119</v>
      </c>
      <c r="E35" s="3" t="s">
        <v>120</v>
      </c>
      <c r="F35" s="4">
        <v>45041</v>
      </c>
      <c r="G35" s="3" t="s">
        <v>121</v>
      </c>
      <c r="H35" s="6">
        <v>177615.2</v>
      </c>
      <c r="I35" s="3"/>
      <c r="J35" s="3"/>
      <c r="K35" s="3" t="s">
        <v>55</v>
      </c>
    </row>
    <row r="36" spans="1:11" x14ac:dyDescent="0.25">
      <c r="A36" s="5">
        <v>35</v>
      </c>
      <c r="B36" s="3" t="s">
        <v>122</v>
      </c>
      <c r="C36" s="3" t="s">
        <v>123</v>
      </c>
      <c r="D36" s="3">
        <v>807005481531</v>
      </c>
      <c r="E36" s="3" t="s">
        <v>44</v>
      </c>
      <c r="F36" s="4">
        <v>45022</v>
      </c>
      <c r="G36" s="3" t="s">
        <v>124</v>
      </c>
      <c r="H36" s="6">
        <v>26.45</v>
      </c>
      <c r="I36" s="3"/>
      <c r="J36" s="3"/>
      <c r="K36" s="3" t="s">
        <v>46</v>
      </c>
    </row>
    <row r="37" spans="1:11" x14ac:dyDescent="0.25">
      <c r="A37" s="5">
        <v>36</v>
      </c>
      <c r="B37" s="3" t="s">
        <v>122</v>
      </c>
      <c r="C37" s="3" t="s">
        <v>123</v>
      </c>
      <c r="D37" s="3">
        <v>62130957787719</v>
      </c>
      <c r="E37" s="3" t="s">
        <v>44</v>
      </c>
      <c r="F37" s="4">
        <v>45033</v>
      </c>
      <c r="G37" s="3" t="s">
        <v>125</v>
      </c>
      <c r="H37" s="6">
        <v>575</v>
      </c>
      <c r="I37" s="3"/>
      <c r="J37" s="3"/>
      <c r="K37" s="3" t="s">
        <v>46</v>
      </c>
    </row>
    <row r="38" spans="1:11" x14ac:dyDescent="0.25">
      <c r="A38" s="5">
        <v>37</v>
      </c>
      <c r="B38" s="3" t="s">
        <v>122</v>
      </c>
      <c r="C38" s="3" t="s">
        <v>123</v>
      </c>
      <c r="D38" s="3">
        <v>62133099907024</v>
      </c>
      <c r="E38" s="3" t="s">
        <v>44</v>
      </c>
      <c r="F38" s="4">
        <v>45056</v>
      </c>
      <c r="G38" s="3" t="s">
        <v>126</v>
      </c>
      <c r="H38" s="6">
        <v>575</v>
      </c>
      <c r="I38" s="3"/>
      <c r="J38" s="3"/>
      <c r="K38" s="3" t="s">
        <v>46</v>
      </c>
    </row>
    <row r="39" spans="1:11" x14ac:dyDescent="0.25">
      <c r="A39" s="5">
        <v>38</v>
      </c>
      <c r="B39" s="3" t="s">
        <v>127</v>
      </c>
      <c r="C39" s="3" t="s">
        <v>128</v>
      </c>
      <c r="D39" s="3" t="s">
        <v>129</v>
      </c>
      <c r="E39" s="3" t="s">
        <v>130</v>
      </c>
      <c r="F39" s="4">
        <v>45089</v>
      </c>
      <c r="G39" s="3" t="s">
        <v>131</v>
      </c>
      <c r="H39" s="6">
        <v>3788.91</v>
      </c>
      <c r="I39" s="3">
        <v>50</v>
      </c>
      <c r="J39" s="3">
        <v>7.5</v>
      </c>
      <c r="K39" s="3" t="s">
        <v>55</v>
      </c>
    </row>
    <row r="40" spans="1:11" x14ac:dyDescent="0.25">
      <c r="A40" s="5">
        <v>39</v>
      </c>
      <c r="B40" s="3" t="s">
        <v>56</v>
      </c>
      <c r="C40" s="3" t="s">
        <v>132</v>
      </c>
      <c r="D40" s="3" t="s">
        <v>133</v>
      </c>
      <c r="E40" s="3" t="s">
        <v>53</v>
      </c>
      <c r="F40" s="4">
        <v>45006</v>
      </c>
      <c r="G40" s="3" t="s">
        <v>134</v>
      </c>
      <c r="H40" s="6">
        <v>12437</v>
      </c>
      <c r="I40" s="3">
        <v>1</v>
      </c>
      <c r="J40" s="3">
        <v>0.15</v>
      </c>
      <c r="K40" s="3" t="s">
        <v>55</v>
      </c>
    </row>
    <row r="41" spans="1:11" x14ac:dyDescent="0.25">
      <c r="A41" s="5">
        <v>40</v>
      </c>
      <c r="B41" s="3" t="s">
        <v>50</v>
      </c>
      <c r="C41" s="3" t="s">
        <v>132</v>
      </c>
      <c r="D41" s="3" t="s">
        <v>133</v>
      </c>
      <c r="E41" s="3" t="s">
        <v>53</v>
      </c>
      <c r="F41" s="4">
        <v>45008</v>
      </c>
      <c r="G41" s="3" t="s">
        <v>135</v>
      </c>
      <c r="H41" s="6">
        <v>32124</v>
      </c>
      <c r="I41" s="3">
        <v>7</v>
      </c>
      <c r="J41" s="3">
        <v>1.05</v>
      </c>
      <c r="K41" s="3" t="s">
        <v>55</v>
      </c>
    </row>
    <row r="42" spans="1:11" x14ac:dyDescent="0.25">
      <c r="A42" s="5">
        <v>41</v>
      </c>
      <c r="B42" s="3" t="s">
        <v>50</v>
      </c>
      <c r="C42" s="3" t="s">
        <v>132</v>
      </c>
      <c r="D42" s="3" t="s">
        <v>133</v>
      </c>
      <c r="E42" s="3" t="s">
        <v>53</v>
      </c>
      <c r="F42" s="4">
        <v>45015</v>
      </c>
      <c r="G42" s="3" t="s">
        <v>136</v>
      </c>
      <c r="H42" s="6">
        <v>24743.4</v>
      </c>
      <c r="I42" s="3">
        <v>7</v>
      </c>
      <c r="J42" s="3">
        <v>1.05</v>
      </c>
      <c r="K42" s="3" t="s">
        <v>55</v>
      </c>
    </row>
    <row r="43" spans="1:11" x14ac:dyDescent="0.25">
      <c r="A43" s="5">
        <v>42</v>
      </c>
      <c r="B43" s="3" t="s">
        <v>56</v>
      </c>
      <c r="C43" s="3" t="s">
        <v>137</v>
      </c>
      <c r="D43" s="3" t="s">
        <v>138</v>
      </c>
      <c r="E43" s="3" t="s">
        <v>53</v>
      </c>
      <c r="F43" s="4">
        <v>44937</v>
      </c>
      <c r="G43" s="3" t="s">
        <v>139</v>
      </c>
      <c r="H43" s="6">
        <v>5000</v>
      </c>
      <c r="I43" s="3">
        <v>1</v>
      </c>
      <c r="J43" s="3">
        <v>0.15</v>
      </c>
      <c r="K43" s="3" t="s">
        <v>55</v>
      </c>
    </row>
    <row r="44" spans="1:11" x14ac:dyDescent="0.25">
      <c r="A44" s="5">
        <v>43</v>
      </c>
      <c r="B44" s="3" t="s">
        <v>56</v>
      </c>
      <c r="C44" s="3" t="s">
        <v>137</v>
      </c>
      <c r="D44" s="3" t="s">
        <v>138</v>
      </c>
      <c r="E44" s="3" t="s">
        <v>53</v>
      </c>
      <c r="F44" s="4">
        <v>44951</v>
      </c>
      <c r="G44" s="3" t="s">
        <v>140</v>
      </c>
      <c r="H44" s="6">
        <v>775</v>
      </c>
      <c r="I44" s="3">
        <v>1</v>
      </c>
      <c r="J44" s="3">
        <v>0.15</v>
      </c>
      <c r="K44" s="3" t="s">
        <v>55</v>
      </c>
    </row>
    <row r="45" spans="1:11" x14ac:dyDescent="0.25">
      <c r="A45" s="5">
        <v>44</v>
      </c>
      <c r="B45" s="3" t="s">
        <v>141</v>
      </c>
      <c r="C45" s="3" t="s">
        <v>142</v>
      </c>
      <c r="D45" s="3" t="s">
        <v>143</v>
      </c>
      <c r="E45" s="3" t="s">
        <v>114</v>
      </c>
      <c r="F45" s="4">
        <v>45019</v>
      </c>
      <c r="G45" s="3" t="s">
        <v>144</v>
      </c>
      <c r="H45" s="6">
        <v>5092</v>
      </c>
      <c r="I45" s="3">
        <v>1</v>
      </c>
      <c r="J45" s="3">
        <v>0.15</v>
      </c>
      <c r="K45" s="3" t="s">
        <v>55</v>
      </c>
    </row>
    <row r="46" spans="1:11" x14ac:dyDescent="0.25">
      <c r="A46" s="5">
        <v>45</v>
      </c>
      <c r="B46" s="3" t="s">
        <v>56</v>
      </c>
      <c r="C46" s="3" t="s">
        <v>142</v>
      </c>
      <c r="D46" s="3" t="s">
        <v>145</v>
      </c>
      <c r="E46" s="3" t="s">
        <v>59</v>
      </c>
      <c r="F46" s="4">
        <v>45026</v>
      </c>
      <c r="G46" s="3" t="s">
        <v>146</v>
      </c>
      <c r="H46" s="6">
        <v>5092</v>
      </c>
      <c r="I46" s="3">
        <v>1</v>
      </c>
      <c r="J46" s="3">
        <v>0.15</v>
      </c>
      <c r="K46" s="3" t="s">
        <v>55</v>
      </c>
    </row>
    <row r="47" spans="1:11" x14ac:dyDescent="0.25">
      <c r="A47" s="5">
        <v>46</v>
      </c>
      <c r="B47" s="3" t="s">
        <v>147</v>
      </c>
      <c r="C47" s="3" t="s">
        <v>148</v>
      </c>
      <c r="D47" s="3">
        <v>17440601373369</v>
      </c>
      <c r="E47" s="3" t="s">
        <v>44</v>
      </c>
      <c r="F47" s="4">
        <v>44938</v>
      </c>
      <c r="G47" s="3" t="s">
        <v>149</v>
      </c>
      <c r="H47" s="6">
        <v>2425</v>
      </c>
      <c r="I47" s="3"/>
      <c r="J47" s="3"/>
      <c r="K47" s="3" t="s">
        <v>46</v>
      </c>
    </row>
    <row r="48" spans="1:11" x14ac:dyDescent="0.25">
      <c r="A48" s="5">
        <v>47</v>
      </c>
      <c r="B48" s="3" t="s">
        <v>147</v>
      </c>
      <c r="C48" s="3" t="s">
        <v>148</v>
      </c>
      <c r="D48" s="3">
        <v>16440601373755</v>
      </c>
      <c r="E48" s="3" t="s">
        <v>44</v>
      </c>
      <c r="F48" s="4">
        <v>44938</v>
      </c>
      <c r="G48" s="3" t="s">
        <v>150</v>
      </c>
      <c r="H48" s="6">
        <v>2425</v>
      </c>
      <c r="I48" s="3"/>
      <c r="J48" s="3"/>
      <c r="K48" s="3" t="s">
        <v>46</v>
      </c>
    </row>
    <row r="49" spans="1:11" x14ac:dyDescent="0.25">
      <c r="A49" s="5">
        <v>48</v>
      </c>
      <c r="B49" s="3" t="s">
        <v>147</v>
      </c>
      <c r="C49" s="3" t="s">
        <v>148</v>
      </c>
      <c r="D49" s="3">
        <v>13440601373635</v>
      </c>
      <c r="E49" s="3" t="s">
        <v>44</v>
      </c>
      <c r="F49" s="4">
        <v>44938</v>
      </c>
      <c r="G49" s="3" t="s">
        <v>151</v>
      </c>
      <c r="H49" s="6">
        <v>2425</v>
      </c>
      <c r="I49" s="3"/>
      <c r="J49" s="3"/>
      <c r="K49" s="3" t="s">
        <v>46</v>
      </c>
    </row>
    <row r="50" spans="1:11" x14ac:dyDescent="0.25">
      <c r="A50" s="5">
        <v>49</v>
      </c>
      <c r="B50" s="3" t="s">
        <v>147</v>
      </c>
      <c r="C50" s="3" t="s">
        <v>148</v>
      </c>
      <c r="D50" s="3">
        <v>11440701758329</v>
      </c>
      <c r="E50" s="3" t="s">
        <v>44</v>
      </c>
      <c r="F50" s="4">
        <v>44952</v>
      </c>
      <c r="G50" s="3" t="s">
        <v>152</v>
      </c>
      <c r="H50" s="6">
        <v>24250</v>
      </c>
      <c r="I50" s="3"/>
      <c r="J50" s="3"/>
      <c r="K50" s="3" t="s">
        <v>46</v>
      </c>
    </row>
    <row r="51" spans="1:11" x14ac:dyDescent="0.25">
      <c r="A51" s="5">
        <v>50</v>
      </c>
      <c r="B51" s="3" t="s">
        <v>147</v>
      </c>
      <c r="C51" s="3" t="s">
        <v>148</v>
      </c>
      <c r="D51" s="3">
        <v>16440701758441</v>
      </c>
      <c r="E51" s="3" t="s">
        <v>44</v>
      </c>
      <c r="F51" s="4">
        <v>44952</v>
      </c>
      <c r="G51" s="3" t="s">
        <v>153</v>
      </c>
      <c r="H51" s="6">
        <v>2425</v>
      </c>
      <c r="I51" s="3"/>
      <c r="J51" s="3"/>
      <c r="K51" s="3" t="s">
        <v>46</v>
      </c>
    </row>
    <row r="52" spans="1:11" x14ac:dyDescent="0.25">
      <c r="A52" s="5">
        <v>51</v>
      </c>
      <c r="B52" s="3" t="s">
        <v>147</v>
      </c>
      <c r="C52" s="3" t="s">
        <v>148</v>
      </c>
      <c r="D52" s="3">
        <v>18440701047497</v>
      </c>
      <c r="E52" s="3" t="s">
        <v>44</v>
      </c>
      <c r="F52" s="4">
        <v>44962</v>
      </c>
      <c r="G52" s="3" t="s">
        <v>154</v>
      </c>
      <c r="H52" s="6">
        <v>9700</v>
      </c>
      <c r="I52" s="3"/>
      <c r="J52" s="3"/>
      <c r="K52" s="3" t="s">
        <v>46</v>
      </c>
    </row>
    <row r="53" spans="1:11" x14ac:dyDescent="0.25">
      <c r="A53" s="5">
        <v>52</v>
      </c>
      <c r="B53" s="3" t="s">
        <v>155</v>
      </c>
      <c r="C53" s="3" t="s">
        <v>156</v>
      </c>
      <c r="D53" s="3">
        <v>132570961</v>
      </c>
      <c r="E53" s="3" t="s">
        <v>44</v>
      </c>
      <c r="F53" s="4">
        <v>44998</v>
      </c>
      <c r="G53" s="3" t="s">
        <v>157</v>
      </c>
      <c r="H53" s="6">
        <v>402.5</v>
      </c>
      <c r="I53" s="3"/>
      <c r="J53" s="3"/>
      <c r="K53" s="3" t="s">
        <v>46</v>
      </c>
    </row>
    <row r="54" spans="1:11" x14ac:dyDescent="0.25">
      <c r="A54" s="5">
        <v>53</v>
      </c>
      <c r="B54" s="3" t="s">
        <v>155</v>
      </c>
      <c r="C54" s="3" t="s">
        <v>156</v>
      </c>
      <c r="D54" s="3">
        <v>132705666</v>
      </c>
      <c r="E54" s="3" t="s">
        <v>44</v>
      </c>
      <c r="F54" s="4">
        <v>44999</v>
      </c>
      <c r="G54" s="3" t="s">
        <v>158</v>
      </c>
      <c r="H54" s="6">
        <v>2123.38</v>
      </c>
      <c r="I54" s="3"/>
      <c r="J54" s="3"/>
      <c r="K54" s="3" t="s">
        <v>46</v>
      </c>
    </row>
    <row r="55" spans="1:11" x14ac:dyDescent="0.25">
      <c r="A55" s="5">
        <v>54</v>
      </c>
      <c r="B55" s="3" t="s">
        <v>155</v>
      </c>
      <c r="C55" s="3" t="s">
        <v>156</v>
      </c>
      <c r="D55" s="3">
        <v>133221424</v>
      </c>
      <c r="E55" s="3" t="s">
        <v>44</v>
      </c>
      <c r="F55" s="4">
        <v>45011</v>
      </c>
      <c r="G55" s="3" t="s">
        <v>159</v>
      </c>
      <c r="H55" s="6">
        <v>402.5</v>
      </c>
      <c r="I55" s="3"/>
      <c r="J55" s="3"/>
      <c r="K55" s="3" t="s">
        <v>46</v>
      </c>
    </row>
    <row r="56" spans="1:11" x14ac:dyDescent="0.25">
      <c r="A56" s="5">
        <v>55</v>
      </c>
      <c r="B56" s="3" t="s">
        <v>155</v>
      </c>
      <c r="C56" s="3" t="s">
        <v>156</v>
      </c>
      <c r="D56" s="3">
        <v>134203512</v>
      </c>
      <c r="E56" s="3" t="s">
        <v>44</v>
      </c>
      <c r="F56" s="4">
        <v>45034</v>
      </c>
      <c r="G56" s="3" t="s">
        <v>160</v>
      </c>
      <c r="H56" s="6">
        <v>402.5</v>
      </c>
      <c r="I56" s="3"/>
      <c r="J56" s="3"/>
      <c r="K56" s="3" t="s">
        <v>46</v>
      </c>
    </row>
    <row r="57" spans="1:11" x14ac:dyDescent="0.25">
      <c r="A57" s="5">
        <v>56</v>
      </c>
      <c r="B57" s="3" t="s">
        <v>161</v>
      </c>
      <c r="C57" s="3" t="s">
        <v>162</v>
      </c>
      <c r="D57" s="3">
        <v>8498849460</v>
      </c>
      <c r="E57" s="3" t="s">
        <v>44</v>
      </c>
      <c r="F57" s="4">
        <v>45067</v>
      </c>
      <c r="G57" s="3" t="s">
        <v>163</v>
      </c>
      <c r="H57" s="6">
        <v>396.75</v>
      </c>
      <c r="I57" s="3"/>
      <c r="J57" s="3"/>
      <c r="K57" s="3" t="s">
        <v>46</v>
      </c>
    </row>
    <row r="58" spans="1:11" x14ac:dyDescent="0.25">
      <c r="A58" s="5">
        <v>57</v>
      </c>
      <c r="B58" s="3" t="s">
        <v>161</v>
      </c>
      <c r="C58" s="3" t="s">
        <v>162</v>
      </c>
      <c r="D58" s="3">
        <v>3279620000</v>
      </c>
      <c r="E58" s="3" t="s">
        <v>44</v>
      </c>
      <c r="F58" s="4">
        <v>45085</v>
      </c>
      <c r="G58" s="3" t="s">
        <v>164</v>
      </c>
      <c r="H58" s="6">
        <v>624.47</v>
      </c>
      <c r="I58" s="3"/>
      <c r="J58" s="3"/>
      <c r="K58" s="3" t="s">
        <v>46</v>
      </c>
    </row>
    <row r="59" spans="1:11" x14ac:dyDescent="0.25">
      <c r="A59" s="5">
        <v>58</v>
      </c>
      <c r="B59" s="3" t="s">
        <v>161</v>
      </c>
      <c r="C59" s="3" t="s">
        <v>162</v>
      </c>
      <c r="D59" s="3">
        <v>8498849460</v>
      </c>
      <c r="E59" s="3" t="s">
        <v>44</v>
      </c>
      <c r="F59" s="4">
        <v>45092</v>
      </c>
      <c r="G59" s="3" t="s">
        <v>165</v>
      </c>
      <c r="H59" s="6">
        <v>592.92999999999995</v>
      </c>
      <c r="I59" s="3"/>
      <c r="J59" s="3"/>
      <c r="K59" s="3" t="s">
        <v>46</v>
      </c>
    </row>
    <row r="60" spans="1:11" x14ac:dyDescent="0.25">
      <c r="A60" s="5">
        <v>59</v>
      </c>
      <c r="B60" s="3" t="s">
        <v>56</v>
      </c>
      <c r="C60" s="3" t="s">
        <v>166</v>
      </c>
      <c r="D60" s="3" t="s">
        <v>167</v>
      </c>
      <c r="E60" s="3" t="s">
        <v>93</v>
      </c>
      <c r="F60" s="4">
        <v>44951</v>
      </c>
      <c r="G60" s="3" t="s">
        <v>168</v>
      </c>
      <c r="H60" s="6">
        <v>18554</v>
      </c>
      <c r="I60" s="3">
        <v>1</v>
      </c>
      <c r="J60" s="3">
        <v>0.15</v>
      </c>
      <c r="K60" s="3" t="s">
        <v>55</v>
      </c>
    </row>
    <row r="61" spans="1:11" x14ac:dyDescent="0.25">
      <c r="A61" s="5">
        <v>60</v>
      </c>
      <c r="B61" s="3" t="s">
        <v>56</v>
      </c>
      <c r="C61" s="3" t="s">
        <v>166</v>
      </c>
      <c r="D61" s="3" t="s">
        <v>167</v>
      </c>
      <c r="E61" s="3" t="s">
        <v>93</v>
      </c>
      <c r="F61" s="4">
        <v>44985</v>
      </c>
      <c r="G61" s="3" t="s">
        <v>169</v>
      </c>
      <c r="H61" s="6">
        <v>12540</v>
      </c>
      <c r="I61" s="3">
        <v>1</v>
      </c>
      <c r="J61" s="3">
        <v>0.15</v>
      </c>
      <c r="K61" s="3" t="s">
        <v>55</v>
      </c>
    </row>
    <row r="62" spans="1:11" x14ac:dyDescent="0.25">
      <c r="A62" s="5">
        <v>61</v>
      </c>
      <c r="B62" s="3" t="s">
        <v>50</v>
      </c>
      <c r="C62" s="3" t="s">
        <v>166</v>
      </c>
      <c r="D62" s="3" t="s">
        <v>167</v>
      </c>
      <c r="E62" s="3" t="s">
        <v>93</v>
      </c>
      <c r="F62" s="4">
        <v>45006</v>
      </c>
      <c r="G62" s="3" t="s">
        <v>170</v>
      </c>
      <c r="H62" s="6">
        <v>25000</v>
      </c>
      <c r="I62" s="3">
        <v>5</v>
      </c>
      <c r="J62" s="3">
        <v>0.75</v>
      </c>
      <c r="K62" s="3" t="s">
        <v>55</v>
      </c>
    </row>
    <row r="63" spans="1:11" x14ac:dyDescent="0.25">
      <c r="A63" s="5">
        <v>62</v>
      </c>
      <c r="B63" s="3" t="s">
        <v>56</v>
      </c>
      <c r="C63" s="3" t="s">
        <v>166</v>
      </c>
      <c r="D63" s="3" t="s">
        <v>167</v>
      </c>
      <c r="E63" s="3" t="s">
        <v>93</v>
      </c>
      <c r="F63" s="4">
        <v>45006</v>
      </c>
      <c r="G63" s="3" t="s">
        <v>171</v>
      </c>
      <c r="H63" s="6">
        <v>9700</v>
      </c>
      <c r="I63" s="3">
        <v>1</v>
      </c>
      <c r="J63" s="3">
        <v>0.15</v>
      </c>
      <c r="K63" s="3" t="s">
        <v>55</v>
      </c>
    </row>
    <row r="64" spans="1:11" x14ac:dyDescent="0.25">
      <c r="A64" s="5">
        <v>63</v>
      </c>
      <c r="B64" s="3" t="s">
        <v>56</v>
      </c>
      <c r="C64" s="3" t="s">
        <v>166</v>
      </c>
      <c r="D64" s="3" t="s">
        <v>167</v>
      </c>
      <c r="E64" s="3" t="s">
        <v>93</v>
      </c>
      <c r="F64" s="4">
        <v>45025</v>
      </c>
      <c r="G64" s="3" t="s">
        <v>172</v>
      </c>
      <c r="H64" s="6">
        <v>5200</v>
      </c>
      <c r="I64" s="3">
        <v>1</v>
      </c>
      <c r="J64" s="3">
        <v>0.15</v>
      </c>
      <c r="K64" s="3" t="s">
        <v>55</v>
      </c>
    </row>
    <row r="65" spans="1:11" x14ac:dyDescent="0.25">
      <c r="A65" s="5">
        <v>64</v>
      </c>
      <c r="B65" s="3" t="s">
        <v>173</v>
      </c>
      <c r="C65" s="3" t="s">
        <v>174</v>
      </c>
      <c r="D65" s="3" t="s">
        <v>175</v>
      </c>
      <c r="E65" s="3" t="s">
        <v>72</v>
      </c>
      <c r="F65" s="4">
        <v>45006</v>
      </c>
      <c r="G65" s="3" t="s">
        <v>176</v>
      </c>
      <c r="H65" s="6">
        <v>50000</v>
      </c>
      <c r="I65" s="3">
        <v>5</v>
      </c>
      <c r="J65" s="3">
        <v>0.75</v>
      </c>
      <c r="K65" s="3" t="s">
        <v>55</v>
      </c>
    </row>
    <row r="66" spans="1:11" x14ac:dyDescent="0.25">
      <c r="A66" s="5">
        <v>65</v>
      </c>
      <c r="B66" s="3" t="s">
        <v>50</v>
      </c>
      <c r="C66" s="3" t="s">
        <v>174</v>
      </c>
      <c r="D66" s="3" t="s">
        <v>175</v>
      </c>
      <c r="E66" s="3" t="s">
        <v>72</v>
      </c>
      <c r="F66" s="4">
        <v>45091</v>
      </c>
      <c r="G66" s="3" t="s">
        <v>177</v>
      </c>
      <c r="H66" s="6">
        <v>50000</v>
      </c>
      <c r="I66" s="3">
        <v>7</v>
      </c>
      <c r="J66" s="3">
        <v>1.05</v>
      </c>
      <c r="K66" s="3" t="s">
        <v>55</v>
      </c>
    </row>
    <row r="67" spans="1:11" x14ac:dyDescent="0.25">
      <c r="A67" s="5">
        <v>66</v>
      </c>
      <c r="B67" s="3" t="s">
        <v>50</v>
      </c>
      <c r="C67" s="3" t="s">
        <v>178</v>
      </c>
      <c r="D67" s="3" t="s">
        <v>179</v>
      </c>
      <c r="E67" s="3" t="s">
        <v>59</v>
      </c>
      <c r="F67" s="4">
        <v>44945</v>
      </c>
      <c r="G67" s="3" t="s">
        <v>180</v>
      </c>
      <c r="H67" s="6">
        <v>56000</v>
      </c>
      <c r="I67" s="3">
        <v>7</v>
      </c>
      <c r="J67" s="3">
        <v>1.05</v>
      </c>
      <c r="K67" s="3" t="s">
        <v>55</v>
      </c>
    </row>
    <row r="68" spans="1:11" x14ac:dyDescent="0.25">
      <c r="A68" s="5">
        <v>67</v>
      </c>
      <c r="B68" s="3" t="s">
        <v>181</v>
      </c>
      <c r="C68" s="3" t="s">
        <v>182</v>
      </c>
      <c r="D68" s="3">
        <v>1001899085</v>
      </c>
      <c r="E68" s="3" t="s">
        <v>183</v>
      </c>
      <c r="F68" s="4">
        <v>44938</v>
      </c>
      <c r="G68" s="3" t="s">
        <v>184</v>
      </c>
      <c r="H68" s="6">
        <v>55000</v>
      </c>
      <c r="I68" s="3"/>
      <c r="J68" s="3"/>
      <c r="K68" s="3" t="s">
        <v>55</v>
      </c>
    </row>
    <row r="69" spans="1:11" x14ac:dyDescent="0.25">
      <c r="A69" s="5">
        <v>68</v>
      </c>
      <c r="B69" s="3" t="s">
        <v>56</v>
      </c>
      <c r="C69" s="3" t="s">
        <v>185</v>
      </c>
      <c r="D69" s="3" t="s">
        <v>186</v>
      </c>
      <c r="E69" s="3" t="s">
        <v>72</v>
      </c>
      <c r="F69" s="4">
        <v>44928</v>
      </c>
      <c r="G69" s="3" t="s">
        <v>187</v>
      </c>
      <c r="H69" s="6">
        <v>4500</v>
      </c>
      <c r="I69" s="3">
        <v>1</v>
      </c>
      <c r="J69" s="3">
        <v>0.15</v>
      </c>
      <c r="K69" s="3" t="s">
        <v>55</v>
      </c>
    </row>
    <row r="70" spans="1:11" x14ac:dyDescent="0.25">
      <c r="A70" s="5">
        <v>69</v>
      </c>
      <c r="B70" s="3" t="s">
        <v>56</v>
      </c>
      <c r="C70" s="3" t="s">
        <v>185</v>
      </c>
      <c r="D70" s="3" t="s">
        <v>186</v>
      </c>
      <c r="E70" s="3" t="s">
        <v>72</v>
      </c>
      <c r="F70" s="4">
        <v>44928</v>
      </c>
      <c r="G70" s="3" t="s">
        <v>188</v>
      </c>
      <c r="H70" s="6">
        <v>10050</v>
      </c>
      <c r="I70" s="3">
        <v>1</v>
      </c>
      <c r="J70" s="3">
        <v>0.15</v>
      </c>
      <c r="K70" s="3" t="s">
        <v>55</v>
      </c>
    </row>
    <row r="71" spans="1:11" x14ac:dyDescent="0.25">
      <c r="A71" s="5">
        <v>70</v>
      </c>
      <c r="B71" s="3" t="s">
        <v>189</v>
      </c>
      <c r="C71" s="3" t="s">
        <v>190</v>
      </c>
      <c r="D71" s="3">
        <v>10032617656</v>
      </c>
      <c r="E71" s="3" t="s">
        <v>44</v>
      </c>
      <c r="F71" s="4">
        <v>44930</v>
      </c>
      <c r="G71" s="3" t="s">
        <v>191</v>
      </c>
      <c r="H71" s="6">
        <v>1505</v>
      </c>
      <c r="I71" s="3"/>
      <c r="J71" s="3"/>
      <c r="K71" s="3" t="s">
        <v>46</v>
      </c>
    </row>
    <row r="72" spans="1:11" x14ac:dyDescent="0.25">
      <c r="A72" s="5">
        <v>71</v>
      </c>
      <c r="B72" s="3" t="s">
        <v>189</v>
      </c>
      <c r="C72" s="3" t="s">
        <v>190</v>
      </c>
      <c r="D72" s="3">
        <v>10041104426</v>
      </c>
      <c r="E72" s="3" t="s">
        <v>44</v>
      </c>
      <c r="F72" s="4">
        <v>44930</v>
      </c>
      <c r="G72" s="3" t="s">
        <v>192</v>
      </c>
      <c r="H72" s="6">
        <v>807.07</v>
      </c>
      <c r="I72" s="3"/>
      <c r="J72" s="3"/>
      <c r="K72" s="3" t="s">
        <v>46</v>
      </c>
    </row>
    <row r="73" spans="1:11" x14ac:dyDescent="0.25">
      <c r="A73" s="5">
        <v>72</v>
      </c>
      <c r="B73" s="3" t="s">
        <v>189</v>
      </c>
      <c r="C73" s="3" t="s">
        <v>190</v>
      </c>
      <c r="D73" s="3">
        <v>30043552140</v>
      </c>
      <c r="E73" s="3" t="s">
        <v>44</v>
      </c>
      <c r="F73" s="4">
        <v>44930</v>
      </c>
      <c r="G73" s="3" t="s">
        <v>193</v>
      </c>
      <c r="H73" s="6">
        <v>410.34</v>
      </c>
      <c r="I73" s="3"/>
      <c r="J73" s="3"/>
      <c r="K73" s="3" t="s">
        <v>46</v>
      </c>
    </row>
    <row r="74" spans="1:11" x14ac:dyDescent="0.25">
      <c r="A74" s="5">
        <v>73</v>
      </c>
      <c r="B74" s="3" t="s">
        <v>189</v>
      </c>
      <c r="C74" s="3" t="s">
        <v>190</v>
      </c>
      <c r="D74" s="3">
        <v>30007249821</v>
      </c>
      <c r="E74" s="3" t="s">
        <v>44</v>
      </c>
      <c r="F74" s="4">
        <v>44934</v>
      </c>
      <c r="G74" s="3" t="s">
        <v>194</v>
      </c>
      <c r="H74" s="6">
        <v>414.28</v>
      </c>
      <c r="I74" s="3"/>
      <c r="J74" s="3"/>
      <c r="K74" s="3" t="s">
        <v>46</v>
      </c>
    </row>
    <row r="75" spans="1:11" x14ac:dyDescent="0.25">
      <c r="A75" s="5">
        <v>74</v>
      </c>
      <c r="B75" s="3" t="s">
        <v>189</v>
      </c>
      <c r="C75" s="3" t="s">
        <v>190</v>
      </c>
      <c r="D75" s="3">
        <v>30007249741</v>
      </c>
      <c r="E75" s="3" t="s">
        <v>44</v>
      </c>
      <c r="F75" s="4">
        <v>44942</v>
      </c>
      <c r="G75" s="3" t="s">
        <v>195</v>
      </c>
      <c r="H75" s="6">
        <v>255.34</v>
      </c>
      <c r="I75" s="3"/>
      <c r="J75" s="3"/>
      <c r="K75" s="3" t="s">
        <v>46</v>
      </c>
    </row>
    <row r="76" spans="1:11" x14ac:dyDescent="0.25">
      <c r="A76" s="5">
        <v>75</v>
      </c>
      <c r="B76" s="3" t="s">
        <v>50</v>
      </c>
      <c r="C76" s="3" t="s">
        <v>196</v>
      </c>
      <c r="D76" s="3" t="s">
        <v>197</v>
      </c>
      <c r="E76" s="3" t="s">
        <v>53</v>
      </c>
      <c r="F76" s="4">
        <v>44942</v>
      </c>
      <c r="G76" s="3" t="s">
        <v>198</v>
      </c>
      <c r="H76" s="6">
        <v>23000</v>
      </c>
      <c r="I76" s="3">
        <v>7</v>
      </c>
      <c r="J76" s="3">
        <v>1.05</v>
      </c>
      <c r="K76" s="3" t="s">
        <v>55</v>
      </c>
    </row>
    <row r="77" spans="1:11" x14ac:dyDescent="0.25">
      <c r="A77" s="5">
        <v>76</v>
      </c>
      <c r="B77" s="3" t="s">
        <v>56</v>
      </c>
      <c r="C77" s="3" t="s">
        <v>196</v>
      </c>
      <c r="D77" s="3" t="s">
        <v>197</v>
      </c>
      <c r="E77" s="3" t="s">
        <v>53</v>
      </c>
      <c r="F77" s="4">
        <v>44942</v>
      </c>
      <c r="G77" s="3" t="s">
        <v>199</v>
      </c>
      <c r="H77" s="6">
        <v>12880</v>
      </c>
      <c r="I77" s="3">
        <v>1</v>
      </c>
      <c r="J77" s="3">
        <v>0.15</v>
      </c>
      <c r="K77" s="3" t="s">
        <v>55</v>
      </c>
    </row>
    <row r="78" spans="1:11" x14ac:dyDescent="0.25">
      <c r="A78" s="5">
        <v>77</v>
      </c>
      <c r="B78" s="3" t="s">
        <v>50</v>
      </c>
      <c r="C78" s="3" t="s">
        <v>196</v>
      </c>
      <c r="D78" s="3" t="s">
        <v>197</v>
      </c>
      <c r="E78" s="3" t="s">
        <v>53</v>
      </c>
      <c r="F78" s="4">
        <v>44963</v>
      </c>
      <c r="G78" s="3" t="s">
        <v>200</v>
      </c>
      <c r="H78" s="6">
        <v>23000</v>
      </c>
      <c r="I78" s="3">
        <v>5</v>
      </c>
      <c r="J78" s="3">
        <v>0.75</v>
      </c>
      <c r="K78" s="3" t="s">
        <v>55</v>
      </c>
    </row>
    <row r="79" spans="1:11" x14ac:dyDescent="0.25">
      <c r="A79" s="5">
        <v>78</v>
      </c>
      <c r="B79" s="3" t="s">
        <v>56</v>
      </c>
      <c r="C79" s="3" t="s">
        <v>196</v>
      </c>
      <c r="D79" s="3" t="s">
        <v>197</v>
      </c>
      <c r="E79" s="3" t="s">
        <v>53</v>
      </c>
      <c r="F79" s="4">
        <v>44975</v>
      </c>
      <c r="G79" s="3" t="s">
        <v>201</v>
      </c>
      <c r="H79" s="6">
        <v>3622.5</v>
      </c>
      <c r="I79" s="3">
        <v>1</v>
      </c>
      <c r="J79" s="3">
        <v>0.15</v>
      </c>
      <c r="K79" s="3" t="s">
        <v>55</v>
      </c>
    </row>
    <row r="80" spans="1:11" x14ac:dyDescent="0.25">
      <c r="A80" s="5">
        <v>79</v>
      </c>
      <c r="B80" s="3" t="s">
        <v>56</v>
      </c>
      <c r="C80" s="3" t="s">
        <v>196</v>
      </c>
      <c r="D80" s="3" t="s">
        <v>197</v>
      </c>
      <c r="E80" s="3" t="s">
        <v>53</v>
      </c>
      <c r="F80" s="4">
        <v>44977</v>
      </c>
      <c r="G80" s="3" t="s">
        <v>202</v>
      </c>
      <c r="H80" s="6">
        <v>12880</v>
      </c>
      <c r="I80" s="3">
        <v>1</v>
      </c>
      <c r="J80" s="3">
        <v>0.15</v>
      </c>
      <c r="K80" s="3" t="s">
        <v>55</v>
      </c>
    </row>
    <row r="81" spans="1:11" x14ac:dyDescent="0.25">
      <c r="A81" s="5">
        <v>80</v>
      </c>
      <c r="B81" s="3" t="s">
        <v>50</v>
      </c>
      <c r="C81" s="3" t="s">
        <v>196</v>
      </c>
      <c r="D81" s="3" t="s">
        <v>197</v>
      </c>
      <c r="E81" s="3" t="s">
        <v>53</v>
      </c>
      <c r="F81" s="4">
        <v>44978</v>
      </c>
      <c r="G81" s="3" t="s">
        <v>203</v>
      </c>
      <c r="H81" s="6">
        <v>23000</v>
      </c>
      <c r="I81" s="3">
        <v>5</v>
      </c>
      <c r="J81" s="3">
        <v>0.75</v>
      </c>
      <c r="K81" s="3" t="s">
        <v>55</v>
      </c>
    </row>
    <row r="82" spans="1:11" x14ac:dyDescent="0.25">
      <c r="A82" s="5">
        <v>81</v>
      </c>
      <c r="B82" s="3" t="s">
        <v>50</v>
      </c>
      <c r="C82" s="3" t="s">
        <v>196</v>
      </c>
      <c r="D82" s="3" t="s">
        <v>197</v>
      </c>
      <c r="E82" s="3" t="s">
        <v>53</v>
      </c>
      <c r="F82" s="4">
        <v>44990</v>
      </c>
      <c r="G82" s="3" t="s">
        <v>204</v>
      </c>
      <c r="H82" s="6">
        <v>21850</v>
      </c>
      <c r="I82" s="3">
        <v>5</v>
      </c>
      <c r="J82" s="3">
        <v>0.75</v>
      </c>
      <c r="K82" s="3" t="s">
        <v>55</v>
      </c>
    </row>
    <row r="83" spans="1:11" x14ac:dyDescent="0.25">
      <c r="A83" s="5">
        <v>82</v>
      </c>
      <c r="B83" s="3" t="s">
        <v>50</v>
      </c>
      <c r="C83" s="3" t="s">
        <v>196</v>
      </c>
      <c r="D83" s="3" t="s">
        <v>197</v>
      </c>
      <c r="E83" s="3" t="s">
        <v>53</v>
      </c>
      <c r="F83" s="4">
        <v>44990</v>
      </c>
      <c r="G83" s="3" t="s">
        <v>205</v>
      </c>
      <c r="H83" s="6">
        <v>23345</v>
      </c>
      <c r="I83" s="3">
        <v>5</v>
      </c>
      <c r="J83" s="3">
        <v>0.75</v>
      </c>
      <c r="K83" s="3" t="s">
        <v>55</v>
      </c>
    </row>
    <row r="84" spans="1:11" x14ac:dyDescent="0.25">
      <c r="A84" s="5">
        <v>83</v>
      </c>
      <c r="B84" s="3" t="s">
        <v>56</v>
      </c>
      <c r="C84" s="3" t="s">
        <v>206</v>
      </c>
      <c r="D84" s="3" t="s">
        <v>207</v>
      </c>
      <c r="E84" s="3" t="s">
        <v>53</v>
      </c>
      <c r="F84" s="4">
        <v>45006</v>
      </c>
      <c r="G84" s="3" t="s">
        <v>208</v>
      </c>
      <c r="H84" s="6">
        <v>9200</v>
      </c>
      <c r="I84" s="3">
        <v>1</v>
      </c>
      <c r="J84" s="3">
        <v>0.15</v>
      </c>
      <c r="K84" s="3" t="s">
        <v>55</v>
      </c>
    </row>
    <row r="85" spans="1:11" x14ac:dyDescent="0.25">
      <c r="A85" s="5">
        <v>84</v>
      </c>
      <c r="B85" s="3" t="s">
        <v>209</v>
      </c>
      <c r="C85" s="3" t="s">
        <v>210</v>
      </c>
      <c r="D85" s="3">
        <v>37001131483</v>
      </c>
      <c r="E85" s="3" t="s">
        <v>44</v>
      </c>
      <c r="F85" s="4">
        <v>45053</v>
      </c>
      <c r="G85" s="3" t="s">
        <v>211</v>
      </c>
      <c r="H85" s="6">
        <v>746.35</v>
      </c>
      <c r="I85" s="3"/>
      <c r="J85" s="3"/>
      <c r="K85" s="3" t="s">
        <v>46</v>
      </c>
    </row>
    <row r="86" spans="1:11" x14ac:dyDescent="0.25">
      <c r="A86" s="5">
        <v>85</v>
      </c>
      <c r="B86" s="3" t="s">
        <v>209</v>
      </c>
      <c r="C86" s="3" t="s">
        <v>210</v>
      </c>
      <c r="D86" s="3">
        <v>5115566069</v>
      </c>
      <c r="E86" s="3" t="s">
        <v>44</v>
      </c>
      <c r="F86" s="4">
        <v>45053</v>
      </c>
      <c r="G86" s="3" t="s">
        <v>212</v>
      </c>
      <c r="H86" s="6">
        <v>287.5</v>
      </c>
      <c r="I86" s="3"/>
      <c r="J86" s="3"/>
      <c r="K86" s="3" t="s">
        <v>46</v>
      </c>
    </row>
    <row r="87" spans="1:11" x14ac:dyDescent="0.25">
      <c r="A87" s="5">
        <v>86</v>
      </c>
      <c r="B87" s="3" t="s">
        <v>209</v>
      </c>
      <c r="C87" s="3" t="s">
        <v>210</v>
      </c>
      <c r="D87" s="3">
        <v>37001131483</v>
      </c>
      <c r="E87" s="3" t="s">
        <v>44</v>
      </c>
      <c r="F87" s="4">
        <v>45077</v>
      </c>
      <c r="G87" s="3" t="s">
        <v>213</v>
      </c>
      <c r="H87" s="6">
        <v>748.65</v>
      </c>
      <c r="I87" s="3"/>
      <c r="J87" s="3"/>
      <c r="K87" s="3" t="s">
        <v>46</v>
      </c>
    </row>
    <row r="88" spans="1:11" x14ac:dyDescent="0.25">
      <c r="A88" s="5">
        <v>87</v>
      </c>
      <c r="B88" s="3" t="s">
        <v>214</v>
      </c>
      <c r="C88" s="3" t="s">
        <v>215</v>
      </c>
      <c r="D88" s="3">
        <v>555745257</v>
      </c>
      <c r="E88" s="3" t="s">
        <v>44</v>
      </c>
      <c r="F88" s="4">
        <v>44936</v>
      </c>
      <c r="G88" s="3" t="s">
        <v>216</v>
      </c>
      <c r="H88" s="6">
        <v>40087.06</v>
      </c>
      <c r="I88" s="3"/>
      <c r="J88" s="3"/>
      <c r="K88" s="3" t="s">
        <v>46</v>
      </c>
    </row>
    <row r="89" spans="1:11" x14ac:dyDescent="0.25">
      <c r="A89" s="5">
        <v>88</v>
      </c>
      <c r="B89" s="3" t="s">
        <v>214</v>
      </c>
      <c r="C89" s="3" t="s">
        <v>215</v>
      </c>
      <c r="D89" s="3">
        <v>555745257</v>
      </c>
      <c r="E89" s="3" t="s">
        <v>44</v>
      </c>
      <c r="F89" s="4">
        <v>44972</v>
      </c>
      <c r="G89" s="3" t="s">
        <v>217</v>
      </c>
      <c r="H89" s="6">
        <v>37417.230000000003</v>
      </c>
      <c r="I89" s="3"/>
      <c r="J89" s="3"/>
      <c r="K89" s="3" t="s">
        <v>46</v>
      </c>
    </row>
    <row r="90" spans="1:11" x14ac:dyDescent="0.25">
      <c r="A90" s="5">
        <v>89</v>
      </c>
      <c r="B90" s="3" t="s">
        <v>214</v>
      </c>
      <c r="C90" s="3" t="s">
        <v>215</v>
      </c>
      <c r="D90" s="3">
        <v>555745257</v>
      </c>
      <c r="E90" s="3" t="s">
        <v>44</v>
      </c>
      <c r="F90" s="4">
        <v>44999</v>
      </c>
      <c r="G90" s="3" t="s">
        <v>218</v>
      </c>
      <c r="H90" s="6">
        <v>37187.089999999997</v>
      </c>
      <c r="I90" s="3"/>
      <c r="J90" s="3"/>
      <c r="K90" s="3" t="s">
        <v>46</v>
      </c>
    </row>
    <row r="91" spans="1:11" x14ac:dyDescent="0.25">
      <c r="A91" s="5">
        <v>90</v>
      </c>
      <c r="B91" s="3" t="s">
        <v>214</v>
      </c>
      <c r="C91" s="3" t="s">
        <v>215</v>
      </c>
      <c r="D91" s="3">
        <v>637640321</v>
      </c>
      <c r="E91" s="3" t="s">
        <v>44</v>
      </c>
      <c r="F91" s="4">
        <v>45001</v>
      </c>
      <c r="G91" s="3" t="s">
        <v>219</v>
      </c>
      <c r="H91" s="6">
        <v>691.09</v>
      </c>
      <c r="I91" s="3"/>
      <c r="J91" s="3"/>
      <c r="K91" s="3" t="s">
        <v>46</v>
      </c>
    </row>
    <row r="92" spans="1:11" x14ac:dyDescent="0.25">
      <c r="A92" s="5">
        <v>91</v>
      </c>
      <c r="B92" s="3" t="s">
        <v>56</v>
      </c>
      <c r="C92" s="3" t="s">
        <v>220</v>
      </c>
      <c r="D92" s="3" t="s">
        <v>221</v>
      </c>
      <c r="E92" s="3" t="s">
        <v>222</v>
      </c>
      <c r="F92" s="4">
        <v>45078</v>
      </c>
      <c r="G92" s="3" t="s">
        <v>223</v>
      </c>
      <c r="H92" s="6">
        <v>2300</v>
      </c>
      <c r="I92" s="3">
        <v>1</v>
      </c>
      <c r="J92" s="3">
        <v>0.15</v>
      </c>
      <c r="K92" s="3" t="s">
        <v>55</v>
      </c>
    </row>
    <row r="93" spans="1:11" x14ac:dyDescent="0.25">
      <c r="A93" s="5">
        <v>92</v>
      </c>
      <c r="B93" s="3" t="s">
        <v>224</v>
      </c>
      <c r="C93" s="3" t="s">
        <v>225</v>
      </c>
      <c r="D93" s="3">
        <v>68201656408000</v>
      </c>
      <c r="E93" s="3" t="s">
        <v>226</v>
      </c>
      <c r="F93" s="4">
        <v>45019</v>
      </c>
      <c r="G93" s="3" t="s">
        <v>227</v>
      </c>
      <c r="H93" s="6">
        <v>13886.25</v>
      </c>
      <c r="I93" s="3"/>
      <c r="J93" s="3"/>
      <c r="K93" s="3" t="s">
        <v>55</v>
      </c>
    </row>
    <row r="94" spans="1:11" x14ac:dyDescent="0.25">
      <c r="A94" s="5">
        <v>93</v>
      </c>
      <c r="B94" s="3" t="s">
        <v>224</v>
      </c>
      <c r="C94" s="3" t="s">
        <v>225</v>
      </c>
      <c r="D94" s="3">
        <v>68201656408000</v>
      </c>
      <c r="E94" s="3" t="s">
        <v>226</v>
      </c>
      <c r="F94" s="4">
        <v>45029</v>
      </c>
      <c r="G94" s="3" t="s">
        <v>228</v>
      </c>
      <c r="H94" s="6">
        <v>13886.25</v>
      </c>
      <c r="I94" s="3"/>
      <c r="J94" s="3"/>
      <c r="K94" s="3" t="s">
        <v>55</v>
      </c>
    </row>
    <row r="95" spans="1:11" x14ac:dyDescent="0.25">
      <c r="A95" s="5">
        <v>94</v>
      </c>
      <c r="B95" s="3" t="s">
        <v>224</v>
      </c>
      <c r="C95" s="3" t="s">
        <v>225</v>
      </c>
      <c r="D95" s="3">
        <v>68201656408000</v>
      </c>
      <c r="E95" s="3" t="s">
        <v>226</v>
      </c>
      <c r="F95" s="4">
        <v>45060</v>
      </c>
      <c r="G95" s="3" t="s">
        <v>229</v>
      </c>
      <c r="H95" s="6">
        <v>20872</v>
      </c>
      <c r="I95" s="3"/>
      <c r="J95" s="3"/>
      <c r="K95" s="3" t="s">
        <v>55</v>
      </c>
    </row>
    <row r="96" spans="1:11" x14ac:dyDescent="0.25">
      <c r="A96" s="5">
        <v>95</v>
      </c>
      <c r="B96" s="3" t="s">
        <v>230</v>
      </c>
      <c r="C96" s="3" t="s">
        <v>231</v>
      </c>
      <c r="D96" s="3" t="s">
        <v>232</v>
      </c>
      <c r="E96" s="3" t="s">
        <v>233</v>
      </c>
      <c r="F96" s="4">
        <v>44928</v>
      </c>
      <c r="G96" s="3" t="s">
        <v>234</v>
      </c>
      <c r="H96" s="6">
        <v>200000</v>
      </c>
      <c r="I96" s="3"/>
      <c r="J96" s="3"/>
      <c r="K96" s="3" t="s">
        <v>55</v>
      </c>
    </row>
    <row r="97" spans="1:11" x14ac:dyDescent="0.25">
      <c r="A97" s="5">
        <v>96</v>
      </c>
      <c r="B97" s="3" t="s">
        <v>230</v>
      </c>
      <c r="C97" s="3" t="s">
        <v>231</v>
      </c>
      <c r="D97" s="3" t="s">
        <v>232</v>
      </c>
      <c r="E97" s="3" t="s">
        <v>233</v>
      </c>
      <c r="F97" s="4">
        <v>44930</v>
      </c>
      <c r="G97" s="3" t="s">
        <v>235</v>
      </c>
      <c r="H97" s="6">
        <v>100000</v>
      </c>
      <c r="I97" s="3"/>
      <c r="J97" s="3"/>
      <c r="K97" s="3" t="s">
        <v>55</v>
      </c>
    </row>
    <row r="98" spans="1:11" x14ac:dyDescent="0.25">
      <c r="A98" s="5">
        <v>97</v>
      </c>
      <c r="B98" s="3" t="s">
        <v>230</v>
      </c>
      <c r="C98" s="3" t="s">
        <v>231</v>
      </c>
      <c r="D98" s="3" t="s">
        <v>232</v>
      </c>
      <c r="E98" s="3" t="s">
        <v>233</v>
      </c>
      <c r="F98" s="4">
        <v>44930</v>
      </c>
      <c r="G98" s="3" t="s">
        <v>236</v>
      </c>
      <c r="H98" s="6">
        <v>100000</v>
      </c>
      <c r="I98" s="3"/>
      <c r="J98" s="3"/>
      <c r="K98" s="3" t="s">
        <v>55</v>
      </c>
    </row>
    <row r="99" spans="1:11" x14ac:dyDescent="0.25">
      <c r="A99" s="5">
        <v>98</v>
      </c>
      <c r="B99" s="3" t="s">
        <v>230</v>
      </c>
      <c r="C99" s="3" t="s">
        <v>231</v>
      </c>
      <c r="D99" s="3" t="s">
        <v>232</v>
      </c>
      <c r="E99" s="3" t="s">
        <v>233</v>
      </c>
      <c r="F99" s="4">
        <v>44931</v>
      </c>
      <c r="G99" s="3" t="s">
        <v>237</v>
      </c>
      <c r="H99" s="6">
        <v>100000</v>
      </c>
      <c r="I99" s="3"/>
      <c r="J99" s="3"/>
      <c r="K99" s="3" t="s">
        <v>55</v>
      </c>
    </row>
    <row r="100" spans="1:11" x14ac:dyDescent="0.25">
      <c r="A100" s="5">
        <v>99</v>
      </c>
      <c r="B100" s="3" t="s">
        <v>230</v>
      </c>
      <c r="C100" s="3" t="s">
        <v>238</v>
      </c>
      <c r="D100" s="3"/>
      <c r="E100" s="3" t="s">
        <v>233</v>
      </c>
      <c r="F100" s="4">
        <v>44931</v>
      </c>
      <c r="G100" s="3" t="s">
        <v>239</v>
      </c>
      <c r="H100" s="6">
        <v>31653.7</v>
      </c>
      <c r="I100" s="3"/>
      <c r="J100" s="3"/>
      <c r="K100" s="3" t="s">
        <v>55</v>
      </c>
    </row>
    <row r="101" spans="1:11" x14ac:dyDescent="0.25">
      <c r="A101" s="5">
        <v>100</v>
      </c>
      <c r="B101" s="3" t="s">
        <v>230</v>
      </c>
      <c r="C101" s="3" t="s">
        <v>231</v>
      </c>
      <c r="D101" s="3" t="s">
        <v>232</v>
      </c>
      <c r="E101" s="3" t="s">
        <v>233</v>
      </c>
      <c r="F101" s="4">
        <v>44935</v>
      </c>
      <c r="G101" s="3" t="s">
        <v>240</v>
      </c>
      <c r="H101" s="6">
        <v>200000</v>
      </c>
      <c r="I101" s="3"/>
      <c r="J101" s="3"/>
      <c r="K101" s="3" t="s">
        <v>55</v>
      </c>
    </row>
    <row r="102" spans="1:11" x14ac:dyDescent="0.25">
      <c r="A102" s="5">
        <v>101</v>
      </c>
      <c r="B102" s="3" t="s">
        <v>230</v>
      </c>
      <c r="C102" s="3" t="s">
        <v>231</v>
      </c>
      <c r="D102" s="3" t="s">
        <v>232</v>
      </c>
      <c r="E102" s="3" t="s">
        <v>233</v>
      </c>
      <c r="F102" s="4">
        <v>44938</v>
      </c>
      <c r="G102" s="3" t="s">
        <v>241</v>
      </c>
      <c r="H102" s="6">
        <v>150000</v>
      </c>
      <c r="I102" s="3"/>
      <c r="J102" s="3"/>
      <c r="K102" s="3" t="s">
        <v>55</v>
      </c>
    </row>
    <row r="103" spans="1:11" x14ac:dyDescent="0.25">
      <c r="A103" s="5">
        <v>102</v>
      </c>
      <c r="B103" s="3" t="s">
        <v>230</v>
      </c>
      <c r="C103" s="3" t="s">
        <v>231</v>
      </c>
      <c r="D103" s="3" t="s">
        <v>232</v>
      </c>
      <c r="E103" s="3" t="s">
        <v>233</v>
      </c>
      <c r="F103" s="4">
        <v>44941</v>
      </c>
      <c r="G103" s="3" t="s">
        <v>242</v>
      </c>
      <c r="H103" s="6">
        <v>150000</v>
      </c>
      <c r="I103" s="3"/>
      <c r="J103" s="3"/>
      <c r="K103" s="3" t="s">
        <v>55</v>
      </c>
    </row>
    <row r="104" spans="1:11" x14ac:dyDescent="0.25">
      <c r="A104" s="5">
        <v>103</v>
      </c>
      <c r="B104" s="3" t="s">
        <v>230</v>
      </c>
      <c r="C104" s="3" t="s">
        <v>231</v>
      </c>
      <c r="D104" s="3" t="s">
        <v>232</v>
      </c>
      <c r="E104" s="3" t="s">
        <v>233</v>
      </c>
      <c r="F104" s="4">
        <v>44942</v>
      </c>
      <c r="G104" s="3" t="s">
        <v>243</v>
      </c>
      <c r="H104" s="6">
        <v>110000</v>
      </c>
      <c r="I104" s="3"/>
      <c r="J104" s="3"/>
      <c r="K104" s="3" t="s">
        <v>55</v>
      </c>
    </row>
    <row r="105" spans="1:11" x14ac:dyDescent="0.25">
      <c r="A105" s="5">
        <v>104</v>
      </c>
      <c r="B105" s="3" t="s">
        <v>230</v>
      </c>
      <c r="C105" s="3" t="s">
        <v>231</v>
      </c>
      <c r="D105" s="3" t="s">
        <v>232</v>
      </c>
      <c r="E105" s="3" t="s">
        <v>233</v>
      </c>
      <c r="F105" s="4">
        <v>44944</v>
      </c>
      <c r="G105" s="3" t="s">
        <v>244</v>
      </c>
      <c r="H105" s="6">
        <v>150000</v>
      </c>
      <c r="I105" s="3"/>
      <c r="J105" s="3"/>
      <c r="K105" s="3" t="s">
        <v>55</v>
      </c>
    </row>
    <row r="106" spans="1:11" x14ac:dyDescent="0.25">
      <c r="A106" s="5">
        <v>105</v>
      </c>
      <c r="B106" s="3" t="s">
        <v>230</v>
      </c>
      <c r="C106" s="3" t="s">
        <v>231</v>
      </c>
      <c r="D106" s="3" t="s">
        <v>232</v>
      </c>
      <c r="E106" s="3" t="s">
        <v>233</v>
      </c>
      <c r="F106" s="4">
        <v>44945</v>
      </c>
      <c r="G106" s="3" t="s">
        <v>245</v>
      </c>
      <c r="H106" s="6">
        <v>200000</v>
      </c>
      <c r="I106" s="3"/>
      <c r="J106" s="3"/>
      <c r="K106" s="3" t="s">
        <v>55</v>
      </c>
    </row>
    <row r="107" spans="1:11" x14ac:dyDescent="0.25">
      <c r="A107" s="5">
        <v>106</v>
      </c>
      <c r="B107" s="3" t="s">
        <v>230</v>
      </c>
      <c r="C107" s="3" t="s">
        <v>231</v>
      </c>
      <c r="D107" s="3" t="s">
        <v>232</v>
      </c>
      <c r="E107" s="3" t="s">
        <v>233</v>
      </c>
      <c r="F107" s="4">
        <v>44951</v>
      </c>
      <c r="G107" s="3" t="s">
        <v>246</v>
      </c>
      <c r="H107" s="6">
        <v>100000</v>
      </c>
      <c r="I107" s="3"/>
      <c r="J107" s="3"/>
      <c r="K107" s="3" t="s">
        <v>55</v>
      </c>
    </row>
    <row r="108" spans="1:11" x14ac:dyDescent="0.25">
      <c r="A108" s="5">
        <v>107</v>
      </c>
      <c r="B108" s="3" t="s">
        <v>230</v>
      </c>
      <c r="C108" s="3" t="s">
        <v>231</v>
      </c>
      <c r="D108" s="3" t="s">
        <v>232</v>
      </c>
      <c r="E108" s="3" t="s">
        <v>233</v>
      </c>
      <c r="F108" s="4">
        <v>44955</v>
      </c>
      <c r="G108" s="3" t="s">
        <v>247</v>
      </c>
      <c r="H108" s="6">
        <v>100000</v>
      </c>
      <c r="I108" s="3"/>
      <c r="J108" s="3"/>
      <c r="K108" s="3" t="s">
        <v>55</v>
      </c>
    </row>
    <row r="109" spans="1:11" x14ac:dyDescent="0.25">
      <c r="A109" s="5">
        <v>108</v>
      </c>
      <c r="B109" s="3" t="s">
        <v>230</v>
      </c>
      <c r="C109" s="3" t="s">
        <v>231</v>
      </c>
      <c r="D109" s="3" t="s">
        <v>232</v>
      </c>
      <c r="E109" s="3" t="s">
        <v>233</v>
      </c>
      <c r="F109" s="4">
        <v>44957</v>
      </c>
      <c r="G109" s="3" t="s">
        <v>248</v>
      </c>
      <c r="H109" s="6">
        <v>200000</v>
      </c>
      <c r="I109" s="3"/>
      <c r="J109" s="3"/>
      <c r="K109" s="3" t="s">
        <v>55</v>
      </c>
    </row>
    <row r="110" spans="1:11" x14ac:dyDescent="0.25">
      <c r="A110" s="5">
        <v>109</v>
      </c>
      <c r="B110" s="3" t="s">
        <v>230</v>
      </c>
      <c r="C110" s="3" t="s">
        <v>231</v>
      </c>
      <c r="D110" s="3" t="s">
        <v>232</v>
      </c>
      <c r="E110" s="3" t="s">
        <v>233</v>
      </c>
      <c r="F110" s="4">
        <v>44959</v>
      </c>
      <c r="G110" s="3" t="s">
        <v>249</v>
      </c>
      <c r="H110" s="6">
        <v>100000</v>
      </c>
      <c r="I110" s="3"/>
      <c r="J110" s="3"/>
      <c r="K110" s="3" t="s">
        <v>55</v>
      </c>
    </row>
    <row r="111" spans="1:11" x14ac:dyDescent="0.25">
      <c r="A111" s="5">
        <v>110</v>
      </c>
      <c r="B111" s="3" t="s">
        <v>230</v>
      </c>
      <c r="C111" s="3" t="s">
        <v>231</v>
      </c>
      <c r="D111" s="3" t="s">
        <v>232</v>
      </c>
      <c r="E111" s="3" t="s">
        <v>233</v>
      </c>
      <c r="F111" s="4">
        <v>44963</v>
      </c>
      <c r="G111" s="3" t="s">
        <v>250</v>
      </c>
      <c r="H111" s="6">
        <v>100000</v>
      </c>
      <c r="I111" s="3"/>
      <c r="J111" s="3"/>
      <c r="K111" s="3" t="s">
        <v>55</v>
      </c>
    </row>
    <row r="112" spans="1:11" x14ac:dyDescent="0.25">
      <c r="A112" s="5">
        <v>111</v>
      </c>
      <c r="B112" s="3" t="s">
        <v>230</v>
      </c>
      <c r="C112" s="3" t="s">
        <v>231</v>
      </c>
      <c r="D112" s="3" t="s">
        <v>232</v>
      </c>
      <c r="E112" s="3" t="s">
        <v>233</v>
      </c>
      <c r="F112" s="4">
        <v>44965</v>
      </c>
      <c r="G112" s="3" t="s">
        <v>251</v>
      </c>
      <c r="H112" s="6">
        <v>100000</v>
      </c>
      <c r="I112" s="3"/>
      <c r="J112" s="3"/>
      <c r="K112" s="3" t="s">
        <v>55</v>
      </c>
    </row>
    <row r="113" spans="1:11" x14ac:dyDescent="0.25">
      <c r="A113" s="5">
        <v>112</v>
      </c>
      <c r="B113" s="3" t="s">
        <v>230</v>
      </c>
      <c r="C113" s="3" t="s">
        <v>231</v>
      </c>
      <c r="D113" s="3" t="s">
        <v>232</v>
      </c>
      <c r="E113" s="3" t="s">
        <v>233</v>
      </c>
      <c r="F113" s="4">
        <v>44977</v>
      </c>
      <c r="G113" s="3" t="s">
        <v>252</v>
      </c>
      <c r="H113" s="6">
        <v>150000</v>
      </c>
      <c r="I113" s="3"/>
      <c r="J113" s="3"/>
      <c r="K113" s="3" t="s">
        <v>55</v>
      </c>
    </row>
    <row r="114" spans="1:11" x14ac:dyDescent="0.25">
      <c r="A114" s="5">
        <v>113</v>
      </c>
      <c r="B114" s="3" t="s">
        <v>224</v>
      </c>
      <c r="C114" s="3" t="s">
        <v>231</v>
      </c>
      <c r="D114" s="3"/>
      <c r="E114" s="3" t="s">
        <v>226</v>
      </c>
      <c r="F114" s="4">
        <v>44978</v>
      </c>
      <c r="G114" s="3" t="s">
        <v>253</v>
      </c>
      <c r="H114" s="6">
        <v>150000</v>
      </c>
      <c r="I114" s="3"/>
      <c r="J114" s="3"/>
      <c r="K114" s="3" t="s">
        <v>55</v>
      </c>
    </row>
    <row r="115" spans="1:11" x14ac:dyDescent="0.25">
      <c r="A115" s="5">
        <v>114</v>
      </c>
      <c r="B115" s="3" t="s">
        <v>224</v>
      </c>
      <c r="C115" s="3" t="s">
        <v>231</v>
      </c>
      <c r="D115" s="3"/>
      <c r="E115" s="3" t="s">
        <v>226</v>
      </c>
      <c r="F115" s="4">
        <v>44980</v>
      </c>
      <c r="G115" s="3" t="s">
        <v>254</v>
      </c>
      <c r="H115" s="6">
        <v>100000</v>
      </c>
      <c r="I115" s="3"/>
      <c r="J115" s="3"/>
      <c r="K115" s="3" t="s">
        <v>55</v>
      </c>
    </row>
    <row r="116" spans="1:11" x14ac:dyDescent="0.25">
      <c r="A116" s="5">
        <v>115</v>
      </c>
      <c r="B116" s="3" t="s">
        <v>230</v>
      </c>
      <c r="C116" s="3" t="s">
        <v>231</v>
      </c>
      <c r="D116" s="3" t="s">
        <v>232</v>
      </c>
      <c r="E116" s="3" t="s">
        <v>233</v>
      </c>
      <c r="F116" s="4">
        <v>44985</v>
      </c>
      <c r="G116" s="3" t="s">
        <v>255</v>
      </c>
      <c r="H116" s="6">
        <v>150000</v>
      </c>
      <c r="I116" s="3"/>
      <c r="J116" s="3"/>
      <c r="K116" s="3" t="s">
        <v>55</v>
      </c>
    </row>
    <row r="117" spans="1:11" x14ac:dyDescent="0.25">
      <c r="A117" s="5">
        <v>116</v>
      </c>
      <c r="B117" s="3" t="s">
        <v>230</v>
      </c>
      <c r="C117" s="3" t="s">
        <v>231</v>
      </c>
      <c r="D117" s="3" t="s">
        <v>232</v>
      </c>
      <c r="E117" s="3" t="s">
        <v>233</v>
      </c>
      <c r="F117" s="4">
        <v>44985</v>
      </c>
      <c r="G117" s="3" t="s">
        <v>256</v>
      </c>
      <c r="H117" s="6">
        <v>150000</v>
      </c>
      <c r="I117" s="3"/>
      <c r="J117" s="3"/>
      <c r="K117" s="3" t="s">
        <v>55</v>
      </c>
    </row>
    <row r="118" spans="1:11" x14ac:dyDescent="0.25">
      <c r="A118" s="5">
        <v>117</v>
      </c>
      <c r="B118" s="3" t="s">
        <v>230</v>
      </c>
      <c r="C118" s="3" t="s">
        <v>231</v>
      </c>
      <c r="D118" s="3" t="s">
        <v>232</v>
      </c>
      <c r="E118" s="3" t="s">
        <v>233</v>
      </c>
      <c r="F118" s="4">
        <v>44986</v>
      </c>
      <c r="G118" s="3" t="s">
        <v>257</v>
      </c>
      <c r="H118" s="6">
        <v>200000</v>
      </c>
      <c r="I118" s="3"/>
      <c r="J118" s="3"/>
      <c r="K118" s="3" t="s">
        <v>55</v>
      </c>
    </row>
    <row r="119" spans="1:11" x14ac:dyDescent="0.25">
      <c r="A119" s="5">
        <v>118</v>
      </c>
      <c r="B119" s="3" t="s">
        <v>230</v>
      </c>
      <c r="C119" s="3" t="s">
        <v>231</v>
      </c>
      <c r="D119" s="3" t="s">
        <v>232</v>
      </c>
      <c r="E119" s="3" t="s">
        <v>233</v>
      </c>
      <c r="F119" s="4">
        <v>44986</v>
      </c>
      <c r="G119" s="3" t="s">
        <v>258</v>
      </c>
      <c r="H119" s="6">
        <v>400000</v>
      </c>
      <c r="I119" s="3"/>
      <c r="J119" s="3"/>
      <c r="K119" s="3" t="s">
        <v>55</v>
      </c>
    </row>
    <row r="120" spans="1:11" x14ac:dyDescent="0.25">
      <c r="A120" s="5">
        <v>119</v>
      </c>
      <c r="B120" s="3" t="s">
        <v>224</v>
      </c>
      <c r="C120" s="3" t="s">
        <v>231</v>
      </c>
      <c r="D120" s="3"/>
      <c r="E120" s="3" t="s">
        <v>226</v>
      </c>
      <c r="F120" s="4">
        <v>44991</v>
      </c>
      <c r="G120" s="3" t="s">
        <v>259</v>
      </c>
      <c r="H120" s="6">
        <v>200000</v>
      </c>
      <c r="I120" s="3"/>
      <c r="J120" s="3"/>
      <c r="K120" s="3" t="s">
        <v>55</v>
      </c>
    </row>
    <row r="121" spans="1:11" x14ac:dyDescent="0.25">
      <c r="A121" s="5">
        <v>120</v>
      </c>
      <c r="B121" s="3" t="s">
        <v>230</v>
      </c>
      <c r="C121" s="3" t="s">
        <v>231</v>
      </c>
      <c r="D121" s="3" t="s">
        <v>232</v>
      </c>
      <c r="E121" s="3" t="s">
        <v>233</v>
      </c>
      <c r="F121" s="4">
        <v>44994</v>
      </c>
      <c r="G121" s="3" t="s">
        <v>260</v>
      </c>
      <c r="H121" s="6">
        <v>300000</v>
      </c>
      <c r="I121" s="3"/>
      <c r="J121" s="3"/>
      <c r="K121" s="3" t="s">
        <v>55</v>
      </c>
    </row>
    <row r="122" spans="1:11" x14ac:dyDescent="0.25">
      <c r="A122" s="5">
        <v>121</v>
      </c>
      <c r="B122" s="3" t="s">
        <v>224</v>
      </c>
      <c r="C122" s="3" t="s">
        <v>231</v>
      </c>
      <c r="D122" s="3"/>
      <c r="E122" s="3" t="s">
        <v>226</v>
      </c>
      <c r="F122" s="4">
        <v>44998</v>
      </c>
      <c r="G122" s="3" t="s">
        <v>261</v>
      </c>
      <c r="H122" s="6">
        <v>200000</v>
      </c>
      <c r="I122" s="3"/>
      <c r="J122" s="3"/>
      <c r="K122" s="3" t="s">
        <v>55</v>
      </c>
    </row>
    <row r="123" spans="1:11" x14ac:dyDescent="0.25">
      <c r="A123" s="5">
        <v>122</v>
      </c>
      <c r="B123" s="3" t="s">
        <v>224</v>
      </c>
      <c r="C123" s="3" t="s">
        <v>231</v>
      </c>
      <c r="D123" s="3"/>
      <c r="E123" s="3" t="s">
        <v>226</v>
      </c>
      <c r="F123" s="4">
        <v>45000</v>
      </c>
      <c r="G123" s="3" t="s">
        <v>262</v>
      </c>
      <c r="H123" s="6">
        <v>150000</v>
      </c>
      <c r="I123" s="3"/>
      <c r="J123" s="3"/>
      <c r="K123" s="3" t="s">
        <v>55</v>
      </c>
    </row>
    <row r="124" spans="1:11" x14ac:dyDescent="0.25">
      <c r="A124" s="5">
        <v>123</v>
      </c>
      <c r="B124" s="3" t="s">
        <v>224</v>
      </c>
      <c r="C124" s="3" t="s">
        <v>231</v>
      </c>
      <c r="D124" s="3"/>
      <c r="E124" s="3" t="s">
        <v>226</v>
      </c>
      <c r="F124" s="4">
        <v>45001</v>
      </c>
      <c r="G124" s="3" t="s">
        <v>263</v>
      </c>
      <c r="H124" s="6">
        <v>175000</v>
      </c>
      <c r="I124" s="3"/>
      <c r="J124" s="3"/>
      <c r="K124" s="3" t="s">
        <v>55</v>
      </c>
    </row>
    <row r="125" spans="1:11" x14ac:dyDescent="0.25">
      <c r="A125" s="5">
        <v>124</v>
      </c>
      <c r="B125" s="3" t="s">
        <v>224</v>
      </c>
      <c r="C125" s="3" t="s">
        <v>231</v>
      </c>
      <c r="D125" s="3"/>
      <c r="E125" s="3" t="s">
        <v>226</v>
      </c>
      <c r="F125" s="4">
        <v>45004</v>
      </c>
      <c r="G125" s="3" t="s">
        <v>264</v>
      </c>
      <c r="H125" s="6">
        <v>100000</v>
      </c>
      <c r="I125" s="3"/>
      <c r="J125" s="3"/>
      <c r="K125" s="3" t="s">
        <v>55</v>
      </c>
    </row>
    <row r="126" spans="1:11" x14ac:dyDescent="0.25">
      <c r="A126" s="5">
        <v>125</v>
      </c>
      <c r="B126" s="3" t="s">
        <v>224</v>
      </c>
      <c r="C126" s="3" t="s">
        <v>231</v>
      </c>
      <c r="D126" s="3"/>
      <c r="E126" s="3" t="s">
        <v>226</v>
      </c>
      <c r="F126" s="4">
        <v>45006</v>
      </c>
      <c r="G126" s="3" t="s">
        <v>265</v>
      </c>
      <c r="H126" s="6">
        <v>150000</v>
      </c>
      <c r="I126" s="3"/>
      <c r="J126" s="3"/>
      <c r="K126" s="3" t="s">
        <v>55</v>
      </c>
    </row>
    <row r="127" spans="1:11" x14ac:dyDescent="0.25">
      <c r="A127" s="5">
        <v>126</v>
      </c>
      <c r="B127" s="3" t="s">
        <v>230</v>
      </c>
      <c r="C127" s="3" t="s">
        <v>231</v>
      </c>
      <c r="D127" s="3" t="s">
        <v>232</v>
      </c>
      <c r="E127" s="3" t="s">
        <v>233</v>
      </c>
      <c r="F127" s="4">
        <v>45007</v>
      </c>
      <c r="G127" s="3" t="s">
        <v>266</v>
      </c>
      <c r="H127" s="6">
        <v>500000</v>
      </c>
      <c r="I127" s="3"/>
      <c r="J127" s="3"/>
      <c r="K127" s="3" t="s">
        <v>55</v>
      </c>
    </row>
    <row r="128" spans="1:11" x14ac:dyDescent="0.25">
      <c r="A128" s="5">
        <v>127</v>
      </c>
      <c r="B128" s="3" t="s">
        <v>230</v>
      </c>
      <c r="C128" s="3" t="s">
        <v>231</v>
      </c>
      <c r="D128" s="3" t="s">
        <v>232</v>
      </c>
      <c r="E128" s="3" t="s">
        <v>233</v>
      </c>
      <c r="F128" s="4">
        <v>45012</v>
      </c>
      <c r="G128" s="3" t="s">
        <v>267</v>
      </c>
      <c r="H128" s="6">
        <v>100000</v>
      </c>
      <c r="I128" s="3"/>
      <c r="J128" s="3"/>
      <c r="K128" s="3" t="s">
        <v>55</v>
      </c>
    </row>
    <row r="129" spans="1:11" x14ac:dyDescent="0.25">
      <c r="A129" s="5">
        <v>128</v>
      </c>
      <c r="B129" s="3" t="s">
        <v>224</v>
      </c>
      <c r="C129" s="3" t="s">
        <v>231</v>
      </c>
      <c r="D129" s="3"/>
      <c r="E129" s="3" t="s">
        <v>226</v>
      </c>
      <c r="F129" s="4">
        <v>45014</v>
      </c>
      <c r="G129" s="3" t="s">
        <v>268</v>
      </c>
      <c r="H129" s="6">
        <v>200000</v>
      </c>
      <c r="I129" s="3"/>
      <c r="J129" s="3"/>
      <c r="K129" s="3" t="s">
        <v>55</v>
      </c>
    </row>
    <row r="130" spans="1:11" x14ac:dyDescent="0.25">
      <c r="A130" s="5">
        <v>129</v>
      </c>
      <c r="B130" s="3" t="s">
        <v>230</v>
      </c>
      <c r="C130" s="3" t="s">
        <v>231</v>
      </c>
      <c r="D130" s="3" t="s">
        <v>232</v>
      </c>
      <c r="E130" s="3" t="s">
        <v>233</v>
      </c>
      <c r="F130" s="4">
        <v>45014</v>
      </c>
      <c r="G130" s="3" t="s">
        <v>269</v>
      </c>
      <c r="H130" s="6">
        <v>100000</v>
      </c>
      <c r="I130" s="3"/>
      <c r="J130" s="3"/>
      <c r="K130" s="3" t="s">
        <v>55</v>
      </c>
    </row>
    <row r="131" spans="1:11" x14ac:dyDescent="0.25">
      <c r="A131" s="5">
        <v>130</v>
      </c>
      <c r="B131" s="3" t="s">
        <v>224</v>
      </c>
      <c r="C131" s="3" t="s">
        <v>231</v>
      </c>
      <c r="D131" s="3"/>
      <c r="E131" s="3" t="s">
        <v>226</v>
      </c>
      <c r="F131" s="4">
        <v>45015</v>
      </c>
      <c r="G131" s="3" t="s">
        <v>270</v>
      </c>
      <c r="H131" s="6">
        <v>100000</v>
      </c>
      <c r="I131" s="3"/>
      <c r="J131" s="3"/>
      <c r="K131" s="3" t="s">
        <v>55</v>
      </c>
    </row>
    <row r="132" spans="1:11" x14ac:dyDescent="0.25">
      <c r="A132" s="5">
        <v>131</v>
      </c>
      <c r="B132" s="3" t="s">
        <v>230</v>
      </c>
      <c r="C132" s="3" t="s">
        <v>231</v>
      </c>
      <c r="D132" s="3" t="s">
        <v>232</v>
      </c>
      <c r="E132" s="3" t="s">
        <v>233</v>
      </c>
      <c r="F132" s="4">
        <v>45018</v>
      </c>
      <c r="G132" s="3" t="s">
        <v>271</v>
      </c>
      <c r="H132" s="6">
        <v>100000</v>
      </c>
      <c r="I132" s="3"/>
      <c r="J132" s="3"/>
      <c r="K132" s="3" t="s">
        <v>55</v>
      </c>
    </row>
    <row r="133" spans="1:11" x14ac:dyDescent="0.25">
      <c r="A133" s="5">
        <v>132</v>
      </c>
      <c r="B133" s="3" t="s">
        <v>230</v>
      </c>
      <c r="C133" s="3" t="s">
        <v>231</v>
      </c>
      <c r="D133" s="3" t="s">
        <v>232</v>
      </c>
      <c r="E133" s="3" t="s">
        <v>233</v>
      </c>
      <c r="F133" s="4">
        <v>45019</v>
      </c>
      <c r="G133" s="3" t="s">
        <v>272</v>
      </c>
      <c r="H133" s="6">
        <v>50000</v>
      </c>
      <c r="I133" s="3"/>
      <c r="J133" s="3"/>
      <c r="K133" s="3" t="s">
        <v>55</v>
      </c>
    </row>
    <row r="134" spans="1:11" x14ac:dyDescent="0.25">
      <c r="A134" s="5">
        <v>133</v>
      </c>
      <c r="B134" s="3" t="s">
        <v>230</v>
      </c>
      <c r="C134" s="3" t="s">
        <v>231</v>
      </c>
      <c r="D134" s="3" t="s">
        <v>232</v>
      </c>
      <c r="E134" s="3" t="s">
        <v>233</v>
      </c>
      <c r="F134" s="4">
        <v>45022</v>
      </c>
      <c r="G134" s="3" t="s">
        <v>273</v>
      </c>
      <c r="H134" s="6">
        <v>150000</v>
      </c>
      <c r="I134" s="3"/>
      <c r="J134" s="3"/>
      <c r="K134" s="3" t="s">
        <v>55</v>
      </c>
    </row>
    <row r="135" spans="1:11" x14ac:dyDescent="0.25">
      <c r="A135" s="5">
        <v>134</v>
      </c>
      <c r="B135" s="3" t="s">
        <v>230</v>
      </c>
      <c r="C135" s="3" t="s">
        <v>231</v>
      </c>
      <c r="D135" s="3" t="s">
        <v>232</v>
      </c>
      <c r="E135" s="3" t="s">
        <v>233</v>
      </c>
      <c r="F135" s="4">
        <v>45026</v>
      </c>
      <c r="G135" s="3" t="s">
        <v>274</v>
      </c>
      <c r="H135" s="6">
        <v>150000</v>
      </c>
      <c r="I135" s="3"/>
      <c r="J135" s="3"/>
      <c r="K135" s="3" t="s">
        <v>55</v>
      </c>
    </row>
    <row r="136" spans="1:11" x14ac:dyDescent="0.25">
      <c r="A136" s="5">
        <v>135</v>
      </c>
      <c r="B136" s="3" t="s">
        <v>230</v>
      </c>
      <c r="C136" s="3" t="s">
        <v>231</v>
      </c>
      <c r="D136" s="3" t="s">
        <v>232</v>
      </c>
      <c r="E136" s="3" t="s">
        <v>233</v>
      </c>
      <c r="F136" s="4">
        <v>45028</v>
      </c>
      <c r="G136" s="3" t="s">
        <v>275</v>
      </c>
      <c r="H136" s="6">
        <v>100000</v>
      </c>
      <c r="I136" s="3"/>
      <c r="J136" s="3"/>
      <c r="K136" s="3" t="s">
        <v>55</v>
      </c>
    </row>
    <row r="137" spans="1:11" x14ac:dyDescent="0.25">
      <c r="A137" s="5">
        <v>136</v>
      </c>
      <c r="B137" s="3" t="s">
        <v>230</v>
      </c>
      <c r="C137" s="3" t="s">
        <v>231</v>
      </c>
      <c r="D137" s="3" t="s">
        <v>232</v>
      </c>
      <c r="E137" s="3" t="s">
        <v>233</v>
      </c>
      <c r="F137" s="4">
        <v>45029</v>
      </c>
      <c r="G137" s="3" t="s">
        <v>276</v>
      </c>
      <c r="H137" s="6">
        <v>100000</v>
      </c>
      <c r="I137" s="3"/>
      <c r="J137" s="3"/>
      <c r="K137" s="3" t="s">
        <v>55</v>
      </c>
    </row>
    <row r="138" spans="1:11" x14ac:dyDescent="0.25">
      <c r="A138" s="5">
        <v>137</v>
      </c>
      <c r="B138" s="3" t="s">
        <v>230</v>
      </c>
      <c r="C138" s="3" t="s">
        <v>231</v>
      </c>
      <c r="D138" s="3" t="s">
        <v>232</v>
      </c>
      <c r="E138" s="3" t="s">
        <v>233</v>
      </c>
      <c r="F138" s="4">
        <v>45029</v>
      </c>
      <c r="G138" s="3" t="s">
        <v>277</v>
      </c>
      <c r="H138" s="6">
        <v>100000</v>
      </c>
      <c r="I138" s="3"/>
      <c r="J138" s="3"/>
      <c r="K138" s="3" t="s">
        <v>55</v>
      </c>
    </row>
    <row r="139" spans="1:11" x14ac:dyDescent="0.25">
      <c r="A139" s="5">
        <v>138</v>
      </c>
      <c r="B139" s="3" t="s">
        <v>278</v>
      </c>
      <c r="C139" s="3" t="s">
        <v>231</v>
      </c>
      <c r="D139" s="3"/>
      <c r="E139" s="3" t="s">
        <v>226</v>
      </c>
      <c r="F139" s="4">
        <v>45032</v>
      </c>
      <c r="G139" s="3" t="s">
        <v>279</v>
      </c>
      <c r="H139" s="6">
        <v>800000</v>
      </c>
      <c r="I139" s="3"/>
      <c r="J139" s="3"/>
      <c r="K139" s="3" t="s">
        <v>55</v>
      </c>
    </row>
    <row r="140" spans="1:11" x14ac:dyDescent="0.25">
      <c r="A140" s="5">
        <v>139</v>
      </c>
      <c r="B140" s="3" t="s">
        <v>224</v>
      </c>
      <c r="C140" s="3" t="s">
        <v>231</v>
      </c>
      <c r="D140" s="3"/>
      <c r="E140" s="3" t="s">
        <v>226</v>
      </c>
      <c r="F140" s="4">
        <v>45033</v>
      </c>
      <c r="G140" s="3" t="s">
        <v>280</v>
      </c>
      <c r="H140" s="6">
        <v>100000</v>
      </c>
      <c r="I140" s="3"/>
      <c r="J140" s="3"/>
      <c r="K140" s="3" t="s">
        <v>55</v>
      </c>
    </row>
    <row r="141" spans="1:11" x14ac:dyDescent="0.25">
      <c r="A141" s="5">
        <v>140</v>
      </c>
      <c r="B141" s="3" t="s">
        <v>224</v>
      </c>
      <c r="C141" s="3" t="s">
        <v>231</v>
      </c>
      <c r="D141" s="3"/>
      <c r="E141" s="3" t="s">
        <v>226</v>
      </c>
      <c r="F141" s="4">
        <v>45034</v>
      </c>
      <c r="G141" s="3" t="s">
        <v>281</v>
      </c>
      <c r="H141" s="6">
        <v>125000</v>
      </c>
      <c r="I141" s="3"/>
      <c r="J141" s="3"/>
      <c r="K141" s="3" t="s">
        <v>55</v>
      </c>
    </row>
    <row r="142" spans="1:11" x14ac:dyDescent="0.25">
      <c r="A142" s="5">
        <v>141</v>
      </c>
      <c r="B142" s="3" t="s">
        <v>224</v>
      </c>
      <c r="C142" s="3" t="s">
        <v>231</v>
      </c>
      <c r="D142" s="3"/>
      <c r="E142" s="3" t="s">
        <v>226</v>
      </c>
      <c r="F142" s="4">
        <v>45043</v>
      </c>
      <c r="G142" s="3" t="s">
        <v>282</v>
      </c>
      <c r="H142" s="6">
        <v>100000</v>
      </c>
      <c r="I142" s="3"/>
      <c r="J142" s="3"/>
      <c r="K142" s="3" t="s">
        <v>55</v>
      </c>
    </row>
    <row r="143" spans="1:11" x14ac:dyDescent="0.25">
      <c r="A143" s="5">
        <v>142</v>
      </c>
      <c r="B143" s="3" t="s">
        <v>224</v>
      </c>
      <c r="C143" s="3" t="s">
        <v>231</v>
      </c>
      <c r="D143" s="3"/>
      <c r="E143" s="3" t="s">
        <v>226</v>
      </c>
      <c r="F143" s="4">
        <v>45048</v>
      </c>
      <c r="G143" s="3" t="s">
        <v>283</v>
      </c>
      <c r="H143" s="6">
        <v>120000</v>
      </c>
      <c r="I143" s="3"/>
      <c r="J143" s="3"/>
      <c r="K143" s="3" t="s">
        <v>55</v>
      </c>
    </row>
    <row r="144" spans="1:11" x14ac:dyDescent="0.25">
      <c r="A144" s="5">
        <v>143</v>
      </c>
      <c r="B144" s="3" t="s">
        <v>230</v>
      </c>
      <c r="C144" s="3" t="s">
        <v>231</v>
      </c>
      <c r="D144" s="3" t="s">
        <v>232</v>
      </c>
      <c r="E144" s="3" t="s">
        <v>233</v>
      </c>
      <c r="F144" s="4">
        <v>45049</v>
      </c>
      <c r="G144" s="3" t="s">
        <v>284</v>
      </c>
      <c r="H144" s="6">
        <v>100000</v>
      </c>
      <c r="I144" s="3"/>
      <c r="J144" s="3"/>
      <c r="K144" s="3" t="s">
        <v>55</v>
      </c>
    </row>
    <row r="145" spans="1:11" x14ac:dyDescent="0.25">
      <c r="A145" s="5">
        <v>144</v>
      </c>
      <c r="B145" s="3" t="s">
        <v>230</v>
      </c>
      <c r="C145" s="3" t="s">
        <v>231</v>
      </c>
      <c r="D145" s="3" t="s">
        <v>232</v>
      </c>
      <c r="E145" s="3" t="s">
        <v>233</v>
      </c>
      <c r="F145" s="4">
        <v>45053</v>
      </c>
      <c r="G145" s="3" t="s">
        <v>285</v>
      </c>
      <c r="H145" s="6">
        <v>100000</v>
      </c>
      <c r="I145" s="3"/>
      <c r="J145" s="3"/>
      <c r="K145" s="3" t="s">
        <v>55</v>
      </c>
    </row>
    <row r="146" spans="1:11" x14ac:dyDescent="0.25">
      <c r="A146" s="5">
        <v>145</v>
      </c>
      <c r="B146" s="3" t="s">
        <v>230</v>
      </c>
      <c r="C146" s="3" t="s">
        <v>231</v>
      </c>
      <c r="D146" s="3" t="s">
        <v>232</v>
      </c>
      <c r="E146" s="3" t="s">
        <v>233</v>
      </c>
      <c r="F146" s="4">
        <v>45055</v>
      </c>
      <c r="G146" s="3" t="s">
        <v>286</v>
      </c>
      <c r="H146" s="6">
        <v>100000</v>
      </c>
      <c r="I146" s="3"/>
      <c r="J146" s="3"/>
      <c r="K146" s="3" t="s">
        <v>55</v>
      </c>
    </row>
    <row r="147" spans="1:11" x14ac:dyDescent="0.25">
      <c r="A147" s="5">
        <v>146</v>
      </c>
      <c r="B147" s="3" t="s">
        <v>224</v>
      </c>
      <c r="C147" s="3" t="s">
        <v>231</v>
      </c>
      <c r="D147" s="3"/>
      <c r="E147" s="3" t="s">
        <v>226</v>
      </c>
      <c r="F147" s="4">
        <v>45060</v>
      </c>
      <c r="G147" s="3" t="s">
        <v>287</v>
      </c>
      <c r="H147" s="6">
        <v>100000</v>
      </c>
      <c r="I147" s="3"/>
      <c r="J147" s="3"/>
      <c r="K147" s="3" t="s">
        <v>55</v>
      </c>
    </row>
    <row r="148" spans="1:11" x14ac:dyDescent="0.25">
      <c r="A148" s="5">
        <v>147</v>
      </c>
      <c r="B148" s="3" t="s">
        <v>224</v>
      </c>
      <c r="C148" s="3" t="s">
        <v>231</v>
      </c>
      <c r="D148" s="3"/>
      <c r="E148" s="3" t="s">
        <v>226</v>
      </c>
      <c r="F148" s="4">
        <v>45061</v>
      </c>
      <c r="G148" s="3" t="s">
        <v>288</v>
      </c>
      <c r="H148" s="6">
        <v>100000</v>
      </c>
      <c r="I148" s="3"/>
      <c r="J148" s="3"/>
      <c r="K148" s="3" t="s">
        <v>55</v>
      </c>
    </row>
    <row r="149" spans="1:11" x14ac:dyDescent="0.25">
      <c r="A149" s="5">
        <v>148</v>
      </c>
      <c r="B149" s="3" t="s">
        <v>230</v>
      </c>
      <c r="C149" s="3" t="s">
        <v>231</v>
      </c>
      <c r="D149" s="3" t="s">
        <v>232</v>
      </c>
      <c r="E149" s="3" t="s">
        <v>233</v>
      </c>
      <c r="F149" s="4">
        <v>45063</v>
      </c>
      <c r="G149" s="3" t="s">
        <v>289</v>
      </c>
      <c r="H149" s="6">
        <v>200000</v>
      </c>
      <c r="I149" s="3"/>
      <c r="J149" s="3"/>
      <c r="K149" s="3" t="s">
        <v>55</v>
      </c>
    </row>
    <row r="150" spans="1:11" x14ac:dyDescent="0.25">
      <c r="A150" s="5">
        <v>149</v>
      </c>
      <c r="B150" s="3" t="s">
        <v>224</v>
      </c>
      <c r="C150" s="3" t="s">
        <v>231</v>
      </c>
      <c r="D150" s="3"/>
      <c r="E150" s="3" t="s">
        <v>226</v>
      </c>
      <c r="F150" s="4">
        <v>45064</v>
      </c>
      <c r="G150" s="3" t="s">
        <v>290</v>
      </c>
      <c r="H150" s="6">
        <v>70000</v>
      </c>
      <c r="I150" s="3"/>
      <c r="J150" s="3"/>
      <c r="K150" s="3" t="s">
        <v>55</v>
      </c>
    </row>
    <row r="151" spans="1:11" x14ac:dyDescent="0.25">
      <c r="A151" s="5">
        <v>150</v>
      </c>
      <c r="B151" s="3" t="s">
        <v>230</v>
      </c>
      <c r="C151" s="3" t="s">
        <v>231</v>
      </c>
      <c r="D151" s="3" t="s">
        <v>232</v>
      </c>
      <c r="E151" s="3" t="s">
        <v>233</v>
      </c>
      <c r="F151" s="4">
        <v>45067</v>
      </c>
      <c r="G151" s="3" t="s">
        <v>291</v>
      </c>
      <c r="H151" s="6">
        <v>100000</v>
      </c>
      <c r="I151" s="3"/>
      <c r="J151" s="3"/>
      <c r="K151" s="3" t="s">
        <v>55</v>
      </c>
    </row>
    <row r="152" spans="1:11" x14ac:dyDescent="0.25">
      <c r="A152" s="5">
        <v>151</v>
      </c>
      <c r="B152" s="3" t="s">
        <v>230</v>
      </c>
      <c r="C152" s="3" t="s">
        <v>231</v>
      </c>
      <c r="D152" s="3" t="s">
        <v>232</v>
      </c>
      <c r="E152" s="3" t="s">
        <v>233</v>
      </c>
      <c r="F152" s="4">
        <v>45068</v>
      </c>
      <c r="G152" s="3" t="s">
        <v>292</v>
      </c>
      <c r="H152" s="6">
        <v>100000</v>
      </c>
      <c r="I152" s="3"/>
      <c r="J152" s="3"/>
      <c r="K152" s="3" t="s">
        <v>55</v>
      </c>
    </row>
    <row r="153" spans="1:11" x14ac:dyDescent="0.25">
      <c r="A153" s="5">
        <v>152</v>
      </c>
      <c r="B153" s="3" t="s">
        <v>230</v>
      </c>
      <c r="C153" s="3" t="s">
        <v>231</v>
      </c>
      <c r="D153" s="3" t="s">
        <v>232</v>
      </c>
      <c r="E153" s="3" t="s">
        <v>233</v>
      </c>
      <c r="F153" s="4">
        <v>45070</v>
      </c>
      <c r="G153" s="3" t="s">
        <v>293</v>
      </c>
      <c r="H153" s="6">
        <v>675000</v>
      </c>
      <c r="I153" s="3"/>
      <c r="J153" s="3"/>
      <c r="K153" s="3" t="s">
        <v>55</v>
      </c>
    </row>
    <row r="154" spans="1:11" x14ac:dyDescent="0.25">
      <c r="A154" s="5">
        <v>153</v>
      </c>
      <c r="B154" s="3" t="s">
        <v>230</v>
      </c>
      <c r="C154" s="3" t="s">
        <v>231</v>
      </c>
      <c r="D154" s="3" t="s">
        <v>232</v>
      </c>
      <c r="E154" s="3" t="s">
        <v>233</v>
      </c>
      <c r="F154" s="4">
        <v>45070</v>
      </c>
      <c r="G154" s="3" t="s">
        <v>294</v>
      </c>
      <c r="H154" s="6">
        <v>70000</v>
      </c>
      <c r="I154" s="3"/>
      <c r="J154" s="3"/>
      <c r="K154" s="3" t="s">
        <v>55</v>
      </c>
    </row>
    <row r="155" spans="1:11" x14ac:dyDescent="0.25">
      <c r="A155" s="5">
        <v>154</v>
      </c>
      <c r="B155" s="3" t="s">
        <v>224</v>
      </c>
      <c r="C155" s="3" t="s">
        <v>295</v>
      </c>
      <c r="D155" s="3"/>
      <c r="E155" s="3" t="s">
        <v>226</v>
      </c>
      <c r="F155" s="4">
        <v>45078</v>
      </c>
      <c r="G155" s="3" t="s">
        <v>296</v>
      </c>
      <c r="H155" s="6">
        <v>50000</v>
      </c>
      <c r="I155" s="3"/>
      <c r="J155" s="3"/>
      <c r="K155" s="3" t="s">
        <v>55</v>
      </c>
    </row>
    <row r="156" spans="1:11" x14ac:dyDescent="0.25">
      <c r="A156" s="5">
        <v>155</v>
      </c>
      <c r="B156" s="3" t="s">
        <v>224</v>
      </c>
      <c r="C156" s="3" t="s">
        <v>297</v>
      </c>
      <c r="D156" s="3">
        <v>68203274589000</v>
      </c>
      <c r="E156" s="3" t="s">
        <v>226</v>
      </c>
      <c r="F156" s="4">
        <v>45049</v>
      </c>
      <c r="G156" s="3" t="s">
        <v>298</v>
      </c>
      <c r="H156" s="6">
        <v>2600</v>
      </c>
      <c r="I156" s="3"/>
      <c r="J156" s="3"/>
      <c r="K156" s="3" t="s">
        <v>55</v>
      </c>
    </row>
    <row r="157" spans="1:11" x14ac:dyDescent="0.25">
      <c r="A157" s="5">
        <v>156</v>
      </c>
      <c r="B157" s="3" t="s">
        <v>224</v>
      </c>
      <c r="C157" s="3" t="s">
        <v>297</v>
      </c>
      <c r="D157" s="3">
        <v>68203274589000</v>
      </c>
      <c r="E157" s="3" t="s">
        <v>226</v>
      </c>
      <c r="F157" s="4">
        <v>45049</v>
      </c>
      <c r="G157" s="3" t="s">
        <v>299</v>
      </c>
      <c r="H157" s="6">
        <v>26675</v>
      </c>
      <c r="I157" s="3"/>
      <c r="J157" s="3"/>
      <c r="K157" s="3" t="s">
        <v>55</v>
      </c>
    </row>
    <row r="158" spans="1:11" x14ac:dyDescent="0.25">
      <c r="A158" s="5">
        <v>157</v>
      </c>
      <c r="B158" s="3" t="s">
        <v>224</v>
      </c>
      <c r="C158" s="3" t="s">
        <v>297</v>
      </c>
      <c r="D158" s="3">
        <v>68203274589000</v>
      </c>
      <c r="E158" s="3" t="s">
        <v>226</v>
      </c>
      <c r="F158" s="4">
        <v>45049</v>
      </c>
      <c r="G158" s="3" t="s">
        <v>300</v>
      </c>
      <c r="H158" s="6">
        <v>2600</v>
      </c>
      <c r="I158" s="3"/>
      <c r="J158" s="3"/>
      <c r="K158" s="3" t="s">
        <v>55</v>
      </c>
    </row>
    <row r="159" spans="1:11" x14ac:dyDescent="0.25">
      <c r="A159" s="5">
        <v>158</v>
      </c>
      <c r="B159" s="3" t="s">
        <v>224</v>
      </c>
      <c r="C159" s="3" t="s">
        <v>297</v>
      </c>
      <c r="D159" s="3">
        <v>68203274589000</v>
      </c>
      <c r="E159" s="3" t="s">
        <v>226</v>
      </c>
      <c r="F159" s="4">
        <v>45061</v>
      </c>
      <c r="G159" s="3" t="s">
        <v>301</v>
      </c>
      <c r="H159" s="6">
        <v>11500</v>
      </c>
      <c r="I159" s="3"/>
      <c r="J159" s="3"/>
      <c r="K159" s="3" t="s">
        <v>55</v>
      </c>
    </row>
    <row r="160" spans="1:11" x14ac:dyDescent="0.25">
      <c r="A160" s="5">
        <v>159</v>
      </c>
      <c r="B160" s="3" t="s">
        <v>224</v>
      </c>
      <c r="C160" s="3" t="s">
        <v>297</v>
      </c>
      <c r="D160" s="3">
        <v>68203274589000</v>
      </c>
      <c r="E160" s="3" t="s">
        <v>226</v>
      </c>
      <c r="F160" s="4">
        <v>45063</v>
      </c>
      <c r="G160" s="3" t="s">
        <v>302</v>
      </c>
      <c r="H160" s="6">
        <v>50000</v>
      </c>
      <c r="I160" s="3"/>
      <c r="J160" s="3"/>
      <c r="K160" s="3" t="s">
        <v>55</v>
      </c>
    </row>
    <row r="161" spans="1:11" x14ac:dyDescent="0.25">
      <c r="A161" s="5">
        <v>160</v>
      </c>
      <c r="B161" s="3" t="s">
        <v>224</v>
      </c>
      <c r="C161" s="3" t="s">
        <v>297</v>
      </c>
      <c r="D161" s="3">
        <v>68203274589000</v>
      </c>
      <c r="E161" s="3" t="s">
        <v>226</v>
      </c>
      <c r="F161" s="4">
        <v>45068</v>
      </c>
      <c r="G161" s="3" t="s">
        <v>303</v>
      </c>
      <c r="H161" s="6">
        <v>13000</v>
      </c>
      <c r="I161" s="3"/>
      <c r="J161" s="3"/>
      <c r="K161" s="3" t="s">
        <v>55</v>
      </c>
    </row>
    <row r="162" spans="1:11" x14ac:dyDescent="0.25">
      <c r="A162" s="5">
        <v>161</v>
      </c>
      <c r="B162" s="3" t="s">
        <v>304</v>
      </c>
      <c r="C162" s="3" t="s">
        <v>305</v>
      </c>
      <c r="D162" s="3" t="s">
        <v>306</v>
      </c>
      <c r="E162" s="3" t="s">
        <v>307</v>
      </c>
      <c r="F162" s="4">
        <v>45084</v>
      </c>
      <c r="G162" s="3" t="s">
        <v>308</v>
      </c>
      <c r="H162" s="6">
        <v>596</v>
      </c>
      <c r="I162" s="3"/>
      <c r="J162" s="3"/>
      <c r="K162" s="3" t="s">
        <v>55</v>
      </c>
    </row>
    <row r="163" spans="1:11" x14ac:dyDescent="0.25">
      <c r="A163" s="5">
        <v>162</v>
      </c>
      <c r="B163" s="3" t="s">
        <v>224</v>
      </c>
      <c r="C163" s="3" t="s">
        <v>309</v>
      </c>
      <c r="D163" s="3">
        <v>68205005000000</v>
      </c>
      <c r="E163" s="3" t="s">
        <v>226</v>
      </c>
      <c r="F163" s="4">
        <v>44971</v>
      </c>
      <c r="G163" s="3" t="s">
        <v>310</v>
      </c>
      <c r="H163" s="6">
        <v>50000</v>
      </c>
      <c r="I163" s="3"/>
      <c r="J163" s="3"/>
      <c r="K163" s="3" t="s">
        <v>55</v>
      </c>
    </row>
    <row r="164" spans="1:11" x14ac:dyDescent="0.25">
      <c r="A164" s="5">
        <v>163</v>
      </c>
      <c r="B164" s="3" t="s">
        <v>224</v>
      </c>
      <c r="C164" s="3" t="s">
        <v>309</v>
      </c>
      <c r="D164" s="3">
        <v>68205005000000</v>
      </c>
      <c r="E164" s="3" t="s">
        <v>226</v>
      </c>
      <c r="F164" s="4">
        <v>44997</v>
      </c>
      <c r="G164" s="3" t="s">
        <v>311</v>
      </c>
      <c r="H164" s="6">
        <v>1500</v>
      </c>
      <c r="I164" s="3"/>
      <c r="J164" s="3"/>
      <c r="K164" s="3" t="s">
        <v>55</v>
      </c>
    </row>
    <row r="165" spans="1:11" x14ac:dyDescent="0.25">
      <c r="A165" s="5">
        <v>164</v>
      </c>
      <c r="B165" s="3" t="s">
        <v>224</v>
      </c>
      <c r="C165" s="3" t="s">
        <v>309</v>
      </c>
      <c r="D165" s="3">
        <v>68205005000000</v>
      </c>
      <c r="E165" s="3" t="s">
        <v>226</v>
      </c>
      <c r="F165" s="4">
        <v>44999</v>
      </c>
      <c r="G165" s="3" t="s">
        <v>312</v>
      </c>
      <c r="H165" s="6">
        <v>20000</v>
      </c>
      <c r="I165" s="3"/>
      <c r="J165" s="3"/>
      <c r="K165" s="3" t="s">
        <v>55</v>
      </c>
    </row>
    <row r="166" spans="1:11" x14ac:dyDescent="0.25">
      <c r="A166" s="5">
        <v>165</v>
      </c>
      <c r="B166" s="3" t="s">
        <v>224</v>
      </c>
      <c r="C166" s="3" t="s">
        <v>309</v>
      </c>
      <c r="D166" s="3">
        <v>68205005000000</v>
      </c>
      <c r="E166" s="3" t="s">
        <v>226</v>
      </c>
      <c r="F166" s="4">
        <v>45067</v>
      </c>
      <c r="G166" s="3" t="s">
        <v>313</v>
      </c>
      <c r="H166" s="6">
        <v>15000</v>
      </c>
      <c r="I166" s="3"/>
      <c r="J166" s="3"/>
      <c r="K166" s="3" t="s">
        <v>55</v>
      </c>
    </row>
    <row r="167" spans="1:11" x14ac:dyDescent="0.25">
      <c r="A167" s="5">
        <v>166</v>
      </c>
      <c r="B167" s="3" t="s">
        <v>224</v>
      </c>
      <c r="C167" s="3" t="s">
        <v>309</v>
      </c>
      <c r="D167" s="3">
        <v>68205005000000</v>
      </c>
      <c r="E167" s="3" t="s">
        <v>226</v>
      </c>
      <c r="F167" s="4">
        <v>45073</v>
      </c>
      <c r="G167" s="3" t="s">
        <v>314</v>
      </c>
      <c r="H167" s="6">
        <v>10000</v>
      </c>
      <c r="I167" s="3"/>
      <c r="J167" s="3"/>
      <c r="K167" s="3" t="s">
        <v>55</v>
      </c>
    </row>
    <row r="168" spans="1:11" x14ac:dyDescent="0.25">
      <c r="A168" s="5">
        <v>167</v>
      </c>
      <c r="B168" s="3" t="s">
        <v>224</v>
      </c>
      <c r="C168" s="3" t="s">
        <v>309</v>
      </c>
      <c r="D168" s="3">
        <v>68205005000000</v>
      </c>
      <c r="E168" s="3" t="s">
        <v>226</v>
      </c>
      <c r="F168" s="4">
        <v>45077</v>
      </c>
      <c r="G168" s="3" t="s">
        <v>315</v>
      </c>
      <c r="H168" s="6">
        <v>20000</v>
      </c>
      <c r="I168" s="3"/>
      <c r="J168" s="3"/>
      <c r="K168" s="3" t="s">
        <v>55</v>
      </c>
    </row>
    <row r="169" spans="1:11" x14ac:dyDescent="0.25">
      <c r="A169" s="5">
        <v>168</v>
      </c>
      <c r="B169" s="3" t="s">
        <v>224</v>
      </c>
      <c r="C169" s="3" t="s">
        <v>316</v>
      </c>
      <c r="D169" s="3">
        <v>68203421964000</v>
      </c>
      <c r="E169" s="3" t="s">
        <v>226</v>
      </c>
      <c r="F169" s="4">
        <v>45091</v>
      </c>
      <c r="G169" s="3" t="s">
        <v>317</v>
      </c>
      <c r="H169" s="6">
        <v>13335</v>
      </c>
      <c r="I169" s="3"/>
      <c r="J169" s="3"/>
      <c r="K169" s="3" t="s">
        <v>55</v>
      </c>
    </row>
    <row r="170" spans="1:11" x14ac:dyDescent="0.25">
      <c r="A170" s="5">
        <v>169</v>
      </c>
      <c r="B170" s="3" t="s">
        <v>224</v>
      </c>
      <c r="C170" s="3" t="s">
        <v>316</v>
      </c>
      <c r="D170" s="3">
        <v>68203421964000</v>
      </c>
      <c r="E170" s="3" t="s">
        <v>226</v>
      </c>
      <c r="F170" s="4">
        <v>45087</v>
      </c>
      <c r="G170" s="3" t="s">
        <v>318</v>
      </c>
      <c r="H170" s="6">
        <v>25000</v>
      </c>
      <c r="I170" s="3"/>
      <c r="J170" s="3"/>
      <c r="K170" s="3" t="s">
        <v>55</v>
      </c>
    </row>
    <row r="171" spans="1:11" x14ac:dyDescent="0.25">
      <c r="A171" s="5">
        <v>170</v>
      </c>
      <c r="B171" s="3" t="s">
        <v>224</v>
      </c>
      <c r="C171" s="3" t="s">
        <v>316</v>
      </c>
      <c r="D171" s="3">
        <v>68203421964000</v>
      </c>
      <c r="E171" s="3" t="s">
        <v>226</v>
      </c>
      <c r="F171" s="4">
        <v>45091</v>
      </c>
      <c r="G171" s="3" t="s">
        <v>319</v>
      </c>
      <c r="H171" s="6">
        <v>41437</v>
      </c>
      <c r="I171" s="3"/>
      <c r="J171" s="3"/>
      <c r="K171" s="3" t="s">
        <v>55</v>
      </c>
    </row>
    <row r="172" spans="1:11" x14ac:dyDescent="0.25">
      <c r="A172" s="5">
        <v>171</v>
      </c>
      <c r="B172" s="3" t="s">
        <v>224</v>
      </c>
      <c r="C172" s="3" t="s">
        <v>320</v>
      </c>
      <c r="D172" s="3">
        <v>68200912922000</v>
      </c>
      <c r="E172" s="3" t="s">
        <v>226</v>
      </c>
      <c r="F172" s="4">
        <v>44991</v>
      </c>
      <c r="G172" s="3" t="s">
        <v>321</v>
      </c>
      <c r="H172" s="6">
        <v>4140</v>
      </c>
      <c r="I172" s="3"/>
      <c r="J172" s="3"/>
      <c r="K172" s="3" t="s">
        <v>55</v>
      </c>
    </row>
    <row r="173" spans="1:11" x14ac:dyDescent="0.25">
      <c r="A173" s="5">
        <v>172</v>
      </c>
      <c r="B173" s="3" t="s">
        <v>224</v>
      </c>
      <c r="C173" s="3" t="s">
        <v>320</v>
      </c>
      <c r="D173" s="3">
        <v>68200912922000</v>
      </c>
      <c r="E173" s="3" t="s">
        <v>226</v>
      </c>
      <c r="F173" s="4">
        <v>45014</v>
      </c>
      <c r="G173" s="3" t="s">
        <v>322</v>
      </c>
      <c r="H173" s="6">
        <v>4830</v>
      </c>
      <c r="I173" s="3"/>
      <c r="J173" s="3"/>
      <c r="K173" s="3" t="s">
        <v>55</v>
      </c>
    </row>
    <row r="174" spans="1:11" x14ac:dyDescent="0.25">
      <c r="A174" s="5">
        <v>173</v>
      </c>
      <c r="B174" s="3" t="s">
        <v>224</v>
      </c>
      <c r="C174" s="3" t="s">
        <v>320</v>
      </c>
      <c r="D174" s="3">
        <v>68200912922000</v>
      </c>
      <c r="E174" s="3" t="s">
        <v>226</v>
      </c>
      <c r="F174" s="4">
        <v>45049</v>
      </c>
      <c r="G174" s="3" t="s">
        <v>323</v>
      </c>
      <c r="H174" s="6">
        <v>7943</v>
      </c>
      <c r="I174" s="3"/>
      <c r="J174" s="3"/>
      <c r="K174" s="3" t="s">
        <v>55</v>
      </c>
    </row>
    <row r="175" spans="1:11" x14ac:dyDescent="0.25">
      <c r="A175" s="5">
        <v>174</v>
      </c>
      <c r="B175" s="3" t="s">
        <v>224</v>
      </c>
      <c r="C175" s="3" t="s">
        <v>324</v>
      </c>
      <c r="D175" s="3"/>
      <c r="E175" s="3" t="s">
        <v>226</v>
      </c>
      <c r="F175" s="4">
        <v>44972</v>
      </c>
      <c r="G175" s="3" t="s">
        <v>325</v>
      </c>
      <c r="H175" s="6">
        <v>30000</v>
      </c>
      <c r="I175" s="3"/>
      <c r="J175" s="3"/>
      <c r="K175" s="3" t="s">
        <v>55</v>
      </c>
    </row>
    <row r="176" spans="1:11" x14ac:dyDescent="0.25">
      <c r="A176" s="5">
        <v>175</v>
      </c>
      <c r="B176" s="3" t="s">
        <v>224</v>
      </c>
      <c r="C176" s="3" t="s">
        <v>324</v>
      </c>
      <c r="D176" s="3"/>
      <c r="E176" s="3" t="s">
        <v>226</v>
      </c>
      <c r="F176" s="4">
        <v>44975</v>
      </c>
      <c r="G176" s="3" t="s">
        <v>326</v>
      </c>
      <c r="H176" s="6">
        <v>20000</v>
      </c>
      <c r="I176" s="3"/>
      <c r="J176" s="3"/>
      <c r="K176" s="3" t="s">
        <v>55</v>
      </c>
    </row>
    <row r="177" spans="1:11" x14ac:dyDescent="0.25">
      <c r="A177" s="5">
        <v>176</v>
      </c>
      <c r="B177" s="3" t="s">
        <v>224</v>
      </c>
      <c r="C177" s="3" t="s">
        <v>324</v>
      </c>
      <c r="D177" s="3"/>
      <c r="E177" s="3" t="s">
        <v>226</v>
      </c>
      <c r="F177" s="4">
        <v>44992</v>
      </c>
      <c r="G177" s="3" t="s">
        <v>327</v>
      </c>
      <c r="H177" s="6">
        <v>10000</v>
      </c>
      <c r="I177" s="3"/>
      <c r="J177" s="3"/>
      <c r="K177" s="3" t="s">
        <v>55</v>
      </c>
    </row>
    <row r="178" spans="1:11" x14ac:dyDescent="0.25">
      <c r="A178" s="5">
        <v>177</v>
      </c>
      <c r="B178" s="3" t="s">
        <v>328</v>
      </c>
      <c r="C178" s="3" t="s">
        <v>329</v>
      </c>
      <c r="D178" s="3"/>
      <c r="E178" s="3" t="s">
        <v>226</v>
      </c>
      <c r="F178" s="4">
        <v>44930</v>
      </c>
      <c r="G178" s="3" t="s">
        <v>330</v>
      </c>
      <c r="H178" s="6">
        <v>23149</v>
      </c>
      <c r="I178" s="3"/>
      <c r="J178" s="3"/>
      <c r="K178" s="3" t="s">
        <v>55</v>
      </c>
    </row>
    <row r="179" spans="1:11" x14ac:dyDescent="0.25">
      <c r="A179" s="5">
        <v>178</v>
      </c>
      <c r="B179" s="3" t="s">
        <v>328</v>
      </c>
      <c r="C179" s="3" t="s">
        <v>329</v>
      </c>
      <c r="D179" s="3"/>
      <c r="E179" s="3" t="s">
        <v>226</v>
      </c>
      <c r="F179" s="4">
        <v>44930</v>
      </c>
      <c r="G179" s="3" t="s">
        <v>331</v>
      </c>
      <c r="H179" s="6">
        <v>14250</v>
      </c>
      <c r="I179" s="3"/>
      <c r="J179" s="3"/>
      <c r="K179" s="3" t="s">
        <v>55</v>
      </c>
    </row>
    <row r="180" spans="1:11" x14ac:dyDescent="0.25">
      <c r="A180" s="5">
        <v>179</v>
      </c>
      <c r="B180" s="3" t="s">
        <v>328</v>
      </c>
      <c r="C180" s="3" t="s">
        <v>329</v>
      </c>
      <c r="D180" s="3"/>
      <c r="E180" s="3" t="s">
        <v>226</v>
      </c>
      <c r="F180" s="4">
        <v>44930</v>
      </c>
      <c r="G180" s="3" t="s">
        <v>332</v>
      </c>
      <c r="H180" s="6">
        <v>55537</v>
      </c>
      <c r="I180" s="3"/>
      <c r="J180" s="3"/>
      <c r="K180" s="3" t="s">
        <v>55</v>
      </c>
    </row>
    <row r="181" spans="1:11" x14ac:dyDescent="0.25">
      <c r="A181" s="5">
        <v>180</v>
      </c>
      <c r="B181" s="3" t="s">
        <v>328</v>
      </c>
      <c r="C181" s="3" t="s">
        <v>329</v>
      </c>
      <c r="D181" s="3"/>
      <c r="E181" s="3" t="s">
        <v>226</v>
      </c>
      <c r="F181" s="4">
        <v>44931</v>
      </c>
      <c r="G181" s="3" t="s">
        <v>333</v>
      </c>
      <c r="H181" s="6">
        <v>38875.5</v>
      </c>
      <c r="I181" s="3"/>
      <c r="J181" s="3"/>
      <c r="K181" s="3" t="s">
        <v>55</v>
      </c>
    </row>
    <row r="182" spans="1:11" x14ac:dyDescent="0.25">
      <c r="A182" s="5">
        <v>181</v>
      </c>
      <c r="B182" s="3" t="s">
        <v>328</v>
      </c>
      <c r="C182" s="3" t="s">
        <v>329</v>
      </c>
      <c r="D182" s="3"/>
      <c r="E182" s="3" t="s">
        <v>226</v>
      </c>
      <c r="F182" s="4">
        <v>44931</v>
      </c>
      <c r="G182" s="3" t="s">
        <v>334</v>
      </c>
      <c r="H182" s="6">
        <v>28150</v>
      </c>
      <c r="I182" s="3"/>
      <c r="J182" s="3"/>
      <c r="K182" s="3" t="s">
        <v>55</v>
      </c>
    </row>
    <row r="183" spans="1:11" x14ac:dyDescent="0.25">
      <c r="A183" s="5">
        <v>182</v>
      </c>
      <c r="B183" s="3" t="s">
        <v>335</v>
      </c>
      <c r="C183" s="3" t="s">
        <v>335</v>
      </c>
      <c r="D183" s="3"/>
      <c r="E183" s="3" t="s">
        <v>226</v>
      </c>
      <c r="F183" s="4">
        <v>44930</v>
      </c>
      <c r="G183" s="3"/>
      <c r="H183" s="6">
        <v>36.229999999999997</v>
      </c>
      <c r="I183" s="3"/>
      <c r="J183" s="3"/>
      <c r="K183" s="3" t="s">
        <v>55</v>
      </c>
    </row>
    <row r="184" spans="1:11" x14ac:dyDescent="0.25">
      <c r="A184" s="5">
        <v>183</v>
      </c>
      <c r="B184" s="3" t="s">
        <v>335</v>
      </c>
      <c r="C184" s="3" t="s">
        <v>335</v>
      </c>
      <c r="D184" s="3"/>
      <c r="E184" s="3" t="s">
        <v>226</v>
      </c>
      <c r="F184" s="4">
        <v>44930</v>
      </c>
      <c r="G184" s="3"/>
      <c r="H184" s="6">
        <v>36.229999999999997</v>
      </c>
      <c r="I184" s="3"/>
      <c r="J184" s="3"/>
      <c r="K184" s="3" t="s">
        <v>55</v>
      </c>
    </row>
    <row r="185" spans="1:11" x14ac:dyDescent="0.25">
      <c r="A185" s="5">
        <v>184</v>
      </c>
      <c r="B185" s="3" t="s">
        <v>335</v>
      </c>
      <c r="C185" s="3" t="s">
        <v>335</v>
      </c>
      <c r="D185" s="3"/>
      <c r="E185" s="3" t="s">
        <v>226</v>
      </c>
      <c r="F185" s="4">
        <v>44930</v>
      </c>
      <c r="G185" s="3"/>
      <c r="H185" s="6">
        <v>446.78</v>
      </c>
      <c r="I185" s="3"/>
      <c r="J185" s="3"/>
      <c r="K185" s="3" t="s">
        <v>55</v>
      </c>
    </row>
    <row r="186" spans="1:11" x14ac:dyDescent="0.25">
      <c r="A186" s="5">
        <v>185</v>
      </c>
      <c r="B186" s="3" t="s">
        <v>335</v>
      </c>
      <c r="C186" s="3" t="s">
        <v>335</v>
      </c>
      <c r="D186" s="3"/>
      <c r="E186" s="3" t="s">
        <v>226</v>
      </c>
      <c r="F186" s="4">
        <v>44931</v>
      </c>
      <c r="G186" s="3"/>
      <c r="H186" s="6">
        <v>68.430000000000007</v>
      </c>
      <c r="I186" s="3"/>
      <c r="J186" s="3"/>
      <c r="K186" s="3" t="s">
        <v>55</v>
      </c>
    </row>
    <row r="187" spans="1:11" x14ac:dyDescent="0.25">
      <c r="A187" s="5">
        <v>186</v>
      </c>
      <c r="B187" s="3" t="s">
        <v>335</v>
      </c>
      <c r="C187" s="3" t="s">
        <v>335</v>
      </c>
      <c r="D187" s="3"/>
      <c r="E187" s="3" t="s">
        <v>226</v>
      </c>
      <c r="F187" s="4">
        <v>44931</v>
      </c>
      <c r="G187" s="3"/>
      <c r="H187" s="6">
        <v>32.200000000000003</v>
      </c>
      <c r="I187" s="3"/>
      <c r="J187" s="3"/>
      <c r="K187" s="3" t="s">
        <v>55</v>
      </c>
    </row>
    <row r="188" spans="1:11" x14ac:dyDescent="0.25">
      <c r="A188" s="5">
        <v>187</v>
      </c>
      <c r="B188" s="3" t="s">
        <v>224</v>
      </c>
      <c r="C188" s="3" t="s">
        <v>324</v>
      </c>
      <c r="D188" s="3">
        <v>68202352833001</v>
      </c>
      <c r="E188" s="3" t="s">
        <v>226</v>
      </c>
      <c r="F188" s="4">
        <v>44930</v>
      </c>
      <c r="G188" s="3" t="s">
        <v>336</v>
      </c>
      <c r="H188" s="6">
        <v>21000</v>
      </c>
      <c r="I188" s="3"/>
      <c r="J188" s="3"/>
      <c r="K188" s="3" t="s">
        <v>55</v>
      </c>
    </row>
    <row r="189" spans="1:11" x14ac:dyDescent="0.25">
      <c r="A189" s="5">
        <v>188</v>
      </c>
      <c r="B189" s="3" t="s">
        <v>224</v>
      </c>
      <c r="C189" s="3" t="s">
        <v>324</v>
      </c>
      <c r="D189" s="3">
        <v>68202352833001</v>
      </c>
      <c r="E189" s="3" t="s">
        <v>226</v>
      </c>
      <c r="F189" s="4">
        <v>44985</v>
      </c>
      <c r="G189" s="3" t="s">
        <v>337</v>
      </c>
      <c r="H189" s="6">
        <v>12000</v>
      </c>
      <c r="I189" s="3"/>
      <c r="J189" s="3"/>
      <c r="K189" s="3" t="s">
        <v>55</v>
      </c>
    </row>
    <row r="190" spans="1:11" x14ac:dyDescent="0.25">
      <c r="A190" s="5">
        <v>189</v>
      </c>
      <c r="B190" s="3" t="s">
        <v>338</v>
      </c>
      <c r="C190" s="3" t="s">
        <v>339</v>
      </c>
      <c r="D190" s="3"/>
      <c r="E190" s="3" t="s">
        <v>340</v>
      </c>
      <c r="F190" s="4">
        <v>44938</v>
      </c>
      <c r="G190" s="3"/>
      <c r="H190" s="6">
        <v>162</v>
      </c>
      <c r="I190" s="3"/>
      <c r="J190" s="3"/>
      <c r="K190" s="3" t="s">
        <v>55</v>
      </c>
    </row>
    <row r="191" spans="1:11" x14ac:dyDescent="0.25">
      <c r="A191" s="5">
        <v>190</v>
      </c>
      <c r="B191" s="3" t="s">
        <v>338</v>
      </c>
      <c r="C191" s="3" t="s">
        <v>341</v>
      </c>
      <c r="D191" s="3"/>
      <c r="E191" s="3" t="s">
        <v>340</v>
      </c>
      <c r="F191" s="4">
        <v>44938</v>
      </c>
      <c r="G191" s="3"/>
      <c r="H191" s="6">
        <v>163</v>
      </c>
      <c r="I191" s="3"/>
      <c r="J191" s="3"/>
      <c r="K191" s="3" t="s">
        <v>55</v>
      </c>
    </row>
    <row r="192" spans="1:11" x14ac:dyDescent="0.25">
      <c r="A192" s="5">
        <v>191</v>
      </c>
      <c r="B192" s="3" t="s">
        <v>338</v>
      </c>
      <c r="C192" s="3" t="s">
        <v>342</v>
      </c>
      <c r="D192" s="3"/>
      <c r="E192" s="3" t="s">
        <v>340</v>
      </c>
      <c r="F192" s="4">
        <v>44938</v>
      </c>
      <c r="G192" s="3"/>
      <c r="H192" s="6">
        <v>162</v>
      </c>
      <c r="I192" s="3"/>
      <c r="J192" s="3"/>
      <c r="K192" s="3" t="s">
        <v>55</v>
      </c>
    </row>
    <row r="193" spans="1:11" x14ac:dyDescent="0.25">
      <c r="A193" s="5">
        <v>192</v>
      </c>
      <c r="B193" s="3" t="s">
        <v>338</v>
      </c>
      <c r="C193" s="3" t="s">
        <v>343</v>
      </c>
      <c r="D193" s="3"/>
      <c r="E193" s="3" t="s">
        <v>340</v>
      </c>
      <c r="F193" s="4">
        <v>44938</v>
      </c>
      <c r="G193" s="3"/>
      <c r="H193" s="6">
        <v>162</v>
      </c>
      <c r="I193" s="3"/>
      <c r="J193" s="3"/>
      <c r="K193" s="3" t="s">
        <v>55</v>
      </c>
    </row>
    <row r="194" spans="1:11" x14ac:dyDescent="0.25">
      <c r="A194" s="5">
        <v>193</v>
      </c>
      <c r="B194" s="3" t="s">
        <v>338</v>
      </c>
      <c r="C194" s="3" t="s">
        <v>344</v>
      </c>
      <c r="D194" s="3"/>
      <c r="E194" s="3" t="s">
        <v>340</v>
      </c>
      <c r="F194" s="4">
        <v>44938</v>
      </c>
      <c r="G194" s="3"/>
      <c r="H194" s="6">
        <v>162</v>
      </c>
      <c r="I194" s="3"/>
      <c r="J194" s="3"/>
      <c r="K194" s="3" t="s">
        <v>55</v>
      </c>
    </row>
    <row r="195" spans="1:11" x14ac:dyDescent="0.25">
      <c r="A195" s="5">
        <v>194</v>
      </c>
      <c r="B195" s="3" t="s">
        <v>338</v>
      </c>
      <c r="C195" s="3" t="s">
        <v>345</v>
      </c>
      <c r="D195" s="3"/>
      <c r="E195" s="3" t="s">
        <v>340</v>
      </c>
      <c r="F195" s="4">
        <v>44938</v>
      </c>
      <c r="G195" s="3"/>
      <c r="H195" s="6">
        <v>163</v>
      </c>
      <c r="I195" s="3"/>
      <c r="J195" s="3"/>
      <c r="K195" s="3" t="s">
        <v>55</v>
      </c>
    </row>
    <row r="196" spans="1:11" x14ac:dyDescent="0.25">
      <c r="A196" s="5">
        <v>195</v>
      </c>
      <c r="B196" s="3" t="s">
        <v>338</v>
      </c>
      <c r="C196" s="3" t="s">
        <v>346</v>
      </c>
      <c r="D196" s="3"/>
      <c r="E196" s="3" t="s">
        <v>340</v>
      </c>
      <c r="F196" s="4">
        <v>44938</v>
      </c>
      <c r="G196" s="3"/>
      <c r="H196" s="6">
        <v>163</v>
      </c>
      <c r="I196" s="3"/>
      <c r="J196" s="3"/>
      <c r="K196" s="3" t="s">
        <v>55</v>
      </c>
    </row>
    <row r="197" spans="1:11" x14ac:dyDescent="0.25">
      <c r="A197" s="5">
        <v>196</v>
      </c>
      <c r="B197" s="3" t="s">
        <v>338</v>
      </c>
      <c r="C197" s="3" t="s">
        <v>347</v>
      </c>
      <c r="D197" s="3"/>
      <c r="E197" s="3" t="s">
        <v>340</v>
      </c>
      <c r="F197" s="4">
        <v>44938</v>
      </c>
      <c r="G197" s="3"/>
      <c r="H197" s="6">
        <v>163</v>
      </c>
      <c r="I197" s="3"/>
      <c r="J197" s="3"/>
      <c r="K197" s="3" t="s">
        <v>55</v>
      </c>
    </row>
    <row r="198" spans="1:11" x14ac:dyDescent="0.25">
      <c r="A198" s="5">
        <v>197</v>
      </c>
      <c r="B198" s="3" t="s">
        <v>338</v>
      </c>
      <c r="C198" s="3" t="s">
        <v>348</v>
      </c>
      <c r="D198" s="3"/>
      <c r="E198" s="3" t="s">
        <v>340</v>
      </c>
      <c r="F198" s="4">
        <v>44955</v>
      </c>
      <c r="G198" s="3"/>
      <c r="H198" s="6">
        <v>412</v>
      </c>
      <c r="I198" s="3"/>
      <c r="J198" s="3"/>
      <c r="K198" s="3" t="s">
        <v>55</v>
      </c>
    </row>
    <row r="199" spans="1:11" x14ac:dyDescent="0.25">
      <c r="A199" s="5">
        <v>198</v>
      </c>
      <c r="B199" s="3" t="s">
        <v>338</v>
      </c>
      <c r="C199" s="3" t="s">
        <v>349</v>
      </c>
      <c r="D199" s="3"/>
      <c r="E199" s="3" t="s">
        <v>340</v>
      </c>
      <c r="F199" s="4">
        <v>44955</v>
      </c>
      <c r="G199" s="3"/>
      <c r="H199" s="6">
        <v>288</v>
      </c>
      <c r="I199" s="3"/>
      <c r="J199" s="3"/>
      <c r="K199" s="3" t="s">
        <v>55</v>
      </c>
    </row>
    <row r="200" spans="1:11" x14ac:dyDescent="0.25">
      <c r="A200" s="5">
        <v>199</v>
      </c>
      <c r="B200" s="3" t="s">
        <v>350</v>
      </c>
      <c r="C200" s="3" t="s">
        <v>351</v>
      </c>
      <c r="D200" s="3"/>
      <c r="E200" s="3" t="s">
        <v>226</v>
      </c>
      <c r="F200" s="4">
        <v>45069</v>
      </c>
      <c r="G200" s="3" t="s">
        <v>352</v>
      </c>
      <c r="H200" s="6">
        <v>2250</v>
      </c>
      <c r="I200" s="3"/>
      <c r="J200" s="3"/>
      <c r="K200" s="3" t="s">
        <v>353</v>
      </c>
    </row>
    <row r="201" spans="1:11" x14ac:dyDescent="0.25">
      <c r="A201" s="5">
        <v>200</v>
      </c>
      <c r="B201" s="3" t="s">
        <v>350</v>
      </c>
      <c r="C201" s="3" t="s">
        <v>351</v>
      </c>
      <c r="D201" s="3"/>
      <c r="E201" s="3" t="s">
        <v>226</v>
      </c>
      <c r="F201" s="4">
        <v>45097</v>
      </c>
      <c r="G201" s="3" t="s">
        <v>354</v>
      </c>
      <c r="H201" s="6">
        <v>16150</v>
      </c>
      <c r="I201" s="3"/>
      <c r="J201" s="3"/>
      <c r="K201" s="3" t="s">
        <v>353</v>
      </c>
    </row>
  </sheetData>
  <autoFilter ref="A1:K201" xr:uid="{383AC64C-71A5-4C24-AA29-CA39FDD3D7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Centralized Labels</vt:lpstr>
      <vt:lpstr>Description Splitting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Mahmoud Abdallah</cp:lastModifiedBy>
  <cp:revision/>
  <dcterms:created xsi:type="dcterms:W3CDTF">2026-05-09T16:58:59Z</dcterms:created>
  <dcterms:modified xsi:type="dcterms:W3CDTF">2026-05-11T12:11:21Z</dcterms:modified>
  <cp:category/>
  <cp:contentStatus/>
</cp:coreProperties>
</file>